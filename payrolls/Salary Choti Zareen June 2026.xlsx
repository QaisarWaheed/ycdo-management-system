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15600" windowHeight="11460"/>
  </bookViews>
  <sheets>
    <sheet name="Sheet1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7" i="1"/>
  <c r="G577"/>
  <c r="D576"/>
  <c r="C567"/>
  <c r="J557"/>
  <c r="G557"/>
  <c r="D556"/>
  <c r="C547"/>
  <c r="J537"/>
  <c r="G537"/>
  <c r="D536"/>
  <c r="C527"/>
  <c r="J517"/>
  <c r="G517"/>
  <c r="D516"/>
  <c r="C507"/>
  <c r="J497"/>
  <c r="G497"/>
  <c r="D496"/>
  <c r="C487"/>
  <c r="J477"/>
  <c r="G477"/>
  <c r="D476"/>
  <c r="C467"/>
  <c r="G457"/>
  <c r="J457" s="1"/>
  <c r="D456"/>
  <c r="C447"/>
  <c r="J437"/>
  <c r="G437"/>
  <c r="D436"/>
  <c r="C427"/>
  <c r="G417"/>
  <c r="J417" s="1"/>
  <c r="D416"/>
  <c r="C407"/>
  <c r="J397"/>
  <c r="G397"/>
  <c r="D396"/>
  <c r="C387"/>
  <c r="J377"/>
  <c r="G377"/>
  <c r="D376"/>
  <c r="C367"/>
  <c r="J357"/>
  <c r="G357"/>
  <c r="D356"/>
  <c r="C347"/>
  <c r="J337"/>
  <c r="G337"/>
  <c r="D336"/>
  <c r="C327"/>
  <c r="J317"/>
  <c r="G317"/>
  <c r="D316"/>
  <c r="C307"/>
  <c r="J297"/>
  <c r="G297"/>
  <c r="D296"/>
  <c r="C287"/>
  <c r="J277"/>
  <c r="G277"/>
  <c r="D276"/>
  <c r="C267"/>
  <c r="J257"/>
  <c r="G257"/>
  <c r="D256"/>
  <c r="C247"/>
  <c r="J237"/>
  <c r="G237"/>
  <c r="D236"/>
  <c r="C227"/>
  <c r="G217"/>
  <c r="J217" s="1"/>
  <c r="D216"/>
  <c r="C207"/>
  <c r="J197"/>
  <c r="G197"/>
  <c r="D196"/>
  <c r="C187"/>
  <c r="J177"/>
  <c r="G177"/>
  <c r="D176"/>
  <c r="C167"/>
  <c r="J157"/>
  <c r="G157"/>
  <c r="D156"/>
  <c r="C147"/>
  <c r="J137"/>
  <c r="G137"/>
  <c r="D136"/>
  <c r="C127"/>
  <c r="J117"/>
  <c r="G117"/>
  <c r="D116"/>
  <c r="C107"/>
  <c r="J97"/>
  <c r="G97"/>
  <c r="D96"/>
  <c r="C87"/>
  <c r="J77"/>
  <c r="G77"/>
  <c r="D76"/>
  <c r="C67"/>
  <c r="J57"/>
  <c r="G57"/>
  <c r="D56"/>
  <c r="C47"/>
  <c r="J37"/>
  <c r="G37"/>
  <c r="D36"/>
  <c r="C27"/>
  <c r="J17"/>
  <c r="G17"/>
  <c r="D16"/>
  <c r="C7"/>
  <c r="F581" l="1"/>
</calcChain>
</file>

<file path=xl/sharedStrings.xml><?xml version="1.0" encoding="utf-8"?>
<sst xmlns="http://schemas.openxmlformats.org/spreadsheetml/2006/main" count="1786" uniqueCount="158">
  <si>
    <t>Youth Community Development Organization</t>
  </si>
  <si>
    <t>Stipend Slip Month Of June 2026</t>
  </si>
  <si>
    <t>CNIC</t>
  </si>
  <si>
    <t>32304-9970707-4</t>
  </si>
  <si>
    <t>Hospital</t>
  </si>
  <si>
    <t>YCDO AR Hospital Choti Zareen</t>
  </si>
  <si>
    <t>Name</t>
  </si>
  <si>
    <t>Dr. Atika</t>
  </si>
  <si>
    <t>Work Place</t>
  </si>
  <si>
    <t>YCDO Multan Pakistan</t>
  </si>
  <si>
    <t>Designation</t>
  </si>
  <si>
    <t>Gynecologist</t>
  </si>
  <si>
    <t>Period</t>
  </si>
  <si>
    <t>01/06/2026 To 30/06/2026</t>
  </si>
  <si>
    <t xml:space="preserve">Total Day </t>
  </si>
  <si>
    <t xml:space="preserve">Leave </t>
  </si>
  <si>
    <t xml:space="preserve">Time </t>
  </si>
  <si>
    <t>08:00 AM To 02:00 PM</t>
  </si>
  <si>
    <t>Presence</t>
  </si>
  <si>
    <t>Pay &amp; Allowances</t>
  </si>
  <si>
    <t>Amount</t>
  </si>
  <si>
    <t>Deduction</t>
  </si>
  <si>
    <t>Paid Through</t>
  </si>
  <si>
    <t>Stipend</t>
  </si>
  <si>
    <t>Advance</t>
  </si>
  <si>
    <t>Nil</t>
  </si>
  <si>
    <t>Allied Bank Ltd.</t>
  </si>
  <si>
    <t>Extra Day</t>
  </si>
  <si>
    <t>1 Day +03 Hours</t>
  </si>
  <si>
    <t>StaffPending Med</t>
  </si>
  <si>
    <t xml:space="preserve">Branch:Masoom shah road </t>
  </si>
  <si>
    <t>Rewards</t>
  </si>
  <si>
    <t>Audit Difference</t>
  </si>
  <si>
    <t>Multan</t>
  </si>
  <si>
    <t xml:space="preserve">Previous Month </t>
  </si>
  <si>
    <t>Absence</t>
  </si>
  <si>
    <t>Rashan</t>
  </si>
  <si>
    <t>Health</t>
  </si>
  <si>
    <t>Petrol</t>
  </si>
  <si>
    <t xml:space="preserve">Fine </t>
  </si>
  <si>
    <t>Mobile Load</t>
  </si>
  <si>
    <t>Provident Fund</t>
  </si>
  <si>
    <t>Stipend &amp; Other Allowance</t>
  </si>
  <si>
    <t>Tex</t>
  </si>
  <si>
    <t>Net Pay</t>
  </si>
  <si>
    <t>Bank Charges (if any) will be deducted from Stipend by the bank</t>
  </si>
  <si>
    <t xml:space="preserve">President YCDO </t>
  </si>
  <si>
    <t>Chairman Admin YCDO</t>
  </si>
  <si>
    <t>Chairman Finance YCDO</t>
  </si>
  <si>
    <t>32102-3604510-2</t>
  </si>
  <si>
    <t>Dr. Sania Maqsood</t>
  </si>
  <si>
    <t>WMO</t>
  </si>
  <si>
    <t>02:00 PM To 10:00 PM</t>
  </si>
  <si>
    <t>54 Hours</t>
  </si>
  <si>
    <t>Extra Duty In Place Of</t>
  </si>
  <si>
    <t>Dr. Atika + Dr. Aniqa</t>
  </si>
  <si>
    <t>Less Hrs</t>
  </si>
  <si>
    <t>Dr. Aniqa Khan</t>
  </si>
  <si>
    <t>10:00 PM To 08:00 AM</t>
  </si>
  <si>
    <t>80 Hours</t>
  </si>
  <si>
    <t>Electricity Bill</t>
  </si>
  <si>
    <t>Extra Duty In Place Dr. Atika +</t>
  </si>
  <si>
    <t>Dr. Sania</t>
  </si>
  <si>
    <t>32102-3392865-1</t>
  </si>
  <si>
    <t>Dr. Muhammad Zubair</t>
  </si>
  <si>
    <t>M.O</t>
  </si>
  <si>
    <t>03:00 PM To 11:00 PM</t>
  </si>
  <si>
    <t>Resigned</t>
  </si>
  <si>
    <t>32102-0338892-5</t>
  </si>
  <si>
    <t>Dr. Muhammad Yousaf</t>
  </si>
  <si>
    <t>Optometrist</t>
  </si>
  <si>
    <t>09:00 AM To 09:00 PM</t>
  </si>
  <si>
    <t>03 Days</t>
  </si>
  <si>
    <t>Miss Anila Shoukat</t>
  </si>
  <si>
    <t>Sonologist</t>
  </si>
  <si>
    <t>32102-6748390-3</t>
  </si>
  <si>
    <t>Dr. Ali Haider</t>
  </si>
  <si>
    <t>Dentist</t>
  </si>
  <si>
    <t>08:00 AM To 04:00 PM</t>
  </si>
  <si>
    <t>Dr. Ismail Leghari</t>
  </si>
  <si>
    <t>Medical Officer</t>
  </si>
  <si>
    <t>09:00 AM To 05:00 PM</t>
  </si>
  <si>
    <t>18 Hours</t>
  </si>
  <si>
    <t>Extra duty in place of</t>
  </si>
  <si>
    <t>Dr. Hassan</t>
  </si>
  <si>
    <t>Dr. Hassan Ahmed Kamal</t>
  </si>
  <si>
    <t>07:00 AM To 03:00 PM</t>
  </si>
  <si>
    <t>16 Hours</t>
  </si>
  <si>
    <t>Extra Duty In Place Dr. Ismail</t>
  </si>
  <si>
    <t>36302-5165142-0</t>
  </si>
  <si>
    <t>Miss Sidra</t>
  </si>
  <si>
    <t>Admin Officer</t>
  </si>
  <si>
    <t>08:00 AM To 08:00 PM</t>
  </si>
  <si>
    <t>Best-I Allowance</t>
  </si>
  <si>
    <t>32104-05088395-5</t>
  </si>
  <si>
    <t>Mr. Abdul Qayum</t>
  </si>
  <si>
    <t>Emergency Staff</t>
  </si>
  <si>
    <t>Previous Month 06 Days</t>
  </si>
  <si>
    <t>32104-0396916-2</t>
  </si>
  <si>
    <t>Miss Shazia Batool</t>
  </si>
  <si>
    <t>Gynae Assistant</t>
  </si>
  <si>
    <t>32104-0347853-6</t>
  </si>
  <si>
    <t>Miss Sofia Hanif</t>
  </si>
  <si>
    <t>Recovery Staff</t>
  </si>
  <si>
    <t>32104-0396004-0</t>
  </si>
  <si>
    <t>Miss Khadija Fatima</t>
  </si>
  <si>
    <t>08:00 PM To 08:00 AM</t>
  </si>
  <si>
    <t>01 Day</t>
  </si>
  <si>
    <t>Camp Duty</t>
  </si>
  <si>
    <t>32104-0396537-8</t>
  </si>
  <si>
    <t>Miss Rehana Ejaz</t>
  </si>
  <si>
    <t>Indoor Staff</t>
  </si>
  <si>
    <t>32104-0398639-5</t>
  </si>
  <si>
    <t>Mr. Muhammad Imran</t>
  </si>
  <si>
    <t>Nursery Staff</t>
  </si>
  <si>
    <t>Muhammad Ishaq</t>
  </si>
  <si>
    <t>Emergency+Nursery</t>
  </si>
  <si>
    <t>02 Days In Place Of Qayum</t>
  </si>
  <si>
    <t>01 Day Camp Duty</t>
  </si>
  <si>
    <t>Miss Maida</t>
  </si>
  <si>
    <t>OTA Incharge</t>
  </si>
  <si>
    <t>34 Hours</t>
  </si>
  <si>
    <t>Surgeries/OT</t>
  </si>
  <si>
    <t>Mr. Najam-Ul-Hassan</t>
  </si>
  <si>
    <t>Lab Staff</t>
  </si>
  <si>
    <t>Mr. Muhammad Arslan</t>
  </si>
  <si>
    <t>32104-0703916-9</t>
  </si>
  <si>
    <t>M. Javed</t>
  </si>
  <si>
    <t>Pharmacy Incharge</t>
  </si>
  <si>
    <t>Inchargeship Allowance</t>
  </si>
  <si>
    <t>01 Day In Place Of Amir</t>
  </si>
  <si>
    <t>Mr. Muhammad Sheraz</t>
  </si>
  <si>
    <t>Receptionist</t>
  </si>
  <si>
    <t>Mr. Amir</t>
  </si>
  <si>
    <t>Pharmacy Staff</t>
  </si>
  <si>
    <t>01 Day In Place Of Javed</t>
  </si>
  <si>
    <t>01 Day In Place Of Sheraz</t>
  </si>
  <si>
    <t>Lal Khan</t>
  </si>
  <si>
    <t>Security Guard</t>
  </si>
  <si>
    <t>Naheed</t>
  </si>
  <si>
    <t>Sweeper</t>
  </si>
  <si>
    <t>07:00 AM To 07:00 PM</t>
  </si>
  <si>
    <t>Sajjad</t>
  </si>
  <si>
    <t>06:00 AM To 02:00 PM</t>
  </si>
  <si>
    <t>Afzal</t>
  </si>
  <si>
    <t>56 Hours</t>
  </si>
  <si>
    <t>Fazal Ali</t>
  </si>
  <si>
    <t>20 Hours</t>
  </si>
  <si>
    <t>Moin</t>
  </si>
  <si>
    <t>10:00 PM To 06:00 AM</t>
  </si>
  <si>
    <t>42 Hours</t>
  </si>
  <si>
    <t>Extra Duty In Place Of Ayub +</t>
  </si>
  <si>
    <t xml:space="preserve">Grand total </t>
  </si>
  <si>
    <t>Prepared By</t>
  </si>
  <si>
    <t>Chairman Executive Council</t>
  </si>
  <si>
    <t>Founder/Head Of Organization</t>
  </si>
  <si>
    <t>General Secertary</t>
  </si>
  <si>
    <t>Fine 02 Days</t>
  </si>
</sst>
</file>

<file path=xl/styles.xml><?xml version="1.0" encoding="utf-8"?>
<styleSheet xmlns="http://schemas.openxmlformats.org/spreadsheetml/2006/main">
  <numFmts count="1">
    <numFmt numFmtId="164" formatCode="dd\-mmm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62">
    <xf numFmtId="0" fontId="0" fillId="0" borderId="0" xfId="0"/>
    <xf numFmtId="0" fontId="0" fillId="2" borderId="0" xfId="0" applyFill="1"/>
    <xf numFmtId="0" fontId="1" fillId="2" borderId="0" xfId="1" applyFont="1" applyFill="1" applyBorder="1" applyAlignment="1">
      <alignment horizontal="left" vertical="center"/>
    </xf>
    <xf numFmtId="0" fontId="1" fillId="2" borderId="0" xfId="1" applyFont="1" applyFill="1" applyBorder="1" applyAlignment="1">
      <alignment horizontal="center" vertical="center"/>
    </xf>
    <xf numFmtId="0" fontId="1" fillId="2" borderId="0" xfId="1" applyFont="1" applyFill="1" applyAlignment="1">
      <alignment vertical="center"/>
    </xf>
    <xf numFmtId="0" fontId="1" fillId="2" borderId="0" xfId="1" applyFont="1" applyFill="1" applyBorder="1" applyAlignment="1">
      <alignment vertical="center"/>
    </xf>
    <xf numFmtId="0" fontId="1" fillId="2" borderId="7" xfId="1" applyFont="1" applyFill="1" applyBorder="1" applyAlignment="1">
      <alignment horizontal="left" vertical="center"/>
    </xf>
    <xf numFmtId="0" fontId="1" fillId="2" borderId="11" xfId="1" applyFont="1" applyFill="1" applyBorder="1" applyAlignment="1">
      <alignment horizontal="center" vertical="center"/>
    </xf>
    <xf numFmtId="0" fontId="1" fillId="2" borderId="12" xfId="1" applyFont="1" applyFill="1" applyBorder="1" applyAlignment="1">
      <alignment horizontal="center" vertical="center"/>
    </xf>
    <xf numFmtId="0" fontId="1" fillId="2" borderId="13" xfId="1" applyFont="1" applyFill="1" applyBorder="1" applyAlignment="1">
      <alignment horizontal="center" vertical="center"/>
    </xf>
    <xf numFmtId="0" fontId="1" fillId="2" borderId="11" xfId="1" applyFont="1" applyFill="1" applyBorder="1" applyAlignment="1">
      <alignment vertical="center"/>
    </xf>
    <xf numFmtId="0" fontId="1" fillId="2" borderId="15" xfId="1" applyFont="1" applyFill="1" applyBorder="1" applyAlignment="1">
      <alignment horizontal="left" vertical="center"/>
    </xf>
    <xf numFmtId="0" fontId="1" fillId="2" borderId="15" xfId="1" applyFont="1" applyFill="1" applyBorder="1" applyAlignment="1">
      <alignment vertical="center"/>
    </xf>
    <xf numFmtId="0" fontId="1" fillId="2" borderId="16" xfId="1" applyFont="1" applyFill="1" applyBorder="1" applyAlignment="1">
      <alignment vertical="center"/>
    </xf>
    <xf numFmtId="3" fontId="1" fillId="2" borderId="16" xfId="1" applyNumberFormat="1" applyFont="1" applyFill="1" applyBorder="1" applyAlignment="1">
      <alignment vertical="center"/>
    </xf>
    <xf numFmtId="0" fontId="1" fillId="2" borderId="12" xfId="1" applyFont="1" applyFill="1" applyBorder="1" applyAlignment="1">
      <alignment horizontal="left" vertical="center"/>
    </xf>
    <xf numFmtId="0" fontId="1" fillId="2" borderId="13" xfId="1" applyFont="1" applyFill="1" applyBorder="1" applyAlignment="1">
      <alignment horizontal="left" vertical="center"/>
    </xf>
    <xf numFmtId="0" fontId="1" fillId="0" borderId="0" xfId="1" applyFont="1" applyAlignment="1">
      <alignment vertical="center"/>
    </xf>
    <xf numFmtId="0" fontId="1" fillId="2" borderId="0" xfId="1" applyFont="1" applyFill="1" applyBorder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vertical="top"/>
    </xf>
    <xf numFmtId="0" fontId="1" fillId="2" borderId="7" xfId="1" applyFont="1" applyFill="1" applyBorder="1" applyAlignment="1">
      <alignment horizontal="center" vertical="center"/>
    </xf>
    <xf numFmtId="0" fontId="1" fillId="2" borderId="8" xfId="1" applyFont="1" applyFill="1" applyBorder="1" applyAlignment="1">
      <alignment horizontal="left" vertical="center"/>
    </xf>
    <xf numFmtId="0" fontId="1" fillId="2" borderId="9" xfId="1" applyFont="1" applyFill="1" applyBorder="1" applyAlignment="1">
      <alignment horizontal="left" vertical="center"/>
    </xf>
    <xf numFmtId="0" fontId="1" fillId="2" borderId="10" xfId="1" applyFont="1" applyFill="1" applyBorder="1" applyAlignment="1">
      <alignment horizontal="left" vertical="center"/>
    </xf>
    <xf numFmtId="0" fontId="1" fillId="2" borderId="8" xfId="1" applyFont="1" applyFill="1" applyBorder="1" applyAlignment="1">
      <alignment horizontal="center" vertical="center"/>
    </xf>
    <xf numFmtId="0" fontId="1" fillId="2" borderId="9" xfId="1" applyFont="1" applyFill="1" applyBorder="1" applyAlignment="1">
      <alignment horizontal="center" vertical="center"/>
    </xf>
    <xf numFmtId="0" fontId="1" fillId="2" borderId="14" xfId="1" applyFont="1" applyFill="1" applyBorder="1" applyAlignment="1">
      <alignment horizontal="center" vertical="center"/>
    </xf>
    <xf numFmtId="0" fontId="1" fillId="2" borderId="0" xfId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1" fillId="2" borderId="20" xfId="1" applyFont="1" applyFill="1" applyBorder="1" applyAlignment="1">
      <alignment horizontal="center" vertical="center"/>
    </xf>
    <xf numFmtId="0" fontId="1" fillId="2" borderId="23" xfId="1" applyFont="1" applyFill="1" applyBorder="1" applyAlignment="1">
      <alignment horizontal="center" vertical="center"/>
    </xf>
    <xf numFmtId="0" fontId="1" fillId="2" borderId="17" xfId="1" applyFont="1" applyFill="1" applyBorder="1" applyAlignment="1">
      <alignment horizontal="center" vertical="center"/>
    </xf>
    <xf numFmtId="0" fontId="1" fillId="2" borderId="18" xfId="1" applyFont="1" applyFill="1" applyBorder="1" applyAlignment="1">
      <alignment horizontal="center" vertical="center"/>
    </xf>
    <xf numFmtId="0" fontId="1" fillId="2" borderId="19" xfId="1" applyFont="1" applyFill="1" applyBorder="1" applyAlignment="1">
      <alignment horizontal="center" vertical="center"/>
    </xf>
    <xf numFmtId="0" fontId="1" fillId="2" borderId="21" xfId="1" applyFont="1" applyFill="1" applyBorder="1" applyAlignment="1">
      <alignment horizontal="center" vertical="center"/>
    </xf>
    <xf numFmtId="0" fontId="1" fillId="2" borderId="22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3" borderId="5" xfId="1" applyFont="1" applyFill="1" applyBorder="1" applyAlignment="1">
      <alignment horizontal="center" vertical="center"/>
    </xf>
    <xf numFmtId="0" fontId="1" fillId="3" borderId="6" xfId="1" applyFont="1" applyFill="1" applyBorder="1" applyAlignment="1">
      <alignment horizontal="center" vertical="center"/>
    </xf>
    <xf numFmtId="0" fontId="1" fillId="2" borderId="0" xfId="1" applyFont="1" applyFill="1" applyBorder="1" applyAlignment="1">
      <alignment horizontal="left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/>
    </xf>
    <xf numFmtId="164" fontId="1" fillId="2" borderId="0" xfId="1" applyNumberFormat="1" applyFont="1" applyFill="1" applyBorder="1" applyAlignment="1">
      <alignment horizontal="center" vertical="center"/>
    </xf>
    <xf numFmtId="0" fontId="1" fillId="2" borderId="0" xfId="1" applyFont="1" applyFill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1" fillId="2" borderId="0" xfId="1" applyFont="1" applyFill="1" applyBorder="1" applyAlignment="1">
      <alignment horizontal="left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92"/>
  <sheetViews>
    <sheetView tabSelected="1" zoomScaleNormal="100" workbookViewId="0">
      <selection sqref="A1:J592"/>
    </sheetView>
  </sheetViews>
  <sheetFormatPr defaultColWidth="9" defaultRowHeight="15"/>
  <cols>
    <col min="1" max="1" width="9.140625" customWidth="1"/>
    <col min="3" max="4" width="9.140625" customWidth="1"/>
    <col min="7" max="7" width="9.140625" customWidth="1"/>
    <col min="10" max="10" width="9.140625" customWidth="1"/>
    <col min="11" max="11" width="1.7109375" customWidth="1"/>
  </cols>
  <sheetData>
    <row r="1" spans="1:10" s="1" customFormat="1" ht="13.5" customHeigh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1"/>
    </row>
    <row r="2" spans="1:10" s="1" customFormat="1" ht="13.5" customHeight="1">
      <c r="A2" s="52" t="s">
        <v>1</v>
      </c>
      <c r="B2" s="53"/>
      <c r="C2" s="53"/>
      <c r="D2" s="53"/>
      <c r="E2" s="53"/>
      <c r="F2" s="53"/>
      <c r="G2" s="53"/>
      <c r="H2" s="53"/>
      <c r="I2" s="53"/>
      <c r="J2" s="54"/>
    </row>
    <row r="3" spans="1:10" s="1" customFormat="1" ht="13.5" customHeight="1">
      <c r="A3" s="2" t="s">
        <v>2</v>
      </c>
      <c r="B3" s="2"/>
      <c r="C3" s="55" t="s">
        <v>3</v>
      </c>
      <c r="D3" s="55"/>
      <c r="E3" s="3"/>
      <c r="F3" s="4"/>
      <c r="G3" s="2" t="s">
        <v>4</v>
      </c>
      <c r="H3" s="56" t="s">
        <v>5</v>
      </c>
      <c r="I3" s="56"/>
      <c r="J3" s="56"/>
    </row>
    <row r="4" spans="1:10" s="1" customFormat="1" ht="13.5" customHeight="1">
      <c r="A4" s="2" t="s">
        <v>6</v>
      </c>
      <c r="B4" s="2"/>
      <c r="C4" s="61" t="s">
        <v>7</v>
      </c>
      <c r="D4" s="61"/>
      <c r="E4" s="3"/>
      <c r="F4" s="4"/>
      <c r="G4" s="2" t="s">
        <v>8</v>
      </c>
      <c r="H4" s="57" t="s">
        <v>9</v>
      </c>
      <c r="I4" s="57"/>
      <c r="J4" s="57"/>
    </row>
    <row r="5" spans="1:10" s="1" customFormat="1" ht="13.5" customHeight="1">
      <c r="A5" s="5" t="s">
        <v>10</v>
      </c>
      <c r="B5" s="5"/>
      <c r="C5" s="5" t="s">
        <v>11</v>
      </c>
      <c r="D5" s="5"/>
      <c r="E5" s="3"/>
      <c r="F5" s="4"/>
      <c r="G5" s="2" t="s">
        <v>12</v>
      </c>
      <c r="H5" s="58" t="s">
        <v>13</v>
      </c>
      <c r="I5" s="58"/>
      <c r="J5" s="58"/>
    </row>
    <row r="6" spans="1:10" s="1" customFormat="1" ht="13.5" customHeight="1">
      <c r="A6" s="3" t="s">
        <v>14</v>
      </c>
      <c r="B6" s="3"/>
      <c r="C6" s="3" t="s">
        <v>15</v>
      </c>
      <c r="D6" s="3"/>
      <c r="E6" s="3"/>
      <c r="F6" s="4"/>
      <c r="G6" s="2" t="s">
        <v>16</v>
      </c>
      <c r="H6" s="59" t="s">
        <v>17</v>
      </c>
      <c r="I6" s="59"/>
      <c r="J6" s="59"/>
    </row>
    <row r="7" spans="1:10" s="1" customFormat="1" ht="13.5" customHeight="1">
      <c r="A7" s="3">
        <v>30</v>
      </c>
      <c r="B7" s="3"/>
      <c r="C7" s="3">
        <f>A7-H7</f>
        <v>1</v>
      </c>
      <c r="D7" s="3"/>
      <c r="E7" s="3"/>
      <c r="F7" s="4"/>
      <c r="G7" s="6" t="s">
        <v>18</v>
      </c>
      <c r="H7" s="29">
        <v>29</v>
      </c>
      <c r="I7" s="29"/>
      <c r="J7" s="29"/>
    </row>
    <row r="8" spans="1:10" s="1" customFormat="1" ht="13.5" customHeight="1">
      <c r="A8" s="30" t="s">
        <v>19</v>
      </c>
      <c r="B8" s="31"/>
      <c r="C8" s="32"/>
      <c r="D8" s="7" t="s">
        <v>20</v>
      </c>
      <c r="E8" s="8" t="s">
        <v>21</v>
      </c>
      <c r="F8" s="9"/>
      <c r="G8" s="10" t="s">
        <v>20</v>
      </c>
      <c r="H8" s="33" t="s">
        <v>22</v>
      </c>
      <c r="I8" s="34"/>
      <c r="J8" s="35"/>
    </row>
    <row r="9" spans="1:10" s="1" customFormat="1" ht="13.5" customHeight="1">
      <c r="A9" s="11" t="s">
        <v>23</v>
      </c>
      <c r="B9" s="2"/>
      <c r="C9" s="2"/>
      <c r="D9" s="3">
        <v>90000</v>
      </c>
      <c r="E9" s="11" t="s">
        <v>24</v>
      </c>
      <c r="F9" s="2"/>
      <c r="G9" s="3" t="s">
        <v>25</v>
      </c>
      <c r="H9" s="12" t="s">
        <v>26</v>
      </c>
      <c r="I9" s="5"/>
      <c r="J9" s="13"/>
    </row>
    <row r="10" spans="1:10" s="1" customFormat="1" ht="13.5" customHeight="1">
      <c r="A10" s="11" t="s">
        <v>27</v>
      </c>
      <c r="B10" s="36" t="s">
        <v>28</v>
      </c>
      <c r="C10" s="36"/>
      <c r="D10" s="3">
        <v>4500</v>
      </c>
      <c r="E10" s="11" t="s">
        <v>29</v>
      </c>
      <c r="F10" s="2"/>
      <c r="G10" s="3" t="s">
        <v>25</v>
      </c>
      <c r="H10" s="12" t="s">
        <v>30</v>
      </c>
      <c r="I10" s="5"/>
      <c r="J10" s="13"/>
    </row>
    <row r="11" spans="1:10" s="1" customFormat="1" ht="13.5" customHeight="1">
      <c r="A11" s="11" t="s">
        <v>31</v>
      </c>
      <c r="B11" s="2"/>
      <c r="C11" s="2"/>
      <c r="D11" s="3" t="s">
        <v>25</v>
      </c>
      <c r="E11" s="11" t="s">
        <v>32</v>
      </c>
      <c r="F11" s="2"/>
      <c r="G11" s="3" t="s">
        <v>25</v>
      </c>
      <c r="H11" s="12" t="s">
        <v>33</v>
      </c>
      <c r="I11" s="5"/>
      <c r="J11" s="13"/>
    </row>
    <row r="12" spans="1:10" s="1" customFormat="1" ht="13.5" customHeight="1">
      <c r="A12" s="11" t="s">
        <v>34</v>
      </c>
      <c r="B12" s="2"/>
      <c r="C12" s="2"/>
      <c r="D12" s="3" t="s">
        <v>25</v>
      </c>
      <c r="E12" s="11" t="s">
        <v>35</v>
      </c>
      <c r="F12" s="2"/>
      <c r="G12" s="3">
        <v>3000</v>
      </c>
      <c r="H12" s="12"/>
      <c r="I12" s="5"/>
      <c r="J12" s="13"/>
    </row>
    <row r="13" spans="1:10" s="1" customFormat="1" ht="13.5" customHeight="1">
      <c r="A13" s="11" t="s">
        <v>36</v>
      </c>
      <c r="B13" s="2"/>
      <c r="C13" s="2"/>
      <c r="D13" s="3" t="s">
        <v>25</v>
      </c>
      <c r="E13" s="11" t="s">
        <v>37</v>
      </c>
      <c r="F13" s="2"/>
      <c r="G13" s="3">
        <v>100</v>
      </c>
      <c r="H13" s="12"/>
      <c r="I13" s="5"/>
      <c r="J13" s="14"/>
    </row>
    <row r="14" spans="1:10" s="1" customFormat="1" ht="13.5" customHeight="1">
      <c r="A14" s="11" t="s">
        <v>38</v>
      </c>
      <c r="B14" s="2"/>
      <c r="C14" s="2"/>
      <c r="D14" s="3" t="s">
        <v>25</v>
      </c>
      <c r="E14" s="11" t="s">
        <v>39</v>
      </c>
      <c r="F14" s="2"/>
      <c r="G14" s="3" t="s">
        <v>25</v>
      </c>
      <c r="H14" s="12"/>
      <c r="I14" s="5"/>
      <c r="J14" s="14"/>
    </row>
    <row r="15" spans="1:10" s="1" customFormat="1" ht="13.5" customHeight="1">
      <c r="A15" s="12" t="s">
        <v>40</v>
      </c>
      <c r="B15" s="5"/>
      <c r="C15" s="5"/>
      <c r="D15" s="3" t="s">
        <v>25</v>
      </c>
      <c r="E15" s="11" t="s">
        <v>41</v>
      </c>
      <c r="F15" s="2"/>
      <c r="G15" s="3" t="s">
        <v>25</v>
      </c>
      <c r="H15" s="12"/>
      <c r="I15" s="5"/>
      <c r="J15" s="13"/>
    </row>
    <row r="16" spans="1:10" s="1" customFormat="1" ht="13.5" customHeight="1">
      <c r="A16" s="44" t="s">
        <v>42</v>
      </c>
      <c r="B16" s="45"/>
      <c r="C16" s="46"/>
      <c r="D16" s="42">
        <f>SUM(D9:D15)</f>
        <v>94500</v>
      </c>
      <c r="E16" s="2" t="s">
        <v>43</v>
      </c>
      <c r="F16" s="2"/>
      <c r="G16" s="3" t="s">
        <v>25</v>
      </c>
      <c r="H16" s="12"/>
      <c r="I16" s="5"/>
      <c r="J16" s="13"/>
    </row>
    <row r="17" spans="1:10" s="1" customFormat="1" ht="13.5" customHeight="1">
      <c r="A17" s="47"/>
      <c r="B17" s="29"/>
      <c r="C17" s="48"/>
      <c r="D17" s="43"/>
      <c r="E17" s="15" t="s">
        <v>21</v>
      </c>
      <c r="F17" s="16"/>
      <c r="G17" s="7">
        <f>SUM(G9:G16)</f>
        <v>3100</v>
      </c>
      <c r="H17" s="15" t="s">
        <v>44</v>
      </c>
      <c r="I17" s="16"/>
      <c r="J17" s="7">
        <f>D16-G17</f>
        <v>91400</v>
      </c>
    </row>
    <row r="18" spans="1:10" s="1" customFormat="1" ht="13.5" customHeight="1">
      <c r="A18" s="4" t="s">
        <v>45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s="1" customFormat="1" ht="13.5" customHeight="1"/>
    <row r="20" spans="1:10" ht="13.5" customHeight="1">
      <c r="A20" s="17"/>
      <c r="B20" s="17" t="s">
        <v>46</v>
      </c>
      <c r="C20" s="17"/>
      <c r="D20" s="17"/>
      <c r="E20" s="17" t="s">
        <v>47</v>
      </c>
      <c r="F20" s="17"/>
      <c r="G20" s="17"/>
      <c r="H20" s="17" t="s">
        <v>48</v>
      </c>
      <c r="I20" s="17"/>
      <c r="J20" s="17"/>
    </row>
    <row r="21" spans="1:10" s="1" customFormat="1" ht="13.5" customHeight="1">
      <c r="A21" s="49" t="s">
        <v>0</v>
      </c>
      <c r="B21" s="50"/>
      <c r="C21" s="50"/>
      <c r="D21" s="50"/>
      <c r="E21" s="50"/>
      <c r="F21" s="50"/>
      <c r="G21" s="50"/>
      <c r="H21" s="50"/>
      <c r="I21" s="50"/>
      <c r="J21" s="51"/>
    </row>
    <row r="22" spans="1:10" s="1" customFormat="1" ht="13.5" customHeight="1">
      <c r="A22" s="52" t="s">
        <v>1</v>
      </c>
      <c r="B22" s="53"/>
      <c r="C22" s="53"/>
      <c r="D22" s="53"/>
      <c r="E22" s="53"/>
      <c r="F22" s="53"/>
      <c r="G22" s="53"/>
      <c r="H22" s="53"/>
      <c r="I22" s="53"/>
      <c r="J22" s="54"/>
    </row>
    <row r="23" spans="1:10" s="1" customFormat="1" ht="13.5" customHeight="1">
      <c r="A23" s="2" t="s">
        <v>2</v>
      </c>
      <c r="B23" s="2"/>
      <c r="C23" s="55" t="s">
        <v>49</v>
      </c>
      <c r="D23" s="55"/>
      <c r="E23" s="3"/>
      <c r="F23" s="4"/>
      <c r="G23" s="2" t="s">
        <v>4</v>
      </c>
      <c r="H23" s="56" t="s">
        <v>5</v>
      </c>
      <c r="I23" s="56"/>
      <c r="J23" s="56"/>
    </row>
    <row r="24" spans="1:10" s="1" customFormat="1" ht="13.5" customHeight="1">
      <c r="A24" s="2" t="s">
        <v>6</v>
      </c>
      <c r="B24" s="2"/>
      <c r="C24" s="61" t="s">
        <v>50</v>
      </c>
      <c r="D24" s="61"/>
      <c r="E24" s="3"/>
      <c r="F24" s="4"/>
      <c r="G24" s="2" t="s">
        <v>8</v>
      </c>
      <c r="H24" s="57" t="s">
        <v>9</v>
      </c>
      <c r="I24" s="57"/>
      <c r="J24" s="57"/>
    </row>
    <row r="25" spans="1:10" s="1" customFormat="1" ht="13.5" customHeight="1">
      <c r="A25" s="5" t="s">
        <v>10</v>
      </c>
      <c r="B25" s="5"/>
      <c r="C25" s="5" t="s">
        <v>51</v>
      </c>
      <c r="D25" s="5"/>
      <c r="E25" s="3"/>
      <c r="F25" s="4"/>
      <c r="G25" s="2" t="s">
        <v>12</v>
      </c>
      <c r="H25" s="58" t="s">
        <v>13</v>
      </c>
      <c r="I25" s="58"/>
      <c r="J25" s="58"/>
    </row>
    <row r="26" spans="1:10" s="1" customFormat="1" ht="13.5" customHeight="1">
      <c r="A26" s="3" t="s">
        <v>14</v>
      </c>
      <c r="B26" s="3"/>
      <c r="C26" s="3" t="s">
        <v>15</v>
      </c>
      <c r="D26" s="3"/>
      <c r="E26" s="3"/>
      <c r="F26" s="4"/>
      <c r="G26" s="2" t="s">
        <v>16</v>
      </c>
      <c r="H26" s="59" t="s">
        <v>52</v>
      </c>
      <c r="I26" s="59"/>
      <c r="J26" s="59"/>
    </row>
    <row r="27" spans="1:10" s="1" customFormat="1" ht="13.5" customHeight="1">
      <c r="A27" s="3">
        <v>30</v>
      </c>
      <c r="B27" s="3"/>
      <c r="C27" s="3">
        <f>A27-H27</f>
        <v>2</v>
      </c>
      <c r="D27" s="3"/>
      <c r="E27" s="3"/>
      <c r="F27" s="4"/>
      <c r="G27" s="6" t="s">
        <v>18</v>
      </c>
      <c r="H27" s="29">
        <v>28</v>
      </c>
      <c r="I27" s="29"/>
      <c r="J27" s="29"/>
    </row>
    <row r="28" spans="1:10" s="1" customFormat="1" ht="13.5" customHeight="1">
      <c r="A28" s="30" t="s">
        <v>19</v>
      </c>
      <c r="B28" s="31"/>
      <c r="C28" s="32"/>
      <c r="D28" s="7" t="s">
        <v>20</v>
      </c>
      <c r="E28" s="8" t="s">
        <v>21</v>
      </c>
      <c r="F28" s="9"/>
      <c r="G28" s="10" t="s">
        <v>20</v>
      </c>
      <c r="H28" s="33" t="s">
        <v>22</v>
      </c>
      <c r="I28" s="34"/>
      <c r="J28" s="35"/>
    </row>
    <row r="29" spans="1:10" s="1" customFormat="1" ht="13.5" customHeight="1">
      <c r="A29" s="11" t="s">
        <v>23</v>
      </c>
      <c r="B29" s="2"/>
      <c r="C29" s="2"/>
      <c r="D29" s="3">
        <v>55000</v>
      </c>
      <c r="E29" s="11" t="s">
        <v>24</v>
      </c>
      <c r="F29" s="2"/>
      <c r="G29" s="3" t="s">
        <v>25</v>
      </c>
      <c r="H29" s="12" t="s">
        <v>26</v>
      </c>
      <c r="I29" s="5"/>
      <c r="J29" s="13"/>
    </row>
    <row r="30" spans="1:10" s="1" customFormat="1" ht="13.5" customHeight="1">
      <c r="A30" s="11" t="s">
        <v>27</v>
      </c>
      <c r="B30" s="36" t="s">
        <v>53</v>
      </c>
      <c r="C30" s="36"/>
      <c r="D30" s="3">
        <v>12375</v>
      </c>
      <c r="E30" s="11" t="s">
        <v>29</v>
      </c>
      <c r="F30" s="2"/>
      <c r="G30" s="3" t="s">
        <v>25</v>
      </c>
      <c r="H30" s="12" t="s">
        <v>30</v>
      </c>
      <c r="I30" s="5"/>
      <c r="J30" s="13"/>
    </row>
    <row r="31" spans="1:10" s="1" customFormat="1" ht="13.5" customHeight="1">
      <c r="A31" s="11" t="s">
        <v>31</v>
      </c>
      <c r="B31" s="2"/>
      <c r="C31" s="2"/>
      <c r="D31" s="3" t="s">
        <v>25</v>
      </c>
      <c r="E31" s="11" t="s">
        <v>32</v>
      </c>
      <c r="F31" s="2"/>
      <c r="G31" s="3" t="s">
        <v>25</v>
      </c>
      <c r="H31" s="12" t="s">
        <v>33</v>
      </c>
      <c r="I31" s="5"/>
      <c r="J31" s="13"/>
    </row>
    <row r="32" spans="1:10" s="1" customFormat="1" ht="13.5" customHeight="1">
      <c r="A32" s="11" t="s">
        <v>34</v>
      </c>
      <c r="B32" s="2"/>
      <c r="C32" s="2"/>
      <c r="D32" s="3" t="s">
        <v>25</v>
      </c>
      <c r="E32" s="11" t="s">
        <v>35</v>
      </c>
      <c r="F32" s="2"/>
      <c r="G32" s="3">
        <v>3667</v>
      </c>
      <c r="H32" s="12"/>
      <c r="I32" s="5"/>
      <c r="J32" s="13"/>
    </row>
    <row r="33" spans="1:10" s="1" customFormat="1" ht="13.5" customHeight="1">
      <c r="A33" s="11" t="s">
        <v>36</v>
      </c>
      <c r="B33" s="2"/>
      <c r="C33" s="2"/>
      <c r="D33" s="3" t="s">
        <v>25</v>
      </c>
      <c r="E33" s="11" t="s">
        <v>37</v>
      </c>
      <c r="F33" s="2"/>
      <c r="G33" s="3">
        <v>100</v>
      </c>
      <c r="H33" s="12" t="s">
        <v>54</v>
      </c>
      <c r="I33" s="5"/>
      <c r="J33" s="14"/>
    </row>
    <row r="34" spans="1:10" s="1" customFormat="1" ht="13.5" customHeight="1">
      <c r="A34" s="11" t="s">
        <v>38</v>
      </c>
      <c r="B34" s="2"/>
      <c r="C34" s="2"/>
      <c r="D34" s="3" t="s">
        <v>25</v>
      </c>
      <c r="E34" s="11" t="s">
        <v>39</v>
      </c>
      <c r="F34" s="2"/>
      <c r="G34" s="3" t="s">
        <v>25</v>
      </c>
      <c r="H34" s="12" t="s">
        <v>55</v>
      </c>
      <c r="I34" s="5"/>
      <c r="J34" s="14"/>
    </row>
    <row r="35" spans="1:10" s="1" customFormat="1" ht="13.5" customHeight="1">
      <c r="A35" s="12" t="s">
        <v>40</v>
      </c>
      <c r="B35" s="5"/>
      <c r="C35" s="5"/>
      <c r="D35" s="3" t="s">
        <v>25</v>
      </c>
      <c r="E35" s="11" t="s">
        <v>56</v>
      </c>
      <c r="F35" s="3">
        <v>24</v>
      </c>
      <c r="G35" s="3">
        <v>5500</v>
      </c>
      <c r="H35" s="12"/>
      <c r="I35" s="5"/>
      <c r="J35" s="13"/>
    </row>
    <row r="36" spans="1:10" s="1" customFormat="1" ht="13.5" customHeight="1">
      <c r="A36" s="44" t="s">
        <v>42</v>
      </c>
      <c r="B36" s="45"/>
      <c r="C36" s="46"/>
      <c r="D36" s="42">
        <f>SUM(D29:D35)</f>
        <v>67375</v>
      </c>
      <c r="E36" s="2" t="s">
        <v>43</v>
      </c>
      <c r="F36" s="2"/>
      <c r="G36" s="3" t="s">
        <v>25</v>
      </c>
      <c r="H36" s="12"/>
      <c r="I36" s="5"/>
      <c r="J36" s="13"/>
    </row>
    <row r="37" spans="1:10" s="1" customFormat="1" ht="13.5" customHeight="1">
      <c r="A37" s="47"/>
      <c r="B37" s="29"/>
      <c r="C37" s="48"/>
      <c r="D37" s="43"/>
      <c r="E37" s="15" t="s">
        <v>21</v>
      </c>
      <c r="F37" s="16"/>
      <c r="G37" s="7">
        <f>SUM(G29:G36)</f>
        <v>9267</v>
      </c>
      <c r="H37" s="15" t="s">
        <v>44</v>
      </c>
      <c r="I37" s="16"/>
      <c r="J37" s="7">
        <f>D36-G37</f>
        <v>58108</v>
      </c>
    </row>
    <row r="38" spans="1:10" s="1" customFormat="1" ht="13.5" customHeight="1">
      <c r="A38" s="4" t="s">
        <v>45</v>
      </c>
      <c r="B38" s="4"/>
      <c r="C38" s="4"/>
      <c r="D38" s="4"/>
      <c r="E38" s="4"/>
      <c r="F38" s="4"/>
      <c r="G38" s="4"/>
      <c r="H38" s="4"/>
      <c r="I38" s="4"/>
      <c r="J38" s="4"/>
    </row>
    <row r="39" spans="1:10" s="1" customFormat="1" ht="13.5" customHeight="1"/>
    <row r="40" spans="1:10" ht="13.5" customHeight="1">
      <c r="A40" s="17"/>
      <c r="B40" s="17" t="s">
        <v>46</v>
      </c>
      <c r="C40" s="17"/>
      <c r="D40" s="17"/>
      <c r="E40" s="17" t="s">
        <v>47</v>
      </c>
      <c r="F40" s="17"/>
      <c r="G40" s="17"/>
      <c r="H40" s="17" t="s">
        <v>48</v>
      </c>
      <c r="I40" s="17"/>
      <c r="J40" s="17"/>
    </row>
    <row r="41" spans="1:10" s="1" customFormat="1" ht="13.5" customHeight="1">
      <c r="A41" s="49" t="s">
        <v>0</v>
      </c>
      <c r="B41" s="50"/>
      <c r="C41" s="50"/>
      <c r="D41" s="50"/>
      <c r="E41" s="50"/>
      <c r="F41" s="50"/>
      <c r="G41" s="50"/>
      <c r="H41" s="50"/>
      <c r="I41" s="50"/>
      <c r="J41" s="51"/>
    </row>
    <row r="42" spans="1:10" s="1" customFormat="1" ht="13.5" customHeight="1">
      <c r="A42" s="52" t="s">
        <v>1</v>
      </c>
      <c r="B42" s="53"/>
      <c r="C42" s="53"/>
      <c r="D42" s="53"/>
      <c r="E42" s="53"/>
      <c r="F42" s="53"/>
      <c r="G42" s="53"/>
      <c r="H42" s="53"/>
      <c r="I42" s="53"/>
      <c r="J42" s="54"/>
    </row>
    <row r="43" spans="1:10" s="1" customFormat="1" ht="13.5" customHeight="1">
      <c r="A43" s="2" t="s">
        <v>2</v>
      </c>
      <c r="B43" s="2"/>
      <c r="C43" s="55" t="s">
        <v>49</v>
      </c>
      <c r="D43" s="55"/>
      <c r="E43" s="3"/>
      <c r="F43" s="4"/>
      <c r="G43" s="2" t="s">
        <v>4</v>
      </c>
      <c r="H43" s="56" t="s">
        <v>5</v>
      </c>
      <c r="I43" s="56"/>
      <c r="J43" s="56"/>
    </row>
    <row r="44" spans="1:10" s="1" customFormat="1" ht="13.5" customHeight="1">
      <c r="A44" s="2" t="s">
        <v>6</v>
      </c>
      <c r="B44" s="2"/>
      <c r="C44" s="61" t="s">
        <v>57</v>
      </c>
      <c r="D44" s="61"/>
      <c r="E44" s="3"/>
      <c r="F44" s="4"/>
      <c r="G44" s="2" t="s">
        <v>8</v>
      </c>
      <c r="H44" s="57" t="s">
        <v>9</v>
      </c>
      <c r="I44" s="57"/>
      <c r="J44" s="57"/>
    </row>
    <row r="45" spans="1:10" s="1" customFormat="1" ht="13.5" customHeight="1">
      <c r="A45" s="5" t="s">
        <v>10</v>
      </c>
      <c r="B45" s="5"/>
      <c r="C45" s="5" t="s">
        <v>51</v>
      </c>
      <c r="D45" s="5"/>
      <c r="E45" s="3"/>
      <c r="F45" s="4"/>
      <c r="G45" s="2" t="s">
        <v>12</v>
      </c>
      <c r="H45" s="58" t="s">
        <v>13</v>
      </c>
      <c r="I45" s="58"/>
      <c r="J45" s="58"/>
    </row>
    <row r="46" spans="1:10" s="1" customFormat="1" ht="13.5" customHeight="1">
      <c r="A46" s="3" t="s">
        <v>14</v>
      </c>
      <c r="B46" s="3"/>
      <c r="C46" s="3" t="s">
        <v>15</v>
      </c>
      <c r="D46" s="3"/>
      <c r="E46" s="3"/>
      <c r="F46" s="4"/>
      <c r="G46" s="2" t="s">
        <v>16</v>
      </c>
      <c r="H46" s="59" t="s">
        <v>58</v>
      </c>
      <c r="I46" s="59"/>
      <c r="J46" s="59"/>
    </row>
    <row r="47" spans="1:10" s="1" customFormat="1" ht="13.5" customHeight="1">
      <c r="A47" s="3">
        <v>30</v>
      </c>
      <c r="B47" s="3"/>
      <c r="C47" s="3">
        <f>A47-H47</f>
        <v>0</v>
      </c>
      <c r="D47" s="3"/>
      <c r="E47" s="3"/>
      <c r="F47" s="4"/>
      <c r="G47" s="6" t="s">
        <v>18</v>
      </c>
      <c r="H47" s="29">
        <v>30</v>
      </c>
      <c r="I47" s="29"/>
      <c r="J47" s="29"/>
    </row>
    <row r="48" spans="1:10" s="1" customFormat="1" ht="13.5" customHeight="1">
      <c r="A48" s="30" t="s">
        <v>19</v>
      </c>
      <c r="B48" s="31"/>
      <c r="C48" s="32"/>
      <c r="D48" s="7" t="s">
        <v>20</v>
      </c>
      <c r="E48" s="8" t="s">
        <v>21</v>
      </c>
      <c r="F48" s="9"/>
      <c r="G48" s="10" t="s">
        <v>20</v>
      </c>
      <c r="H48" s="33" t="s">
        <v>22</v>
      </c>
      <c r="I48" s="34"/>
      <c r="J48" s="35"/>
    </row>
    <row r="49" spans="1:10" s="1" customFormat="1" ht="13.5" customHeight="1">
      <c r="A49" s="11" t="s">
        <v>23</v>
      </c>
      <c r="B49" s="2"/>
      <c r="C49" s="2"/>
      <c r="D49" s="3">
        <v>55000</v>
      </c>
      <c r="E49" s="11" t="s">
        <v>24</v>
      </c>
      <c r="F49" s="2"/>
      <c r="G49" s="3" t="s">
        <v>25</v>
      </c>
      <c r="H49" s="12" t="s">
        <v>26</v>
      </c>
      <c r="I49" s="5"/>
      <c r="J49" s="13"/>
    </row>
    <row r="50" spans="1:10" s="1" customFormat="1" ht="13.5" customHeight="1">
      <c r="A50" s="11" t="s">
        <v>27</v>
      </c>
      <c r="B50" s="36" t="s">
        <v>59</v>
      </c>
      <c r="C50" s="36"/>
      <c r="D50" s="3">
        <v>18333</v>
      </c>
      <c r="E50" s="11" t="s">
        <v>29</v>
      </c>
      <c r="F50" s="2"/>
      <c r="G50" s="3" t="s">
        <v>25</v>
      </c>
      <c r="H50" s="12" t="s">
        <v>30</v>
      </c>
      <c r="I50" s="5"/>
      <c r="J50" s="13"/>
    </row>
    <row r="51" spans="1:10" s="1" customFormat="1" ht="13.5" customHeight="1">
      <c r="A51" s="11" t="s">
        <v>31</v>
      </c>
      <c r="B51" s="2"/>
      <c r="C51" s="2"/>
      <c r="D51" s="3" t="s">
        <v>25</v>
      </c>
      <c r="E51" s="11" t="s">
        <v>60</v>
      </c>
      <c r="F51" s="2"/>
      <c r="G51" s="3">
        <v>800</v>
      </c>
      <c r="H51" s="12" t="s">
        <v>33</v>
      </c>
      <c r="I51" s="5"/>
      <c r="J51" s="13"/>
    </row>
    <row r="52" spans="1:10" s="1" customFormat="1" ht="13.5" customHeight="1">
      <c r="A52" s="11" t="s">
        <v>34</v>
      </c>
      <c r="B52" s="2"/>
      <c r="C52" s="2"/>
      <c r="D52" s="3" t="s">
        <v>25</v>
      </c>
      <c r="E52" s="11" t="s">
        <v>35</v>
      </c>
      <c r="F52" s="2"/>
      <c r="G52" s="3" t="s">
        <v>25</v>
      </c>
      <c r="H52" s="12"/>
      <c r="I52" s="5"/>
      <c r="J52" s="13"/>
    </row>
    <row r="53" spans="1:10" s="1" customFormat="1" ht="13.5" customHeight="1">
      <c r="A53" s="11" t="s">
        <v>36</v>
      </c>
      <c r="B53" s="2"/>
      <c r="C53" s="2"/>
      <c r="D53" s="3" t="s">
        <v>25</v>
      </c>
      <c r="E53" s="11" t="s">
        <v>37</v>
      </c>
      <c r="F53" s="2"/>
      <c r="G53" s="3">
        <v>100</v>
      </c>
      <c r="H53" s="12" t="s">
        <v>61</v>
      </c>
      <c r="I53" s="5"/>
      <c r="J53" s="14"/>
    </row>
    <row r="54" spans="1:10" s="1" customFormat="1" ht="13.5" customHeight="1">
      <c r="A54" s="11" t="s">
        <v>38</v>
      </c>
      <c r="B54" s="2"/>
      <c r="C54" s="2"/>
      <c r="D54" s="3" t="s">
        <v>25</v>
      </c>
      <c r="E54" s="11" t="s">
        <v>39</v>
      </c>
      <c r="F54" s="2"/>
      <c r="G54" s="3" t="s">
        <v>25</v>
      </c>
      <c r="H54" s="12" t="s">
        <v>62</v>
      </c>
      <c r="I54" s="5"/>
      <c r="J54" s="14"/>
    </row>
    <row r="55" spans="1:10" s="1" customFormat="1" ht="13.5" customHeight="1">
      <c r="A55" s="12" t="s">
        <v>40</v>
      </c>
      <c r="B55" s="5"/>
      <c r="C55" s="5"/>
      <c r="D55" s="3" t="s">
        <v>25</v>
      </c>
      <c r="E55" s="11" t="s">
        <v>41</v>
      </c>
      <c r="F55" s="2"/>
      <c r="G55" s="3" t="s">
        <v>25</v>
      </c>
      <c r="H55" s="12"/>
      <c r="I55" s="5"/>
      <c r="J55" s="13"/>
    </row>
    <row r="56" spans="1:10" s="1" customFormat="1" ht="13.5" customHeight="1">
      <c r="A56" s="44" t="s">
        <v>42</v>
      </c>
      <c r="B56" s="45"/>
      <c r="C56" s="46"/>
      <c r="D56" s="42">
        <f>SUM(D49:D55)</f>
        <v>73333</v>
      </c>
      <c r="E56" s="2" t="s">
        <v>43</v>
      </c>
      <c r="F56" s="2"/>
      <c r="G56" s="3" t="s">
        <v>25</v>
      </c>
      <c r="H56" s="12"/>
      <c r="I56" s="5"/>
      <c r="J56" s="13"/>
    </row>
    <row r="57" spans="1:10" s="1" customFormat="1" ht="13.5" customHeight="1">
      <c r="A57" s="47"/>
      <c r="B57" s="29"/>
      <c r="C57" s="48"/>
      <c r="D57" s="43"/>
      <c r="E57" s="15" t="s">
        <v>21</v>
      </c>
      <c r="F57" s="16"/>
      <c r="G57" s="7">
        <f>SUM(G49:G56)</f>
        <v>900</v>
      </c>
      <c r="H57" s="15" t="s">
        <v>44</v>
      </c>
      <c r="I57" s="16"/>
      <c r="J57" s="7">
        <f>D56-G57</f>
        <v>72433</v>
      </c>
    </row>
    <row r="58" spans="1:10" s="1" customFormat="1" ht="13.5" customHeight="1">
      <c r="A58" s="4" t="s">
        <v>45</v>
      </c>
      <c r="B58" s="4"/>
      <c r="C58" s="4"/>
      <c r="D58" s="4"/>
      <c r="E58" s="4"/>
      <c r="F58" s="4"/>
      <c r="G58" s="4"/>
      <c r="H58" s="4"/>
      <c r="I58" s="4"/>
      <c r="J58" s="4"/>
    </row>
    <row r="59" spans="1:10" s="1" customFormat="1" ht="13.5" customHeight="1"/>
    <row r="60" spans="1:10" ht="13.5" customHeight="1">
      <c r="A60" s="17"/>
      <c r="B60" s="17" t="s">
        <v>46</v>
      </c>
      <c r="C60" s="17"/>
      <c r="D60" s="17"/>
      <c r="E60" s="17" t="s">
        <v>47</v>
      </c>
      <c r="F60" s="17"/>
      <c r="G60" s="17"/>
      <c r="H60" s="17" t="s">
        <v>48</v>
      </c>
      <c r="I60" s="17"/>
      <c r="J60" s="17"/>
    </row>
    <row r="61" spans="1:10" s="1" customFormat="1" ht="13.5" customHeight="1">
      <c r="A61" s="49" t="s">
        <v>0</v>
      </c>
      <c r="B61" s="50"/>
      <c r="C61" s="50"/>
      <c r="D61" s="50"/>
      <c r="E61" s="50"/>
      <c r="F61" s="50"/>
      <c r="G61" s="50"/>
      <c r="H61" s="50"/>
      <c r="I61" s="50"/>
      <c r="J61" s="51"/>
    </row>
    <row r="62" spans="1:10" s="1" customFormat="1" ht="13.5" customHeight="1">
      <c r="A62" s="52" t="s">
        <v>1</v>
      </c>
      <c r="B62" s="53"/>
      <c r="C62" s="53"/>
      <c r="D62" s="53"/>
      <c r="E62" s="53"/>
      <c r="F62" s="53"/>
      <c r="G62" s="53"/>
      <c r="H62" s="53"/>
      <c r="I62" s="53"/>
      <c r="J62" s="54"/>
    </row>
    <row r="63" spans="1:10" s="1" customFormat="1" ht="13.5" customHeight="1">
      <c r="A63" s="2" t="s">
        <v>2</v>
      </c>
      <c r="B63" s="2"/>
      <c r="C63" s="55" t="s">
        <v>63</v>
      </c>
      <c r="D63" s="55"/>
      <c r="E63" s="3"/>
      <c r="F63" s="4"/>
      <c r="G63" s="2" t="s">
        <v>4</v>
      </c>
      <c r="H63" s="56" t="s">
        <v>5</v>
      </c>
      <c r="I63" s="56"/>
      <c r="J63" s="56"/>
    </row>
    <row r="64" spans="1:10" s="1" customFormat="1" ht="13.5" customHeight="1">
      <c r="A64" s="2" t="s">
        <v>6</v>
      </c>
      <c r="B64" s="2"/>
      <c r="C64" s="18" t="s">
        <v>64</v>
      </c>
      <c r="D64" s="18"/>
      <c r="E64" s="3"/>
      <c r="F64" s="4"/>
      <c r="G64" s="2" t="s">
        <v>8</v>
      </c>
      <c r="H64" s="57" t="s">
        <v>9</v>
      </c>
      <c r="I64" s="57"/>
      <c r="J64" s="57"/>
    </row>
    <row r="65" spans="1:10" s="1" customFormat="1" ht="13.5" customHeight="1">
      <c r="A65" s="5" t="s">
        <v>10</v>
      </c>
      <c r="B65" s="5"/>
      <c r="C65" s="36" t="s">
        <v>65</v>
      </c>
      <c r="D65" s="36"/>
      <c r="E65" s="3"/>
      <c r="F65" s="4"/>
      <c r="G65" s="2" t="s">
        <v>12</v>
      </c>
      <c r="H65" s="58" t="s">
        <v>13</v>
      </c>
      <c r="I65" s="58"/>
      <c r="J65" s="58"/>
    </row>
    <row r="66" spans="1:10" s="1" customFormat="1" ht="13.5" customHeight="1">
      <c r="A66" s="3" t="s">
        <v>14</v>
      </c>
      <c r="B66" s="3"/>
      <c r="C66" s="3" t="s">
        <v>15</v>
      </c>
      <c r="D66" s="3"/>
      <c r="E66" s="3"/>
      <c r="F66" s="4"/>
      <c r="G66" s="2" t="s">
        <v>16</v>
      </c>
      <c r="H66" s="59" t="s">
        <v>66</v>
      </c>
      <c r="I66" s="59"/>
      <c r="J66" s="59"/>
    </row>
    <row r="67" spans="1:10" s="1" customFormat="1" ht="13.5" customHeight="1">
      <c r="A67" s="3">
        <v>30</v>
      </c>
      <c r="B67" s="3"/>
      <c r="C67" s="3">
        <f>A67-H67</f>
        <v>21</v>
      </c>
      <c r="D67" s="3"/>
      <c r="E67" s="3"/>
      <c r="F67" s="4"/>
      <c r="G67" s="6" t="s">
        <v>18</v>
      </c>
      <c r="H67" s="29">
        <v>9</v>
      </c>
      <c r="I67" s="29"/>
      <c r="J67" s="29"/>
    </row>
    <row r="68" spans="1:10" s="1" customFormat="1" ht="13.5" customHeight="1">
      <c r="A68" s="30" t="s">
        <v>19</v>
      </c>
      <c r="B68" s="31"/>
      <c r="C68" s="32"/>
      <c r="D68" s="7" t="s">
        <v>20</v>
      </c>
      <c r="E68" s="8" t="s">
        <v>21</v>
      </c>
      <c r="F68" s="9"/>
      <c r="G68" s="10" t="s">
        <v>20</v>
      </c>
      <c r="H68" s="33" t="s">
        <v>22</v>
      </c>
      <c r="I68" s="34"/>
      <c r="J68" s="35"/>
    </row>
    <row r="69" spans="1:10" s="1" customFormat="1" ht="13.5" customHeight="1">
      <c r="A69" s="11" t="s">
        <v>23</v>
      </c>
      <c r="B69" s="2"/>
      <c r="C69" s="2"/>
      <c r="D69" s="3">
        <v>55000</v>
      </c>
      <c r="E69" s="11" t="s">
        <v>24</v>
      </c>
      <c r="F69" s="2"/>
      <c r="G69" s="3" t="s">
        <v>25</v>
      </c>
      <c r="H69" s="12" t="s">
        <v>26</v>
      </c>
      <c r="I69" s="5"/>
      <c r="J69" s="13"/>
    </row>
    <row r="70" spans="1:10" s="1" customFormat="1" ht="13.5" customHeight="1">
      <c r="A70" s="11" t="s">
        <v>27</v>
      </c>
      <c r="B70" s="36"/>
      <c r="C70" s="36"/>
      <c r="D70" s="3" t="s">
        <v>25</v>
      </c>
      <c r="E70" s="11" t="s">
        <v>29</v>
      </c>
      <c r="F70" s="2"/>
      <c r="G70" s="3" t="s">
        <v>25</v>
      </c>
      <c r="H70" s="12" t="s">
        <v>30</v>
      </c>
      <c r="I70" s="5"/>
      <c r="J70" s="13"/>
    </row>
    <row r="71" spans="1:10" s="1" customFormat="1" ht="13.5" customHeight="1">
      <c r="A71" s="11" t="s">
        <v>31</v>
      </c>
      <c r="B71" s="2"/>
      <c r="C71" s="2"/>
      <c r="D71" s="3" t="s">
        <v>25</v>
      </c>
      <c r="E71" s="11" t="s">
        <v>32</v>
      </c>
      <c r="F71" s="2"/>
      <c r="G71" s="3" t="s">
        <v>25</v>
      </c>
      <c r="H71" s="12" t="s">
        <v>33</v>
      </c>
      <c r="I71" s="5"/>
      <c r="J71" s="13"/>
    </row>
    <row r="72" spans="1:10" s="1" customFormat="1" ht="13.5" customHeight="1">
      <c r="A72" s="11" t="s">
        <v>34</v>
      </c>
      <c r="B72" s="2"/>
      <c r="C72" s="2"/>
      <c r="D72" s="3" t="s">
        <v>25</v>
      </c>
      <c r="E72" s="11" t="s">
        <v>35</v>
      </c>
      <c r="F72" s="2"/>
      <c r="G72" s="3">
        <v>38500</v>
      </c>
      <c r="H72" s="12"/>
      <c r="I72" s="5"/>
      <c r="J72" s="13"/>
    </row>
    <row r="73" spans="1:10" s="1" customFormat="1" ht="13.5" customHeight="1">
      <c r="A73" s="11" t="s">
        <v>36</v>
      </c>
      <c r="B73" s="2"/>
      <c r="C73" s="2"/>
      <c r="D73" s="3" t="s">
        <v>25</v>
      </c>
      <c r="E73" s="11" t="s">
        <v>37</v>
      </c>
      <c r="F73" s="2"/>
      <c r="G73" s="3">
        <v>100</v>
      </c>
      <c r="H73" s="12" t="s">
        <v>67</v>
      </c>
      <c r="I73" s="5"/>
      <c r="J73" s="14"/>
    </row>
    <row r="74" spans="1:10" s="1" customFormat="1" ht="13.5" customHeight="1">
      <c r="A74" s="11" t="s">
        <v>38</v>
      </c>
      <c r="B74" s="2"/>
      <c r="C74" s="2"/>
      <c r="D74" s="3" t="s">
        <v>25</v>
      </c>
      <c r="E74" s="11" t="s">
        <v>39</v>
      </c>
      <c r="F74" s="2"/>
      <c r="G74" s="3" t="s">
        <v>25</v>
      </c>
      <c r="H74" s="12"/>
      <c r="I74" s="5"/>
      <c r="J74" s="14"/>
    </row>
    <row r="75" spans="1:10" s="1" customFormat="1" ht="13.5" customHeight="1">
      <c r="A75" s="12" t="s">
        <v>40</v>
      </c>
      <c r="B75" s="5"/>
      <c r="C75" s="5"/>
      <c r="D75" s="3" t="s">
        <v>25</v>
      </c>
      <c r="E75" s="11" t="s">
        <v>41</v>
      </c>
      <c r="F75" s="2"/>
      <c r="G75" s="3" t="s">
        <v>25</v>
      </c>
      <c r="H75" s="12"/>
      <c r="I75" s="5"/>
      <c r="J75" s="13"/>
    </row>
    <row r="76" spans="1:10" s="1" customFormat="1" ht="13.5" customHeight="1">
      <c r="A76" s="44" t="s">
        <v>42</v>
      </c>
      <c r="B76" s="45"/>
      <c r="C76" s="46"/>
      <c r="D76" s="42">
        <f>SUM(D69:D75)</f>
        <v>55000</v>
      </c>
      <c r="E76" s="2" t="s">
        <v>43</v>
      </c>
      <c r="F76" s="2"/>
      <c r="G76" s="3" t="s">
        <v>25</v>
      </c>
      <c r="H76" s="12"/>
      <c r="I76" s="5"/>
      <c r="J76" s="13"/>
    </row>
    <row r="77" spans="1:10" s="1" customFormat="1" ht="13.5" customHeight="1">
      <c r="A77" s="47"/>
      <c r="B77" s="29"/>
      <c r="C77" s="48"/>
      <c r="D77" s="43"/>
      <c r="E77" s="15" t="s">
        <v>21</v>
      </c>
      <c r="F77" s="16"/>
      <c r="G77" s="7">
        <f>SUM(G69:G76)</f>
        <v>38600</v>
      </c>
      <c r="H77" s="15" t="s">
        <v>44</v>
      </c>
      <c r="I77" s="16"/>
      <c r="J77" s="7">
        <f>D76-G77</f>
        <v>16400</v>
      </c>
    </row>
    <row r="78" spans="1:10" s="1" customFormat="1" ht="13.5" customHeight="1">
      <c r="A78" s="4" t="s">
        <v>45</v>
      </c>
      <c r="B78" s="4"/>
      <c r="C78" s="4"/>
      <c r="D78" s="4"/>
      <c r="E78" s="4"/>
      <c r="F78" s="4"/>
      <c r="G78" s="4"/>
      <c r="H78" s="4"/>
      <c r="I78" s="4"/>
      <c r="J78" s="4"/>
    </row>
    <row r="79" spans="1:10" s="1" customFormat="1" ht="13.5" customHeight="1"/>
    <row r="80" spans="1:10" ht="13.5" customHeight="1">
      <c r="A80" s="17"/>
      <c r="B80" s="17" t="s">
        <v>46</v>
      </c>
      <c r="C80" s="17"/>
      <c r="D80" s="17"/>
      <c r="E80" s="17" t="s">
        <v>47</v>
      </c>
      <c r="F80" s="17"/>
      <c r="G80" s="17"/>
      <c r="H80" s="17" t="s">
        <v>48</v>
      </c>
      <c r="I80" s="17"/>
      <c r="J80" s="17"/>
    </row>
    <row r="81" spans="1:10" s="1" customFormat="1" ht="13.5" customHeight="1">
      <c r="A81" s="49" t="s">
        <v>0</v>
      </c>
      <c r="B81" s="50"/>
      <c r="C81" s="50"/>
      <c r="D81" s="50"/>
      <c r="E81" s="50"/>
      <c r="F81" s="50"/>
      <c r="G81" s="50"/>
      <c r="H81" s="50"/>
      <c r="I81" s="50"/>
      <c r="J81" s="51"/>
    </row>
    <row r="82" spans="1:10" s="1" customFormat="1" ht="13.5" customHeight="1">
      <c r="A82" s="52" t="s">
        <v>1</v>
      </c>
      <c r="B82" s="53"/>
      <c r="C82" s="53"/>
      <c r="D82" s="53"/>
      <c r="E82" s="53"/>
      <c r="F82" s="53"/>
      <c r="G82" s="53"/>
      <c r="H82" s="53"/>
      <c r="I82" s="53"/>
      <c r="J82" s="54"/>
    </row>
    <row r="83" spans="1:10" s="1" customFormat="1" ht="13.5" customHeight="1">
      <c r="A83" s="2" t="s">
        <v>2</v>
      </c>
      <c r="B83" s="2"/>
      <c r="C83" s="55" t="s">
        <v>68</v>
      </c>
      <c r="D83" s="55"/>
      <c r="E83" s="3"/>
      <c r="F83" s="4"/>
      <c r="G83" s="2" t="s">
        <v>4</v>
      </c>
      <c r="H83" s="56" t="s">
        <v>5</v>
      </c>
      <c r="I83" s="56"/>
      <c r="J83" s="56"/>
    </row>
    <row r="84" spans="1:10" s="1" customFormat="1" ht="13.5" customHeight="1">
      <c r="A84" s="2" t="s">
        <v>6</v>
      </c>
      <c r="B84" s="2"/>
      <c r="C84" s="18" t="s">
        <v>69</v>
      </c>
      <c r="D84" s="18"/>
      <c r="E84" s="3"/>
      <c r="F84" s="4"/>
      <c r="G84" s="2" t="s">
        <v>8</v>
      </c>
      <c r="H84" s="57" t="s">
        <v>9</v>
      </c>
      <c r="I84" s="57"/>
      <c r="J84" s="57"/>
    </row>
    <row r="85" spans="1:10" s="1" customFormat="1" ht="13.5" customHeight="1">
      <c r="A85" s="5" t="s">
        <v>10</v>
      </c>
      <c r="B85" s="5"/>
      <c r="C85" s="55" t="s">
        <v>70</v>
      </c>
      <c r="D85" s="55"/>
      <c r="E85" s="3"/>
      <c r="F85" s="4"/>
      <c r="G85" s="2" t="s">
        <v>12</v>
      </c>
      <c r="H85" s="58" t="s">
        <v>13</v>
      </c>
      <c r="I85" s="58"/>
      <c r="J85" s="58"/>
    </row>
    <row r="86" spans="1:10" s="1" customFormat="1" ht="13.5" customHeight="1">
      <c r="A86" s="3" t="s">
        <v>14</v>
      </c>
      <c r="B86" s="3"/>
      <c r="C86" s="3" t="s">
        <v>15</v>
      </c>
      <c r="D86" s="3"/>
      <c r="E86" s="3"/>
      <c r="F86" s="4"/>
      <c r="G86" s="2" t="s">
        <v>16</v>
      </c>
      <c r="H86" s="59" t="s">
        <v>71</v>
      </c>
      <c r="I86" s="59"/>
      <c r="J86" s="59"/>
    </row>
    <row r="87" spans="1:10" s="1" customFormat="1" ht="13.5" customHeight="1">
      <c r="A87" s="3">
        <v>30</v>
      </c>
      <c r="B87" s="3"/>
      <c r="C87" s="3">
        <f>A87-H87</f>
        <v>1</v>
      </c>
      <c r="D87" s="3"/>
      <c r="E87" s="3"/>
      <c r="F87" s="4"/>
      <c r="G87" s="6" t="s">
        <v>18</v>
      </c>
      <c r="H87" s="29">
        <v>29</v>
      </c>
      <c r="I87" s="29"/>
      <c r="J87" s="29"/>
    </row>
    <row r="88" spans="1:10" s="1" customFormat="1" ht="13.5" customHeight="1">
      <c r="A88" s="30" t="s">
        <v>19</v>
      </c>
      <c r="B88" s="31"/>
      <c r="C88" s="32"/>
      <c r="D88" s="7" t="s">
        <v>20</v>
      </c>
      <c r="E88" s="8" t="s">
        <v>21</v>
      </c>
      <c r="F88" s="9"/>
      <c r="G88" s="10" t="s">
        <v>20</v>
      </c>
      <c r="H88" s="33" t="s">
        <v>22</v>
      </c>
      <c r="I88" s="34"/>
      <c r="J88" s="35"/>
    </row>
    <row r="89" spans="1:10" s="1" customFormat="1" ht="13.5" customHeight="1">
      <c r="A89" s="11" t="s">
        <v>23</v>
      </c>
      <c r="B89" s="2"/>
      <c r="C89" s="2"/>
      <c r="D89" s="3">
        <v>40000</v>
      </c>
      <c r="E89" s="11" t="s">
        <v>24</v>
      </c>
      <c r="F89" s="2"/>
      <c r="G89" s="3" t="s">
        <v>25</v>
      </c>
      <c r="H89" s="12" t="s">
        <v>26</v>
      </c>
      <c r="I89" s="5"/>
      <c r="J89" s="13"/>
    </row>
    <row r="90" spans="1:10" s="1" customFormat="1" ht="13.5" customHeight="1">
      <c r="A90" s="11" t="s">
        <v>27</v>
      </c>
      <c r="B90" s="36" t="s">
        <v>72</v>
      </c>
      <c r="C90" s="36"/>
      <c r="D90" s="3">
        <v>4000</v>
      </c>
      <c r="E90" s="11" t="s">
        <v>29</v>
      </c>
      <c r="F90" s="2"/>
      <c r="G90" s="3" t="s">
        <v>25</v>
      </c>
      <c r="H90" s="12" t="s">
        <v>30</v>
      </c>
      <c r="I90" s="5"/>
      <c r="J90" s="13"/>
    </row>
    <row r="91" spans="1:10" s="1" customFormat="1" ht="13.5" customHeight="1">
      <c r="A91" s="11" t="s">
        <v>31</v>
      </c>
      <c r="B91" s="2"/>
      <c r="C91" s="2"/>
      <c r="D91" s="3" t="s">
        <v>25</v>
      </c>
      <c r="E91" s="11" t="s">
        <v>32</v>
      </c>
      <c r="F91" s="2"/>
      <c r="G91" s="3" t="s">
        <v>25</v>
      </c>
      <c r="H91" s="12" t="s">
        <v>33</v>
      </c>
      <c r="I91" s="5"/>
      <c r="J91" s="13"/>
    </row>
    <row r="92" spans="1:10" s="1" customFormat="1" ht="13.5" customHeight="1">
      <c r="A92" s="11" t="s">
        <v>34</v>
      </c>
      <c r="B92" s="2"/>
      <c r="C92" s="2"/>
      <c r="D92" s="3" t="s">
        <v>25</v>
      </c>
      <c r="E92" s="11" t="s">
        <v>35</v>
      </c>
      <c r="F92" s="2"/>
      <c r="G92" s="3">
        <v>1333</v>
      </c>
      <c r="H92" s="12"/>
      <c r="I92" s="5"/>
      <c r="J92" s="13"/>
    </row>
    <row r="93" spans="1:10" s="1" customFormat="1" ht="13.5" customHeight="1">
      <c r="A93" s="11" t="s">
        <v>36</v>
      </c>
      <c r="B93" s="2"/>
      <c r="C93" s="2"/>
      <c r="D93" s="3" t="s">
        <v>25</v>
      </c>
      <c r="E93" s="11" t="s">
        <v>37</v>
      </c>
      <c r="F93" s="2"/>
      <c r="G93" s="3">
        <v>100</v>
      </c>
      <c r="H93" s="12"/>
      <c r="I93" s="5"/>
      <c r="J93" s="14"/>
    </row>
    <row r="94" spans="1:10" s="1" customFormat="1" ht="13.5" customHeight="1">
      <c r="A94" s="11" t="s">
        <v>38</v>
      </c>
      <c r="B94" s="2"/>
      <c r="C94" s="2"/>
      <c r="D94" s="3" t="s">
        <v>25</v>
      </c>
      <c r="E94" s="11" t="s">
        <v>39</v>
      </c>
      <c r="F94" s="2"/>
      <c r="G94" s="3" t="s">
        <v>25</v>
      </c>
      <c r="H94" s="12"/>
      <c r="I94" s="5"/>
      <c r="J94" s="14"/>
    </row>
    <row r="95" spans="1:10" s="1" customFormat="1" ht="13.5" customHeight="1">
      <c r="A95" s="12" t="s">
        <v>40</v>
      </c>
      <c r="B95" s="5"/>
      <c r="C95" s="5"/>
      <c r="D95" s="3" t="s">
        <v>25</v>
      </c>
      <c r="E95" s="11" t="s">
        <v>41</v>
      </c>
      <c r="F95" s="2"/>
      <c r="G95" s="3" t="s">
        <v>25</v>
      </c>
      <c r="H95" s="12"/>
      <c r="I95" s="5"/>
      <c r="J95" s="13"/>
    </row>
    <row r="96" spans="1:10" s="1" customFormat="1" ht="13.5" customHeight="1">
      <c r="A96" s="44" t="s">
        <v>42</v>
      </c>
      <c r="B96" s="45"/>
      <c r="C96" s="46"/>
      <c r="D96" s="42">
        <f>SUM(D89:D95)</f>
        <v>44000</v>
      </c>
      <c r="E96" s="2" t="s">
        <v>43</v>
      </c>
      <c r="F96" s="2"/>
      <c r="G96" s="3" t="s">
        <v>25</v>
      </c>
      <c r="H96" s="12"/>
      <c r="I96" s="5"/>
      <c r="J96" s="13"/>
    </row>
    <row r="97" spans="1:10" s="1" customFormat="1" ht="13.5" customHeight="1">
      <c r="A97" s="47"/>
      <c r="B97" s="29"/>
      <c r="C97" s="48"/>
      <c r="D97" s="43"/>
      <c r="E97" s="15" t="s">
        <v>21</v>
      </c>
      <c r="F97" s="16"/>
      <c r="G97" s="7">
        <f>SUM(G89:G96)</f>
        <v>1433</v>
      </c>
      <c r="H97" s="15" t="s">
        <v>44</v>
      </c>
      <c r="I97" s="16"/>
      <c r="J97" s="7">
        <f>D96-G97</f>
        <v>42567</v>
      </c>
    </row>
    <row r="98" spans="1:10" s="1" customFormat="1" ht="13.5" customHeight="1">
      <c r="A98" s="4" t="s">
        <v>45</v>
      </c>
      <c r="B98" s="4"/>
      <c r="C98" s="4"/>
      <c r="D98" s="4"/>
      <c r="E98" s="4"/>
      <c r="F98" s="4"/>
      <c r="G98" s="4"/>
      <c r="H98" s="4"/>
      <c r="I98" s="4"/>
      <c r="J98" s="4"/>
    </row>
    <row r="99" spans="1:10" s="1" customFormat="1" ht="13.5" customHeight="1"/>
    <row r="100" spans="1:10" ht="13.5" customHeight="1">
      <c r="A100" s="17"/>
      <c r="B100" s="17" t="s">
        <v>46</v>
      </c>
      <c r="C100" s="17"/>
      <c r="D100" s="17"/>
      <c r="E100" s="17" t="s">
        <v>47</v>
      </c>
      <c r="F100" s="17"/>
      <c r="G100" s="17"/>
      <c r="H100" s="17" t="s">
        <v>48</v>
      </c>
      <c r="I100" s="17"/>
      <c r="J100" s="17"/>
    </row>
    <row r="101" spans="1:10" s="1" customFormat="1" ht="13.5" customHeight="1">
      <c r="A101" s="49" t="s">
        <v>0</v>
      </c>
      <c r="B101" s="50"/>
      <c r="C101" s="50"/>
      <c r="D101" s="50"/>
      <c r="E101" s="50"/>
      <c r="F101" s="50"/>
      <c r="G101" s="50"/>
      <c r="H101" s="50"/>
      <c r="I101" s="50"/>
      <c r="J101" s="51"/>
    </row>
    <row r="102" spans="1:10" s="1" customFormat="1" ht="13.5" customHeight="1">
      <c r="A102" s="52" t="s">
        <v>1</v>
      </c>
      <c r="B102" s="53"/>
      <c r="C102" s="53"/>
      <c r="D102" s="53"/>
      <c r="E102" s="53"/>
      <c r="F102" s="53"/>
      <c r="G102" s="53"/>
      <c r="H102" s="53"/>
      <c r="I102" s="53"/>
      <c r="J102" s="54"/>
    </row>
    <row r="103" spans="1:10" s="1" customFormat="1" ht="13.5" customHeight="1">
      <c r="A103" s="2" t="s">
        <v>2</v>
      </c>
      <c r="B103" s="2"/>
      <c r="C103" s="55" t="s">
        <v>68</v>
      </c>
      <c r="D103" s="55"/>
      <c r="E103" s="3"/>
      <c r="F103" s="4"/>
      <c r="G103" s="2" t="s">
        <v>4</v>
      </c>
      <c r="H103" s="56" t="s">
        <v>5</v>
      </c>
      <c r="I103" s="56"/>
      <c r="J103" s="56"/>
    </row>
    <row r="104" spans="1:10" s="1" customFormat="1" ht="13.5" customHeight="1">
      <c r="A104" s="2" t="s">
        <v>6</v>
      </c>
      <c r="B104" s="2"/>
      <c r="C104" s="18" t="s">
        <v>73</v>
      </c>
      <c r="D104" s="18"/>
      <c r="E104" s="3"/>
      <c r="F104" s="4"/>
      <c r="G104" s="2" t="s">
        <v>8</v>
      </c>
      <c r="H104" s="57" t="s">
        <v>9</v>
      </c>
      <c r="I104" s="57"/>
      <c r="J104" s="57"/>
    </row>
    <row r="105" spans="1:10" s="1" customFormat="1" ht="13.5" customHeight="1">
      <c r="A105" s="5" t="s">
        <v>10</v>
      </c>
      <c r="B105" s="5"/>
      <c r="C105" s="55" t="s">
        <v>74</v>
      </c>
      <c r="D105" s="55"/>
      <c r="E105" s="3"/>
      <c r="F105" s="4"/>
      <c r="G105" s="2" t="s">
        <v>12</v>
      </c>
      <c r="H105" s="58" t="s">
        <v>13</v>
      </c>
      <c r="I105" s="58"/>
      <c r="J105" s="58"/>
    </row>
    <row r="106" spans="1:10" s="1" customFormat="1" ht="13.5" customHeight="1">
      <c r="A106" s="3" t="s">
        <v>14</v>
      </c>
      <c r="B106" s="3"/>
      <c r="C106" s="3" t="s">
        <v>15</v>
      </c>
      <c r="D106" s="3"/>
      <c r="E106" s="3"/>
      <c r="F106" s="4"/>
      <c r="G106" s="2" t="s">
        <v>16</v>
      </c>
      <c r="H106" s="59" t="s">
        <v>71</v>
      </c>
      <c r="I106" s="59"/>
      <c r="J106" s="59"/>
    </row>
    <row r="107" spans="1:10" s="1" customFormat="1" ht="13.5" customHeight="1">
      <c r="A107" s="3">
        <v>30</v>
      </c>
      <c r="B107" s="3"/>
      <c r="C107" s="3">
        <f>A107-H107</f>
        <v>1</v>
      </c>
      <c r="D107" s="3"/>
      <c r="E107" s="3"/>
      <c r="F107" s="4"/>
      <c r="G107" s="6" t="s">
        <v>18</v>
      </c>
      <c r="H107" s="29">
        <v>29</v>
      </c>
      <c r="I107" s="29"/>
      <c r="J107" s="29"/>
    </row>
    <row r="108" spans="1:10" s="1" customFormat="1" ht="13.5" customHeight="1">
      <c r="A108" s="30" t="s">
        <v>19</v>
      </c>
      <c r="B108" s="31"/>
      <c r="C108" s="32"/>
      <c r="D108" s="7" t="s">
        <v>20</v>
      </c>
      <c r="E108" s="8" t="s">
        <v>21</v>
      </c>
      <c r="F108" s="9"/>
      <c r="G108" s="10" t="s">
        <v>20</v>
      </c>
      <c r="H108" s="33" t="s">
        <v>22</v>
      </c>
      <c r="I108" s="34"/>
      <c r="J108" s="35"/>
    </row>
    <row r="109" spans="1:10" s="1" customFormat="1" ht="13.5" customHeight="1">
      <c r="A109" s="11" t="s">
        <v>23</v>
      </c>
      <c r="B109" s="2"/>
      <c r="C109" s="2"/>
      <c r="D109" s="3">
        <v>40000</v>
      </c>
      <c r="E109" s="11" t="s">
        <v>24</v>
      </c>
      <c r="F109" s="2"/>
      <c r="G109" s="3" t="s">
        <v>25</v>
      </c>
      <c r="H109" s="12" t="s">
        <v>26</v>
      </c>
      <c r="I109" s="5"/>
      <c r="J109" s="13"/>
    </row>
    <row r="110" spans="1:10" s="1" customFormat="1" ht="13.5" customHeight="1">
      <c r="A110" s="11" t="s">
        <v>27</v>
      </c>
      <c r="B110" s="36"/>
      <c r="C110" s="36"/>
      <c r="D110" s="3" t="s">
        <v>25</v>
      </c>
      <c r="E110" s="11" t="s">
        <v>29</v>
      </c>
      <c r="F110" s="2"/>
      <c r="G110" s="3" t="s">
        <v>25</v>
      </c>
      <c r="H110" s="12" t="s">
        <v>30</v>
      </c>
      <c r="I110" s="5"/>
      <c r="J110" s="13"/>
    </row>
    <row r="111" spans="1:10" s="1" customFormat="1" ht="13.5" customHeight="1">
      <c r="A111" s="11" t="s">
        <v>31</v>
      </c>
      <c r="B111" s="2"/>
      <c r="C111" s="2"/>
      <c r="D111" s="3" t="s">
        <v>25</v>
      </c>
      <c r="E111" s="11" t="s">
        <v>32</v>
      </c>
      <c r="F111" s="2"/>
      <c r="G111" s="3" t="s">
        <v>25</v>
      </c>
      <c r="H111" s="12" t="s">
        <v>33</v>
      </c>
      <c r="I111" s="5"/>
      <c r="J111" s="13"/>
    </row>
    <row r="112" spans="1:10" s="1" customFormat="1" ht="13.5" customHeight="1">
      <c r="A112" s="11" t="s">
        <v>34</v>
      </c>
      <c r="B112" s="2"/>
      <c r="C112" s="2"/>
      <c r="D112" s="3" t="s">
        <v>25</v>
      </c>
      <c r="E112" s="11" t="s">
        <v>35</v>
      </c>
      <c r="F112" s="2"/>
      <c r="G112" s="3">
        <v>1333</v>
      </c>
      <c r="H112" s="12"/>
      <c r="I112" s="5"/>
      <c r="J112" s="13"/>
    </row>
    <row r="113" spans="1:10" s="1" customFormat="1" ht="13.5" customHeight="1">
      <c r="A113" s="11" t="s">
        <v>36</v>
      </c>
      <c r="B113" s="2"/>
      <c r="C113" s="2"/>
      <c r="D113" s="3" t="s">
        <v>25</v>
      </c>
      <c r="E113" s="11" t="s">
        <v>37</v>
      </c>
      <c r="F113" s="2"/>
      <c r="G113" s="3">
        <v>100</v>
      </c>
      <c r="H113" s="12"/>
      <c r="I113" s="5"/>
      <c r="J113" s="14"/>
    </row>
    <row r="114" spans="1:10" s="1" customFormat="1" ht="13.5" customHeight="1">
      <c r="A114" s="11" t="s">
        <v>38</v>
      </c>
      <c r="B114" s="2"/>
      <c r="C114" s="2"/>
      <c r="D114" s="3" t="s">
        <v>25</v>
      </c>
      <c r="E114" s="11" t="s">
        <v>39</v>
      </c>
      <c r="F114" s="2"/>
      <c r="G114" s="3" t="s">
        <v>25</v>
      </c>
      <c r="H114" s="12"/>
      <c r="I114" s="5"/>
      <c r="J114" s="14"/>
    </row>
    <row r="115" spans="1:10" s="1" customFormat="1" ht="13.5" customHeight="1">
      <c r="A115" s="12" t="s">
        <v>40</v>
      </c>
      <c r="B115" s="5"/>
      <c r="C115" s="5"/>
      <c r="D115" s="3" t="s">
        <v>25</v>
      </c>
      <c r="E115" s="11" t="s">
        <v>41</v>
      </c>
      <c r="F115" s="2"/>
      <c r="G115" s="3" t="s">
        <v>25</v>
      </c>
      <c r="H115" s="12"/>
      <c r="I115" s="5"/>
      <c r="J115" s="13"/>
    </row>
    <row r="116" spans="1:10" s="1" customFormat="1" ht="13.5" customHeight="1">
      <c r="A116" s="44" t="s">
        <v>42</v>
      </c>
      <c r="B116" s="45"/>
      <c r="C116" s="46"/>
      <c r="D116" s="42">
        <f>SUM(D109:D115)</f>
        <v>40000</v>
      </c>
      <c r="E116" s="2" t="s">
        <v>43</v>
      </c>
      <c r="F116" s="2"/>
      <c r="G116" s="3" t="s">
        <v>25</v>
      </c>
      <c r="H116" s="12"/>
      <c r="I116" s="5"/>
      <c r="J116" s="13"/>
    </row>
    <row r="117" spans="1:10" s="1" customFormat="1" ht="13.5" customHeight="1">
      <c r="A117" s="47"/>
      <c r="B117" s="29"/>
      <c r="C117" s="48"/>
      <c r="D117" s="43"/>
      <c r="E117" s="15" t="s">
        <v>21</v>
      </c>
      <c r="F117" s="16"/>
      <c r="G117" s="7">
        <f>SUM(G109:G116)</f>
        <v>1433</v>
      </c>
      <c r="H117" s="15" t="s">
        <v>44</v>
      </c>
      <c r="I117" s="16"/>
      <c r="J117" s="7">
        <f>D116-G117</f>
        <v>38567</v>
      </c>
    </row>
    <row r="118" spans="1:10" s="1" customFormat="1" ht="13.5" customHeight="1">
      <c r="A118" s="4" t="s">
        <v>45</v>
      </c>
      <c r="B118" s="4"/>
      <c r="C118" s="4"/>
      <c r="D118" s="4"/>
      <c r="E118" s="4"/>
      <c r="F118" s="4"/>
      <c r="G118" s="4"/>
      <c r="H118" s="4"/>
      <c r="I118" s="4"/>
      <c r="J118" s="4"/>
    </row>
    <row r="119" spans="1:10" s="1" customFormat="1" ht="13.5" customHeight="1"/>
    <row r="120" spans="1:10" ht="13.5" customHeight="1">
      <c r="A120" s="17"/>
      <c r="B120" s="17" t="s">
        <v>46</v>
      </c>
      <c r="C120" s="17"/>
      <c r="D120" s="17"/>
      <c r="E120" s="17" t="s">
        <v>47</v>
      </c>
      <c r="F120" s="17"/>
      <c r="G120" s="17"/>
      <c r="H120" s="17" t="s">
        <v>48</v>
      </c>
      <c r="I120" s="17"/>
      <c r="J120" s="17"/>
    </row>
    <row r="121" spans="1:10" s="1" customFormat="1" ht="13.5" customHeight="1">
      <c r="A121" s="49" t="s">
        <v>0</v>
      </c>
      <c r="B121" s="50"/>
      <c r="C121" s="50"/>
      <c r="D121" s="50"/>
      <c r="E121" s="50"/>
      <c r="F121" s="50"/>
      <c r="G121" s="50"/>
      <c r="H121" s="50"/>
      <c r="I121" s="50"/>
      <c r="J121" s="51"/>
    </row>
    <row r="122" spans="1:10" s="1" customFormat="1" ht="13.5" customHeight="1">
      <c r="A122" s="52" t="s">
        <v>1</v>
      </c>
      <c r="B122" s="53"/>
      <c r="C122" s="53"/>
      <c r="D122" s="53"/>
      <c r="E122" s="53"/>
      <c r="F122" s="53"/>
      <c r="G122" s="53"/>
      <c r="H122" s="53"/>
      <c r="I122" s="53"/>
      <c r="J122" s="54"/>
    </row>
    <row r="123" spans="1:10" s="1" customFormat="1" ht="13.5" customHeight="1">
      <c r="A123" s="2" t="s">
        <v>2</v>
      </c>
      <c r="B123" s="2"/>
      <c r="C123" s="55" t="s">
        <v>75</v>
      </c>
      <c r="D123" s="55"/>
      <c r="E123" s="3"/>
      <c r="F123" s="4"/>
      <c r="G123" s="2" t="s">
        <v>4</v>
      </c>
      <c r="H123" s="56" t="s">
        <v>5</v>
      </c>
      <c r="I123" s="56"/>
      <c r="J123" s="56"/>
    </row>
    <row r="124" spans="1:10" s="1" customFormat="1" ht="13.5" customHeight="1">
      <c r="A124" s="2" t="s">
        <v>6</v>
      </c>
      <c r="B124" s="2"/>
      <c r="C124" s="18" t="s">
        <v>76</v>
      </c>
      <c r="D124" s="18"/>
      <c r="E124" s="3"/>
      <c r="F124" s="4"/>
      <c r="G124" s="2" t="s">
        <v>8</v>
      </c>
      <c r="H124" s="57" t="s">
        <v>9</v>
      </c>
      <c r="I124" s="57"/>
      <c r="J124" s="57"/>
    </row>
    <row r="125" spans="1:10" s="1" customFormat="1" ht="13.5" customHeight="1">
      <c r="A125" s="5" t="s">
        <v>10</v>
      </c>
      <c r="B125" s="5"/>
      <c r="C125" s="55" t="s">
        <v>77</v>
      </c>
      <c r="D125" s="55"/>
      <c r="E125" s="3"/>
      <c r="F125" s="4"/>
      <c r="G125" s="2" t="s">
        <v>12</v>
      </c>
      <c r="H125" s="58" t="s">
        <v>13</v>
      </c>
      <c r="I125" s="58"/>
      <c r="J125" s="58"/>
    </row>
    <row r="126" spans="1:10" s="1" customFormat="1" ht="13.5" customHeight="1">
      <c r="A126" s="3" t="s">
        <v>14</v>
      </c>
      <c r="B126" s="3"/>
      <c r="C126" s="3" t="s">
        <v>15</v>
      </c>
      <c r="D126" s="3"/>
      <c r="E126" s="3"/>
      <c r="F126" s="4"/>
      <c r="G126" s="2" t="s">
        <v>16</v>
      </c>
      <c r="H126" s="59" t="s">
        <v>78</v>
      </c>
      <c r="I126" s="59"/>
      <c r="J126" s="59"/>
    </row>
    <row r="127" spans="1:10" s="1" customFormat="1" ht="13.5" customHeight="1">
      <c r="A127" s="3">
        <v>30</v>
      </c>
      <c r="B127" s="3"/>
      <c r="C127" s="3">
        <f>A127-H127</f>
        <v>4</v>
      </c>
      <c r="D127" s="3"/>
      <c r="E127" s="3"/>
      <c r="F127" s="4"/>
      <c r="G127" s="6" t="s">
        <v>18</v>
      </c>
      <c r="H127" s="29">
        <v>26</v>
      </c>
      <c r="I127" s="29"/>
      <c r="J127" s="29"/>
    </row>
    <row r="128" spans="1:10" s="1" customFormat="1" ht="13.5" customHeight="1">
      <c r="A128" s="30" t="s">
        <v>19</v>
      </c>
      <c r="B128" s="31"/>
      <c r="C128" s="32"/>
      <c r="D128" s="7" t="s">
        <v>20</v>
      </c>
      <c r="E128" s="8" t="s">
        <v>21</v>
      </c>
      <c r="F128" s="9"/>
      <c r="G128" s="10" t="s">
        <v>20</v>
      </c>
      <c r="H128" s="33" t="s">
        <v>22</v>
      </c>
      <c r="I128" s="34"/>
      <c r="J128" s="35"/>
    </row>
    <row r="129" spans="1:10" s="1" customFormat="1" ht="13.5" customHeight="1">
      <c r="A129" s="11" t="s">
        <v>23</v>
      </c>
      <c r="B129" s="2"/>
      <c r="C129" s="2"/>
      <c r="D129" s="3">
        <v>50000</v>
      </c>
      <c r="E129" s="11" t="s">
        <v>24</v>
      </c>
      <c r="F129" s="2"/>
      <c r="G129" s="3" t="s">
        <v>25</v>
      </c>
      <c r="H129" s="12" t="s">
        <v>26</v>
      </c>
      <c r="I129" s="5"/>
      <c r="J129" s="13"/>
    </row>
    <row r="130" spans="1:10" s="1" customFormat="1" ht="13.5" customHeight="1">
      <c r="A130" s="11" t="s">
        <v>27</v>
      </c>
      <c r="B130" s="36"/>
      <c r="C130" s="36"/>
      <c r="D130" s="3" t="s">
        <v>25</v>
      </c>
      <c r="E130" s="11" t="s">
        <v>29</v>
      </c>
      <c r="F130" s="2"/>
      <c r="G130" s="3" t="s">
        <v>25</v>
      </c>
      <c r="H130" s="12" t="s">
        <v>30</v>
      </c>
      <c r="I130" s="5"/>
      <c r="J130" s="13"/>
    </row>
    <row r="131" spans="1:10" s="1" customFormat="1" ht="13.5" customHeight="1">
      <c r="A131" s="11" t="s">
        <v>31</v>
      </c>
      <c r="B131" s="2"/>
      <c r="C131" s="2"/>
      <c r="D131" s="3" t="s">
        <v>25</v>
      </c>
      <c r="E131" s="11" t="s">
        <v>32</v>
      </c>
      <c r="F131" s="2"/>
      <c r="G131" s="3" t="s">
        <v>25</v>
      </c>
      <c r="H131" s="12" t="s">
        <v>33</v>
      </c>
      <c r="I131" s="5"/>
      <c r="J131" s="13"/>
    </row>
    <row r="132" spans="1:10" s="1" customFormat="1" ht="13.5" customHeight="1">
      <c r="A132" s="11" t="s">
        <v>34</v>
      </c>
      <c r="B132" s="2"/>
      <c r="C132" s="2"/>
      <c r="D132" s="3" t="s">
        <v>25</v>
      </c>
      <c r="E132" s="11" t="s">
        <v>35</v>
      </c>
      <c r="F132" s="2"/>
      <c r="G132" s="3">
        <v>6667</v>
      </c>
      <c r="H132" s="12"/>
      <c r="I132" s="5"/>
      <c r="J132" s="13"/>
    </row>
    <row r="133" spans="1:10" s="1" customFormat="1" ht="13.5" customHeight="1">
      <c r="A133" s="11" t="s">
        <v>36</v>
      </c>
      <c r="B133" s="2"/>
      <c r="C133" s="2"/>
      <c r="D133" s="3" t="s">
        <v>25</v>
      </c>
      <c r="E133" s="11" t="s">
        <v>37</v>
      </c>
      <c r="F133" s="2"/>
      <c r="G133" s="3">
        <v>100</v>
      </c>
      <c r="H133" s="12"/>
      <c r="I133" s="5"/>
      <c r="J133" s="14"/>
    </row>
    <row r="134" spans="1:10" s="1" customFormat="1" ht="13.5" customHeight="1">
      <c r="A134" s="11" t="s">
        <v>38</v>
      </c>
      <c r="B134" s="2"/>
      <c r="C134" s="2"/>
      <c r="D134" s="3" t="s">
        <v>25</v>
      </c>
      <c r="E134" s="11" t="s">
        <v>39</v>
      </c>
      <c r="F134" s="2"/>
      <c r="G134" s="3" t="s">
        <v>25</v>
      </c>
      <c r="H134" s="12"/>
      <c r="I134" s="5"/>
      <c r="J134" s="14"/>
    </row>
    <row r="135" spans="1:10" s="1" customFormat="1" ht="13.5" customHeight="1">
      <c r="A135" s="12" t="s">
        <v>40</v>
      </c>
      <c r="B135" s="5"/>
      <c r="C135" s="5"/>
      <c r="D135" s="3" t="s">
        <v>25</v>
      </c>
      <c r="E135" s="11" t="s">
        <v>41</v>
      </c>
      <c r="F135" s="2"/>
      <c r="G135" s="3" t="s">
        <v>25</v>
      </c>
      <c r="H135" s="12"/>
      <c r="I135" s="5"/>
      <c r="J135" s="13"/>
    </row>
    <row r="136" spans="1:10" s="1" customFormat="1" ht="13.5" customHeight="1">
      <c r="A136" s="44" t="s">
        <v>42</v>
      </c>
      <c r="B136" s="45"/>
      <c r="C136" s="46"/>
      <c r="D136" s="42">
        <f>SUM(D129:D135)</f>
        <v>50000</v>
      </c>
      <c r="E136" s="2" t="s">
        <v>43</v>
      </c>
      <c r="F136" s="2"/>
      <c r="G136" s="3" t="s">
        <v>25</v>
      </c>
      <c r="H136" s="12"/>
      <c r="I136" s="5"/>
      <c r="J136" s="13"/>
    </row>
    <row r="137" spans="1:10" s="1" customFormat="1" ht="13.5" customHeight="1">
      <c r="A137" s="47"/>
      <c r="B137" s="29"/>
      <c r="C137" s="48"/>
      <c r="D137" s="43"/>
      <c r="E137" s="15" t="s">
        <v>21</v>
      </c>
      <c r="F137" s="16"/>
      <c r="G137" s="7">
        <f>SUM(G129:G136)</f>
        <v>6767</v>
      </c>
      <c r="H137" s="15" t="s">
        <v>44</v>
      </c>
      <c r="I137" s="16"/>
      <c r="J137" s="7">
        <f>D136-G137</f>
        <v>43233</v>
      </c>
    </row>
    <row r="138" spans="1:10" s="1" customFormat="1" ht="13.5" customHeight="1">
      <c r="A138" s="4" t="s">
        <v>45</v>
      </c>
      <c r="B138" s="4"/>
      <c r="C138" s="4"/>
      <c r="D138" s="4"/>
      <c r="E138" s="4"/>
      <c r="F138" s="4"/>
      <c r="G138" s="4"/>
      <c r="H138" s="4"/>
      <c r="I138" s="4"/>
      <c r="J138" s="4"/>
    </row>
    <row r="139" spans="1:10" s="1" customFormat="1" ht="13.5" customHeight="1"/>
    <row r="140" spans="1:10" ht="13.5" customHeight="1">
      <c r="A140" s="17"/>
      <c r="B140" s="17" t="s">
        <v>46</v>
      </c>
      <c r="C140" s="17"/>
      <c r="D140" s="17"/>
      <c r="E140" s="17" t="s">
        <v>47</v>
      </c>
      <c r="F140" s="17"/>
      <c r="G140" s="17"/>
      <c r="H140" s="17" t="s">
        <v>48</v>
      </c>
      <c r="I140" s="17"/>
      <c r="J140" s="17"/>
    </row>
    <row r="141" spans="1:10" s="1" customFormat="1" ht="13.5" customHeight="1">
      <c r="A141" s="49" t="s">
        <v>0</v>
      </c>
      <c r="B141" s="50"/>
      <c r="C141" s="50"/>
      <c r="D141" s="50"/>
      <c r="E141" s="50"/>
      <c r="F141" s="50"/>
      <c r="G141" s="50"/>
      <c r="H141" s="50"/>
      <c r="I141" s="50"/>
      <c r="J141" s="51"/>
    </row>
    <row r="142" spans="1:10" s="1" customFormat="1" ht="13.5" customHeight="1">
      <c r="A142" s="52" t="s">
        <v>1</v>
      </c>
      <c r="B142" s="53"/>
      <c r="C142" s="53"/>
      <c r="D142" s="53"/>
      <c r="E142" s="53"/>
      <c r="F142" s="53"/>
      <c r="G142" s="53"/>
      <c r="H142" s="53"/>
      <c r="I142" s="53"/>
      <c r="J142" s="54"/>
    </row>
    <row r="143" spans="1:10" s="1" customFormat="1" ht="13.5" customHeight="1">
      <c r="A143" s="2" t="s">
        <v>2</v>
      </c>
      <c r="B143" s="2"/>
      <c r="C143" s="55" t="s">
        <v>75</v>
      </c>
      <c r="D143" s="55"/>
      <c r="E143" s="3"/>
      <c r="F143" s="4"/>
      <c r="G143" s="2" t="s">
        <v>4</v>
      </c>
      <c r="H143" s="56" t="s">
        <v>5</v>
      </c>
      <c r="I143" s="56"/>
      <c r="J143" s="56"/>
    </row>
    <row r="144" spans="1:10" s="1" customFormat="1" ht="13.5" customHeight="1">
      <c r="A144" s="2" t="s">
        <v>6</v>
      </c>
      <c r="B144" s="2"/>
      <c r="C144" s="18" t="s">
        <v>79</v>
      </c>
      <c r="D144" s="18"/>
      <c r="E144" s="3"/>
      <c r="F144" s="4"/>
      <c r="G144" s="2" t="s">
        <v>8</v>
      </c>
      <c r="H144" s="57" t="s">
        <v>9</v>
      </c>
      <c r="I144" s="57"/>
      <c r="J144" s="57"/>
    </row>
    <row r="145" spans="1:10" s="1" customFormat="1" ht="13.5" customHeight="1">
      <c r="A145" s="5" t="s">
        <v>10</v>
      </c>
      <c r="B145" s="5"/>
      <c r="C145" s="55" t="s">
        <v>80</v>
      </c>
      <c r="D145" s="55"/>
      <c r="E145" s="3"/>
      <c r="F145" s="4"/>
      <c r="G145" s="2" t="s">
        <v>12</v>
      </c>
      <c r="H145" s="58" t="s">
        <v>13</v>
      </c>
      <c r="I145" s="58"/>
      <c r="J145" s="58"/>
    </row>
    <row r="146" spans="1:10" s="1" customFormat="1" ht="13.5" customHeight="1">
      <c r="A146" s="3" t="s">
        <v>14</v>
      </c>
      <c r="B146" s="3"/>
      <c r="C146" s="3" t="s">
        <v>15</v>
      </c>
      <c r="D146" s="3"/>
      <c r="E146" s="3"/>
      <c r="F146" s="4"/>
      <c r="G146" s="2" t="s">
        <v>16</v>
      </c>
      <c r="H146" s="59" t="s">
        <v>81</v>
      </c>
      <c r="I146" s="59"/>
      <c r="J146" s="59"/>
    </row>
    <row r="147" spans="1:10" s="1" customFormat="1" ht="13.5" customHeight="1">
      <c r="A147" s="3">
        <v>30</v>
      </c>
      <c r="B147" s="3"/>
      <c r="C147" s="3">
        <f>A147-H147</f>
        <v>0</v>
      </c>
      <c r="D147" s="3"/>
      <c r="E147" s="3"/>
      <c r="F147" s="4"/>
      <c r="G147" s="6" t="s">
        <v>18</v>
      </c>
      <c r="H147" s="29">
        <v>30</v>
      </c>
      <c r="I147" s="29"/>
      <c r="J147" s="29"/>
    </row>
    <row r="148" spans="1:10" s="1" customFormat="1" ht="13.5" customHeight="1">
      <c r="A148" s="30" t="s">
        <v>19</v>
      </c>
      <c r="B148" s="31"/>
      <c r="C148" s="32"/>
      <c r="D148" s="7" t="s">
        <v>20</v>
      </c>
      <c r="E148" s="8" t="s">
        <v>21</v>
      </c>
      <c r="F148" s="9"/>
      <c r="G148" s="10" t="s">
        <v>20</v>
      </c>
      <c r="H148" s="33" t="s">
        <v>22</v>
      </c>
      <c r="I148" s="34"/>
      <c r="J148" s="35"/>
    </row>
    <row r="149" spans="1:10" s="1" customFormat="1" ht="13.5" customHeight="1">
      <c r="A149" s="11" t="s">
        <v>23</v>
      </c>
      <c r="B149" s="2"/>
      <c r="C149" s="2"/>
      <c r="D149" s="3">
        <v>55000</v>
      </c>
      <c r="E149" s="11" t="s">
        <v>24</v>
      </c>
      <c r="F149" s="2"/>
      <c r="G149" s="3" t="s">
        <v>25</v>
      </c>
      <c r="H149" s="12" t="s">
        <v>26</v>
      </c>
      <c r="I149" s="5"/>
      <c r="J149" s="13"/>
    </row>
    <row r="150" spans="1:10" s="1" customFormat="1" ht="13.5" customHeight="1">
      <c r="A150" s="11" t="s">
        <v>27</v>
      </c>
      <c r="B150" s="36" t="s">
        <v>82</v>
      </c>
      <c r="C150" s="36"/>
      <c r="D150" s="3">
        <v>4125</v>
      </c>
      <c r="E150" s="11" t="s">
        <v>29</v>
      </c>
      <c r="F150" s="2"/>
      <c r="G150" s="3" t="s">
        <v>25</v>
      </c>
      <c r="H150" s="12" t="s">
        <v>30</v>
      </c>
      <c r="I150" s="5"/>
      <c r="J150" s="13"/>
    </row>
    <row r="151" spans="1:10" s="1" customFormat="1" ht="13.5" customHeight="1">
      <c r="A151" s="11" t="s">
        <v>31</v>
      </c>
      <c r="B151" s="2"/>
      <c r="C151" s="2"/>
      <c r="D151" s="3" t="s">
        <v>25</v>
      </c>
      <c r="E151" s="11" t="s">
        <v>32</v>
      </c>
      <c r="F151" s="2"/>
      <c r="G151" s="3" t="s">
        <v>25</v>
      </c>
      <c r="H151" s="12" t="s">
        <v>33</v>
      </c>
      <c r="I151" s="5"/>
      <c r="J151" s="13"/>
    </row>
    <row r="152" spans="1:10" s="1" customFormat="1" ht="13.5" customHeight="1">
      <c r="A152" s="11" t="s">
        <v>34</v>
      </c>
      <c r="B152" s="2"/>
      <c r="C152" s="2"/>
      <c r="D152" s="3" t="s">
        <v>25</v>
      </c>
      <c r="E152" s="11" t="s">
        <v>35</v>
      </c>
      <c r="F152" s="2"/>
      <c r="G152" s="3" t="s">
        <v>25</v>
      </c>
      <c r="H152" s="12"/>
      <c r="I152" s="5"/>
      <c r="J152" s="13"/>
    </row>
    <row r="153" spans="1:10" s="1" customFormat="1" ht="13.5" customHeight="1">
      <c r="A153" s="11" t="s">
        <v>36</v>
      </c>
      <c r="B153" s="2"/>
      <c r="C153" s="2"/>
      <c r="D153" s="3" t="s">
        <v>25</v>
      </c>
      <c r="E153" s="11" t="s">
        <v>37</v>
      </c>
      <c r="F153" s="2"/>
      <c r="G153" s="3">
        <v>100</v>
      </c>
      <c r="H153" s="12" t="s">
        <v>83</v>
      </c>
      <c r="I153" s="5"/>
      <c r="J153" s="14"/>
    </row>
    <row r="154" spans="1:10" s="1" customFormat="1" ht="13.5" customHeight="1">
      <c r="A154" s="11" t="s">
        <v>38</v>
      </c>
      <c r="B154" s="2"/>
      <c r="C154" s="2"/>
      <c r="D154" s="3" t="s">
        <v>25</v>
      </c>
      <c r="E154" s="11" t="s">
        <v>39</v>
      </c>
      <c r="F154" s="2"/>
      <c r="G154" s="3" t="s">
        <v>25</v>
      </c>
      <c r="H154" s="12" t="s">
        <v>84</v>
      </c>
      <c r="I154" s="5"/>
      <c r="J154" s="14"/>
    </row>
    <row r="155" spans="1:10" s="1" customFormat="1" ht="13.5" customHeight="1">
      <c r="A155" s="12" t="s">
        <v>40</v>
      </c>
      <c r="B155" s="5"/>
      <c r="C155" s="5"/>
      <c r="D155" s="3" t="s">
        <v>25</v>
      </c>
      <c r="E155" s="11" t="s">
        <v>41</v>
      </c>
      <c r="F155" s="2"/>
      <c r="G155" s="3" t="s">
        <v>25</v>
      </c>
      <c r="H155" s="12"/>
      <c r="I155" s="5"/>
      <c r="J155" s="13"/>
    </row>
    <row r="156" spans="1:10" s="1" customFormat="1" ht="13.5" customHeight="1">
      <c r="A156" s="44" t="s">
        <v>42</v>
      </c>
      <c r="B156" s="45"/>
      <c r="C156" s="46"/>
      <c r="D156" s="42">
        <f>SUM(D149:D155)</f>
        <v>59125</v>
      </c>
      <c r="E156" s="2" t="s">
        <v>43</v>
      </c>
      <c r="F156" s="2"/>
      <c r="G156" s="3" t="s">
        <v>25</v>
      </c>
      <c r="H156" s="12"/>
      <c r="I156" s="5"/>
      <c r="J156" s="13"/>
    </row>
    <row r="157" spans="1:10" s="1" customFormat="1" ht="13.5" customHeight="1">
      <c r="A157" s="47"/>
      <c r="B157" s="29"/>
      <c r="C157" s="48"/>
      <c r="D157" s="43"/>
      <c r="E157" s="15" t="s">
        <v>21</v>
      </c>
      <c r="F157" s="16"/>
      <c r="G157" s="7">
        <f>SUM(G149:G156)</f>
        <v>100</v>
      </c>
      <c r="H157" s="15" t="s">
        <v>44</v>
      </c>
      <c r="I157" s="16"/>
      <c r="J157" s="7">
        <f>D156-G157</f>
        <v>59025</v>
      </c>
    </row>
    <row r="158" spans="1:10" s="1" customFormat="1" ht="13.5" customHeight="1">
      <c r="A158" s="4" t="s">
        <v>45</v>
      </c>
      <c r="B158" s="4"/>
      <c r="C158" s="4"/>
      <c r="D158" s="4"/>
      <c r="E158" s="4"/>
      <c r="F158" s="4"/>
      <c r="G158" s="4"/>
      <c r="H158" s="4"/>
      <c r="I158" s="4"/>
      <c r="J158" s="4"/>
    </row>
    <row r="159" spans="1:10" s="1" customFormat="1" ht="13.5" customHeight="1"/>
    <row r="160" spans="1:10" ht="13.5" customHeight="1">
      <c r="A160" s="17"/>
      <c r="B160" s="17" t="s">
        <v>46</v>
      </c>
      <c r="C160" s="17"/>
      <c r="D160" s="17"/>
      <c r="E160" s="17" t="s">
        <v>47</v>
      </c>
      <c r="F160" s="17"/>
      <c r="G160" s="17"/>
      <c r="H160" s="17" t="s">
        <v>48</v>
      </c>
      <c r="I160" s="17"/>
      <c r="J160" s="17"/>
    </row>
    <row r="161" spans="1:10" s="1" customFormat="1" ht="13.5" customHeight="1">
      <c r="A161" s="49" t="s">
        <v>0</v>
      </c>
      <c r="B161" s="50"/>
      <c r="C161" s="50"/>
      <c r="D161" s="50"/>
      <c r="E161" s="50"/>
      <c r="F161" s="50"/>
      <c r="G161" s="50"/>
      <c r="H161" s="50"/>
      <c r="I161" s="50"/>
      <c r="J161" s="51"/>
    </row>
    <row r="162" spans="1:10" s="1" customFormat="1" ht="13.5" customHeight="1">
      <c r="A162" s="52" t="s">
        <v>1</v>
      </c>
      <c r="B162" s="53"/>
      <c r="C162" s="53"/>
      <c r="D162" s="53"/>
      <c r="E162" s="53"/>
      <c r="F162" s="53"/>
      <c r="G162" s="53"/>
      <c r="H162" s="53"/>
      <c r="I162" s="53"/>
      <c r="J162" s="54"/>
    </row>
    <row r="163" spans="1:10" s="1" customFormat="1" ht="13.5" customHeight="1">
      <c r="A163" s="2" t="s">
        <v>2</v>
      </c>
      <c r="B163" s="2"/>
      <c r="C163" s="55" t="s">
        <v>75</v>
      </c>
      <c r="D163" s="55"/>
      <c r="E163" s="3"/>
      <c r="F163" s="4"/>
      <c r="G163" s="2" t="s">
        <v>4</v>
      </c>
      <c r="H163" s="56" t="s">
        <v>5</v>
      </c>
      <c r="I163" s="56"/>
      <c r="J163" s="56"/>
    </row>
    <row r="164" spans="1:10" s="1" customFormat="1" ht="13.5" customHeight="1">
      <c r="A164" s="2" t="s">
        <v>6</v>
      </c>
      <c r="B164" s="2"/>
      <c r="C164" s="18" t="s">
        <v>85</v>
      </c>
      <c r="D164" s="18"/>
      <c r="E164" s="3"/>
      <c r="F164" s="4"/>
      <c r="G164" s="2" t="s">
        <v>8</v>
      </c>
      <c r="H164" s="57" t="s">
        <v>9</v>
      </c>
      <c r="I164" s="57"/>
      <c r="J164" s="57"/>
    </row>
    <row r="165" spans="1:10" s="1" customFormat="1" ht="13.5" customHeight="1">
      <c r="A165" s="5" t="s">
        <v>10</v>
      </c>
      <c r="B165" s="5"/>
      <c r="C165" s="55" t="s">
        <v>80</v>
      </c>
      <c r="D165" s="55"/>
      <c r="E165" s="3"/>
      <c r="F165" s="4"/>
      <c r="G165" s="2" t="s">
        <v>12</v>
      </c>
      <c r="H165" s="58" t="s">
        <v>13</v>
      </c>
      <c r="I165" s="58"/>
      <c r="J165" s="58"/>
    </row>
    <row r="166" spans="1:10" s="1" customFormat="1" ht="13.5" customHeight="1">
      <c r="A166" s="3" t="s">
        <v>14</v>
      </c>
      <c r="B166" s="3"/>
      <c r="C166" s="3" t="s">
        <v>15</v>
      </c>
      <c r="D166" s="3"/>
      <c r="E166" s="3"/>
      <c r="F166" s="4"/>
      <c r="G166" s="2" t="s">
        <v>16</v>
      </c>
      <c r="H166" s="59" t="s">
        <v>86</v>
      </c>
      <c r="I166" s="59"/>
      <c r="J166" s="59"/>
    </row>
    <row r="167" spans="1:10" s="1" customFormat="1" ht="13.5" customHeight="1">
      <c r="A167" s="3">
        <v>30</v>
      </c>
      <c r="B167" s="3"/>
      <c r="C167" s="3">
        <f>A167-H167</f>
        <v>1</v>
      </c>
      <c r="D167" s="3"/>
      <c r="E167" s="3"/>
      <c r="F167" s="4"/>
      <c r="G167" s="6" t="s">
        <v>18</v>
      </c>
      <c r="H167" s="29">
        <v>29</v>
      </c>
      <c r="I167" s="29"/>
      <c r="J167" s="29"/>
    </row>
    <row r="168" spans="1:10" s="1" customFormat="1" ht="13.5" customHeight="1">
      <c r="A168" s="30" t="s">
        <v>19</v>
      </c>
      <c r="B168" s="31"/>
      <c r="C168" s="32"/>
      <c r="D168" s="7" t="s">
        <v>20</v>
      </c>
      <c r="E168" s="8" t="s">
        <v>21</v>
      </c>
      <c r="F168" s="9"/>
      <c r="G168" s="10" t="s">
        <v>20</v>
      </c>
      <c r="H168" s="33" t="s">
        <v>22</v>
      </c>
      <c r="I168" s="34"/>
      <c r="J168" s="35"/>
    </row>
    <row r="169" spans="1:10" s="1" customFormat="1" ht="13.5" customHeight="1">
      <c r="A169" s="11" t="s">
        <v>23</v>
      </c>
      <c r="B169" s="2"/>
      <c r="C169" s="2"/>
      <c r="D169" s="3">
        <v>55000</v>
      </c>
      <c r="E169" s="11" t="s">
        <v>24</v>
      </c>
      <c r="F169" s="2"/>
      <c r="G169" s="3" t="s">
        <v>25</v>
      </c>
      <c r="H169" s="12" t="s">
        <v>26</v>
      </c>
      <c r="I169" s="5"/>
      <c r="J169" s="13"/>
    </row>
    <row r="170" spans="1:10" s="1" customFormat="1" ht="13.5" customHeight="1">
      <c r="A170" s="11" t="s">
        <v>27</v>
      </c>
      <c r="B170" s="36" t="s">
        <v>87</v>
      </c>
      <c r="C170" s="36"/>
      <c r="D170" s="3">
        <v>3667</v>
      </c>
      <c r="E170" s="11" t="s">
        <v>29</v>
      </c>
      <c r="F170" s="2"/>
      <c r="G170" s="3" t="s">
        <v>25</v>
      </c>
      <c r="H170" s="12" t="s">
        <v>30</v>
      </c>
      <c r="I170" s="5"/>
      <c r="J170" s="13"/>
    </row>
    <row r="171" spans="1:10" s="1" customFormat="1" ht="13.5" customHeight="1">
      <c r="A171" s="11" t="s">
        <v>31</v>
      </c>
      <c r="B171" s="2"/>
      <c r="C171" s="2"/>
      <c r="D171" s="3" t="s">
        <v>25</v>
      </c>
      <c r="E171" s="11" t="s">
        <v>32</v>
      </c>
      <c r="F171" s="2"/>
      <c r="G171" s="3" t="s">
        <v>25</v>
      </c>
      <c r="H171" s="12" t="s">
        <v>33</v>
      </c>
      <c r="I171" s="5"/>
      <c r="J171" s="13"/>
    </row>
    <row r="172" spans="1:10" s="1" customFormat="1" ht="13.5" customHeight="1">
      <c r="A172" s="11" t="s">
        <v>34</v>
      </c>
      <c r="B172" s="2"/>
      <c r="C172" s="2"/>
      <c r="D172" s="3" t="s">
        <v>25</v>
      </c>
      <c r="E172" s="11" t="s">
        <v>35</v>
      </c>
      <c r="F172" s="2"/>
      <c r="G172" s="3">
        <v>1833</v>
      </c>
      <c r="H172" s="12"/>
      <c r="I172" s="5"/>
      <c r="J172" s="13"/>
    </row>
    <row r="173" spans="1:10" s="1" customFormat="1" ht="13.5" customHeight="1">
      <c r="A173" s="11" t="s">
        <v>36</v>
      </c>
      <c r="B173" s="2"/>
      <c r="C173" s="2"/>
      <c r="D173" s="3" t="s">
        <v>25</v>
      </c>
      <c r="E173" s="11" t="s">
        <v>37</v>
      </c>
      <c r="F173" s="2"/>
      <c r="G173" s="3">
        <v>100</v>
      </c>
      <c r="H173" s="12" t="s">
        <v>88</v>
      </c>
      <c r="I173" s="5"/>
      <c r="J173" s="14"/>
    </row>
    <row r="174" spans="1:10" s="1" customFormat="1" ht="13.5" customHeight="1">
      <c r="A174" s="11" t="s">
        <v>38</v>
      </c>
      <c r="B174" s="2"/>
      <c r="C174" s="2"/>
      <c r="D174" s="3" t="s">
        <v>25</v>
      </c>
      <c r="E174" s="11" t="s">
        <v>39</v>
      </c>
      <c r="F174" s="2"/>
      <c r="G174" s="3" t="s">
        <v>25</v>
      </c>
      <c r="H174" s="12"/>
      <c r="I174" s="5"/>
      <c r="J174" s="14"/>
    </row>
    <row r="175" spans="1:10" s="1" customFormat="1" ht="13.5" customHeight="1">
      <c r="A175" s="12" t="s">
        <v>40</v>
      </c>
      <c r="B175" s="5"/>
      <c r="C175" s="5"/>
      <c r="D175" s="3" t="s">
        <v>25</v>
      </c>
      <c r="E175" s="11" t="s">
        <v>41</v>
      </c>
      <c r="F175" s="2"/>
      <c r="G175" s="3" t="s">
        <v>25</v>
      </c>
      <c r="H175" s="12"/>
      <c r="I175" s="5"/>
      <c r="J175" s="13"/>
    </row>
    <row r="176" spans="1:10" s="1" customFormat="1" ht="13.5" customHeight="1">
      <c r="A176" s="44" t="s">
        <v>42</v>
      </c>
      <c r="B176" s="45"/>
      <c r="C176" s="46"/>
      <c r="D176" s="42">
        <f>SUM(D169:D175)</f>
        <v>58667</v>
      </c>
      <c r="E176" s="2" t="s">
        <v>43</v>
      </c>
      <c r="F176" s="2"/>
      <c r="G176" s="3" t="s">
        <v>25</v>
      </c>
      <c r="H176" s="12"/>
      <c r="I176" s="5"/>
      <c r="J176" s="13"/>
    </row>
    <row r="177" spans="1:10" s="1" customFormat="1" ht="13.5" customHeight="1">
      <c r="A177" s="47"/>
      <c r="B177" s="29"/>
      <c r="C177" s="48"/>
      <c r="D177" s="43"/>
      <c r="E177" s="15" t="s">
        <v>21</v>
      </c>
      <c r="F177" s="16"/>
      <c r="G177" s="7">
        <f>SUM(G169:G176)</f>
        <v>1933</v>
      </c>
      <c r="H177" s="15" t="s">
        <v>44</v>
      </c>
      <c r="I177" s="16"/>
      <c r="J177" s="7">
        <f>D176-G177</f>
        <v>56734</v>
      </c>
    </row>
    <row r="178" spans="1:10" s="1" customFormat="1" ht="13.5" customHeight="1">
      <c r="A178" s="4" t="s">
        <v>45</v>
      </c>
      <c r="B178" s="4"/>
      <c r="C178" s="4"/>
      <c r="D178" s="4"/>
      <c r="E178" s="4"/>
      <c r="F178" s="4"/>
      <c r="G178" s="4"/>
      <c r="H178" s="4"/>
      <c r="I178" s="4"/>
      <c r="J178" s="4"/>
    </row>
    <row r="179" spans="1:10" s="1" customFormat="1" ht="13.5" customHeight="1"/>
    <row r="180" spans="1:10" ht="13.5" customHeight="1">
      <c r="A180" s="17"/>
      <c r="B180" s="17" t="s">
        <v>46</v>
      </c>
      <c r="C180" s="17"/>
      <c r="D180" s="17"/>
      <c r="E180" s="17" t="s">
        <v>47</v>
      </c>
      <c r="F180" s="17"/>
      <c r="G180" s="17"/>
      <c r="H180" s="17" t="s">
        <v>48</v>
      </c>
      <c r="I180" s="17"/>
      <c r="J180" s="17"/>
    </row>
    <row r="181" spans="1:10" s="1" customFormat="1" ht="13.5" customHeight="1">
      <c r="A181" s="49" t="s">
        <v>0</v>
      </c>
      <c r="B181" s="50"/>
      <c r="C181" s="50"/>
      <c r="D181" s="50"/>
      <c r="E181" s="50"/>
      <c r="F181" s="50"/>
      <c r="G181" s="50"/>
      <c r="H181" s="50"/>
      <c r="I181" s="50"/>
      <c r="J181" s="51"/>
    </row>
    <row r="182" spans="1:10" s="1" customFormat="1" ht="13.5" customHeight="1">
      <c r="A182" s="52" t="s">
        <v>1</v>
      </c>
      <c r="B182" s="53"/>
      <c r="C182" s="53"/>
      <c r="D182" s="53"/>
      <c r="E182" s="53"/>
      <c r="F182" s="53"/>
      <c r="G182" s="53"/>
      <c r="H182" s="53"/>
      <c r="I182" s="53"/>
      <c r="J182" s="54"/>
    </row>
    <row r="183" spans="1:10" s="1" customFormat="1" ht="13.5" customHeight="1">
      <c r="A183" s="2" t="s">
        <v>2</v>
      </c>
      <c r="B183" s="2"/>
      <c r="C183" s="60" t="s">
        <v>89</v>
      </c>
      <c r="D183" s="60"/>
      <c r="E183" s="3"/>
      <c r="F183" s="4"/>
      <c r="G183" s="2" t="s">
        <v>4</v>
      </c>
      <c r="H183" s="56" t="s">
        <v>5</v>
      </c>
      <c r="I183" s="56"/>
      <c r="J183" s="56"/>
    </row>
    <row r="184" spans="1:10" s="1" customFormat="1" ht="13.5" customHeight="1">
      <c r="A184" s="2" t="s">
        <v>6</v>
      </c>
      <c r="B184" s="2"/>
      <c r="C184" s="18" t="s">
        <v>90</v>
      </c>
      <c r="D184" s="18"/>
      <c r="E184" s="3"/>
      <c r="F184" s="4"/>
      <c r="G184" s="2" t="s">
        <v>8</v>
      </c>
      <c r="H184" s="57" t="s">
        <v>9</v>
      </c>
      <c r="I184" s="57"/>
      <c r="J184" s="57"/>
    </row>
    <row r="185" spans="1:10" s="1" customFormat="1" ht="13.5" customHeight="1">
      <c r="A185" s="5" t="s">
        <v>10</v>
      </c>
      <c r="B185" s="5"/>
      <c r="C185" s="55" t="s">
        <v>91</v>
      </c>
      <c r="D185" s="55"/>
      <c r="E185" s="3"/>
      <c r="F185" s="4"/>
      <c r="G185" s="2" t="s">
        <v>12</v>
      </c>
      <c r="H185" s="58" t="s">
        <v>13</v>
      </c>
      <c r="I185" s="58"/>
      <c r="J185" s="58"/>
    </row>
    <row r="186" spans="1:10" s="1" customFormat="1" ht="13.5" customHeight="1">
      <c r="A186" s="3" t="s">
        <v>14</v>
      </c>
      <c r="B186" s="3"/>
      <c r="C186" s="3" t="s">
        <v>15</v>
      </c>
      <c r="D186" s="3"/>
      <c r="E186" s="3"/>
      <c r="F186" s="4"/>
      <c r="G186" s="2" t="s">
        <v>16</v>
      </c>
      <c r="H186" s="59" t="s">
        <v>92</v>
      </c>
      <c r="I186" s="59"/>
      <c r="J186" s="59"/>
    </row>
    <row r="187" spans="1:10" s="1" customFormat="1" ht="13.5" customHeight="1">
      <c r="A187" s="3">
        <v>30</v>
      </c>
      <c r="B187" s="3"/>
      <c r="C187" s="3">
        <f>A187-H187</f>
        <v>0</v>
      </c>
      <c r="D187" s="3"/>
      <c r="E187" s="3"/>
      <c r="F187" s="4"/>
      <c r="G187" s="6" t="s">
        <v>18</v>
      </c>
      <c r="H187" s="29">
        <v>30</v>
      </c>
      <c r="I187" s="29"/>
      <c r="J187" s="29"/>
    </row>
    <row r="188" spans="1:10" s="1" customFormat="1" ht="13.5" customHeight="1">
      <c r="A188" s="30" t="s">
        <v>19</v>
      </c>
      <c r="B188" s="31"/>
      <c r="C188" s="32"/>
      <c r="D188" s="7" t="s">
        <v>20</v>
      </c>
      <c r="E188" s="8" t="s">
        <v>21</v>
      </c>
      <c r="F188" s="9"/>
      <c r="G188" s="10" t="s">
        <v>20</v>
      </c>
      <c r="H188" s="33" t="s">
        <v>22</v>
      </c>
      <c r="I188" s="34"/>
      <c r="J188" s="35"/>
    </row>
    <row r="189" spans="1:10" s="1" customFormat="1" ht="13.5" customHeight="1">
      <c r="A189" s="11" t="s">
        <v>23</v>
      </c>
      <c r="B189" s="2"/>
      <c r="C189" s="2"/>
      <c r="D189" s="3">
        <v>50000</v>
      </c>
      <c r="E189" s="11" t="s">
        <v>24</v>
      </c>
      <c r="F189" s="2"/>
      <c r="G189" s="3" t="s">
        <v>25</v>
      </c>
      <c r="H189" s="12" t="s">
        <v>26</v>
      </c>
      <c r="I189" s="5"/>
      <c r="J189" s="13"/>
    </row>
    <row r="190" spans="1:10" s="1" customFormat="1" ht="13.5" customHeight="1">
      <c r="A190" s="11" t="s">
        <v>27</v>
      </c>
      <c r="B190" s="36"/>
      <c r="C190" s="36"/>
      <c r="D190" s="3" t="s">
        <v>25</v>
      </c>
      <c r="E190" s="11" t="s">
        <v>29</v>
      </c>
      <c r="F190" s="2"/>
      <c r="G190" s="3" t="s">
        <v>25</v>
      </c>
      <c r="H190" s="12" t="s">
        <v>30</v>
      </c>
      <c r="I190" s="5"/>
      <c r="J190" s="13"/>
    </row>
    <row r="191" spans="1:10" s="1" customFormat="1" ht="13.5" customHeight="1">
      <c r="A191" s="11" t="s">
        <v>31</v>
      </c>
      <c r="B191" s="2"/>
      <c r="C191" s="2"/>
      <c r="D191" s="3" t="s">
        <v>25</v>
      </c>
      <c r="E191" s="11" t="s">
        <v>60</v>
      </c>
      <c r="F191" s="2"/>
      <c r="G191" s="3" t="s">
        <v>25</v>
      </c>
      <c r="H191" s="12" t="s">
        <v>33</v>
      </c>
      <c r="I191" s="5"/>
      <c r="J191" s="13"/>
    </row>
    <row r="192" spans="1:10" s="1" customFormat="1" ht="13.5" customHeight="1">
      <c r="A192" s="11" t="s">
        <v>93</v>
      </c>
      <c r="B192" s="2"/>
      <c r="C192" s="2"/>
      <c r="D192" s="3">
        <v>7000</v>
      </c>
      <c r="E192" s="11" t="s">
        <v>35</v>
      </c>
      <c r="F192" s="2"/>
      <c r="G192" s="3" t="s">
        <v>25</v>
      </c>
      <c r="H192" s="12"/>
      <c r="I192" s="5"/>
      <c r="J192" s="13"/>
    </row>
    <row r="193" spans="1:10" s="1" customFormat="1" ht="13.5" customHeight="1">
      <c r="A193" s="11" t="s">
        <v>36</v>
      </c>
      <c r="B193" s="2"/>
      <c r="C193" s="2"/>
      <c r="D193" s="3" t="s">
        <v>25</v>
      </c>
      <c r="E193" s="11" t="s">
        <v>37</v>
      </c>
      <c r="F193" s="2"/>
      <c r="G193" s="3">
        <v>100</v>
      </c>
      <c r="H193" s="12"/>
      <c r="I193" s="5"/>
      <c r="J193" s="14"/>
    </row>
    <row r="194" spans="1:10" s="1" customFormat="1" ht="13.5" customHeight="1">
      <c r="A194" s="11" t="s">
        <v>38</v>
      </c>
      <c r="B194" s="2"/>
      <c r="C194" s="2"/>
      <c r="D194" s="3" t="s">
        <v>25</v>
      </c>
      <c r="E194" s="11" t="s">
        <v>39</v>
      </c>
      <c r="F194" s="2"/>
      <c r="G194" s="3" t="s">
        <v>25</v>
      </c>
      <c r="H194" s="12"/>
      <c r="I194" s="5"/>
      <c r="J194" s="14"/>
    </row>
    <row r="195" spans="1:10" s="1" customFormat="1" ht="13.5" customHeight="1">
      <c r="A195" s="12" t="s">
        <v>40</v>
      </c>
      <c r="B195" s="5"/>
      <c r="C195" s="5"/>
      <c r="D195" s="3" t="s">
        <v>25</v>
      </c>
      <c r="E195" s="11" t="s">
        <v>41</v>
      </c>
      <c r="F195" s="2"/>
      <c r="G195" s="3" t="s">
        <v>25</v>
      </c>
      <c r="H195" s="12"/>
      <c r="I195" s="5"/>
      <c r="J195" s="13"/>
    </row>
    <row r="196" spans="1:10" s="1" customFormat="1" ht="13.5" customHeight="1">
      <c r="A196" s="44" t="s">
        <v>42</v>
      </c>
      <c r="B196" s="45"/>
      <c r="C196" s="46"/>
      <c r="D196" s="42">
        <f>SUM(D189:D195)</f>
        <v>57000</v>
      </c>
      <c r="E196" s="2" t="s">
        <v>43</v>
      </c>
      <c r="F196" s="2"/>
      <c r="G196" s="3" t="s">
        <v>25</v>
      </c>
      <c r="H196" s="12"/>
      <c r="I196" s="5"/>
      <c r="J196" s="13"/>
    </row>
    <row r="197" spans="1:10" s="1" customFormat="1" ht="13.5" customHeight="1">
      <c r="A197" s="47"/>
      <c r="B197" s="29"/>
      <c r="C197" s="48"/>
      <c r="D197" s="43"/>
      <c r="E197" s="15" t="s">
        <v>21</v>
      </c>
      <c r="F197" s="16"/>
      <c r="G197" s="7">
        <f>SUM(G189:G196)</f>
        <v>100</v>
      </c>
      <c r="H197" s="15" t="s">
        <v>44</v>
      </c>
      <c r="I197" s="16"/>
      <c r="J197" s="7">
        <f>D196-G197</f>
        <v>56900</v>
      </c>
    </row>
    <row r="198" spans="1:10" s="1" customFormat="1" ht="13.5" customHeight="1">
      <c r="A198" s="4" t="s">
        <v>45</v>
      </c>
      <c r="B198" s="4"/>
      <c r="C198" s="4"/>
      <c r="D198" s="4"/>
      <c r="E198" s="4"/>
      <c r="F198" s="4"/>
      <c r="G198" s="4"/>
      <c r="H198" s="4"/>
      <c r="I198" s="4"/>
      <c r="J198" s="4"/>
    </row>
    <row r="199" spans="1:10" s="1" customFormat="1" ht="13.5" customHeight="1"/>
    <row r="200" spans="1:10" ht="13.5" customHeight="1">
      <c r="A200" s="17"/>
      <c r="B200" s="17" t="s">
        <v>46</v>
      </c>
      <c r="C200" s="17"/>
      <c r="D200" s="17"/>
      <c r="E200" s="17" t="s">
        <v>47</v>
      </c>
      <c r="F200" s="17"/>
      <c r="G200" s="17"/>
      <c r="H200" s="17" t="s">
        <v>48</v>
      </c>
      <c r="I200" s="17"/>
      <c r="J200" s="17"/>
    </row>
    <row r="201" spans="1:10" s="1" customFormat="1" ht="13.5" customHeight="1">
      <c r="A201" s="49" t="s">
        <v>0</v>
      </c>
      <c r="B201" s="50"/>
      <c r="C201" s="50"/>
      <c r="D201" s="50"/>
      <c r="E201" s="50"/>
      <c r="F201" s="50"/>
      <c r="G201" s="50"/>
      <c r="H201" s="50"/>
      <c r="I201" s="50"/>
      <c r="J201" s="51"/>
    </row>
    <row r="202" spans="1:10" s="1" customFormat="1" ht="13.5" customHeight="1">
      <c r="A202" s="52" t="s">
        <v>1</v>
      </c>
      <c r="B202" s="53"/>
      <c r="C202" s="53"/>
      <c r="D202" s="53"/>
      <c r="E202" s="53"/>
      <c r="F202" s="53"/>
      <c r="G202" s="53"/>
      <c r="H202" s="53"/>
      <c r="I202" s="53"/>
      <c r="J202" s="54"/>
    </row>
    <row r="203" spans="1:10" s="1" customFormat="1" ht="13.5" customHeight="1">
      <c r="A203" s="2" t="s">
        <v>2</v>
      </c>
      <c r="B203" s="2"/>
      <c r="C203" s="55" t="s">
        <v>94</v>
      </c>
      <c r="D203" s="55"/>
      <c r="E203" s="3"/>
      <c r="F203" s="4"/>
      <c r="G203" s="2" t="s">
        <v>4</v>
      </c>
      <c r="H203" s="56" t="s">
        <v>5</v>
      </c>
      <c r="I203" s="56"/>
      <c r="J203" s="56"/>
    </row>
    <row r="204" spans="1:10" s="1" customFormat="1" ht="13.5" customHeight="1">
      <c r="A204" s="2" t="s">
        <v>6</v>
      </c>
      <c r="B204" s="2"/>
      <c r="C204" s="18" t="s">
        <v>95</v>
      </c>
      <c r="D204" s="18"/>
      <c r="E204" s="3"/>
      <c r="F204" s="4"/>
      <c r="G204" s="2" t="s">
        <v>8</v>
      </c>
      <c r="H204" s="57" t="s">
        <v>9</v>
      </c>
      <c r="I204" s="57"/>
      <c r="J204" s="57"/>
    </row>
    <row r="205" spans="1:10" s="1" customFormat="1" ht="13.5" customHeight="1">
      <c r="A205" s="5" t="s">
        <v>10</v>
      </c>
      <c r="B205" s="5"/>
      <c r="C205" s="55" t="s">
        <v>96</v>
      </c>
      <c r="D205" s="55"/>
      <c r="E205" s="3"/>
      <c r="F205" s="4"/>
      <c r="G205" s="2" t="s">
        <v>12</v>
      </c>
      <c r="H205" s="58" t="s">
        <v>13</v>
      </c>
      <c r="I205" s="58"/>
      <c r="J205" s="58"/>
    </row>
    <row r="206" spans="1:10" s="1" customFormat="1" ht="13.5" customHeight="1">
      <c r="A206" s="3" t="s">
        <v>14</v>
      </c>
      <c r="B206" s="3"/>
      <c r="C206" s="3" t="s">
        <v>15</v>
      </c>
      <c r="D206" s="3"/>
      <c r="E206" s="3"/>
      <c r="F206" s="4"/>
      <c r="G206" s="2" t="s">
        <v>16</v>
      </c>
      <c r="H206" s="59" t="s">
        <v>92</v>
      </c>
      <c r="I206" s="59"/>
      <c r="J206" s="59"/>
    </row>
    <row r="207" spans="1:10" s="1" customFormat="1" ht="13.5" customHeight="1">
      <c r="A207" s="3">
        <v>30</v>
      </c>
      <c r="B207" s="3"/>
      <c r="C207" s="3">
        <f>A207-H207</f>
        <v>1</v>
      </c>
      <c r="D207" s="3"/>
      <c r="E207" s="3"/>
      <c r="F207" s="4"/>
      <c r="G207" s="6" t="s">
        <v>18</v>
      </c>
      <c r="H207" s="29">
        <v>29</v>
      </c>
      <c r="I207" s="29"/>
      <c r="J207" s="29"/>
    </row>
    <row r="208" spans="1:10" s="1" customFormat="1" ht="13.5" customHeight="1">
      <c r="A208" s="30" t="s">
        <v>19</v>
      </c>
      <c r="B208" s="31"/>
      <c r="C208" s="32"/>
      <c r="D208" s="7" t="s">
        <v>20</v>
      </c>
      <c r="E208" s="8" t="s">
        <v>21</v>
      </c>
      <c r="F208" s="9"/>
      <c r="G208" s="10" t="s">
        <v>20</v>
      </c>
      <c r="H208" s="33" t="s">
        <v>22</v>
      </c>
      <c r="I208" s="34"/>
      <c r="J208" s="35"/>
    </row>
    <row r="209" spans="1:10" s="1" customFormat="1" ht="13.5" customHeight="1">
      <c r="A209" s="11" t="s">
        <v>23</v>
      </c>
      <c r="B209" s="2"/>
      <c r="C209" s="2"/>
      <c r="D209" s="3">
        <v>25000</v>
      </c>
      <c r="E209" s="11" t="s">
        <v>24</v>
      </c>
      <c r="F209" s="2"/>
      <c r="G209" s="3" t="s">
        <v>25</v>
      </c>
      <c r="H209" s="12" t="s">
        <v>26</v>
      </c>
      <c r="I209" s="5"/>
      <c r="J209" s="13"/>
    </row>
    <row r="210" spans="1:10" s="1" customFormat="1" ht="13.5" customHeight="1">
      <c r="A210" s="11" t="s">
        <v>27</v>
      </c>
      <c r="B210" s="36"/>
      <c r="C210" s="36"/>
      <c r="D210" s="3" t="s">
        <v>25</v>
      </c>
      <c r="E210" s="11" t="s">
        <v>29</v>
      </c>
      <c r="F210" s="2"/>
      <c r="G210" s="3" t="s">
        <v>25</v>
      </c>
      <c r="H210" s="12" t="s">
        <v>30</v>
      </c>
      <c r="I210" s="5"/>
      <c r="J210" s="13"/>
    </row>
    <row r="211" spans="1:10" s="1" customFormat="1" ht="13.5" customHeight="1">
      <c r="A211" s="11" t="s">
        <v>31</v>
      </c>
      <c r="B211" s="2"/>
      <c r="C211" s="2"/>
      <c r="D211" s="3" t="s">
        <v>25</v>
      </c>
      <c r="E211" s="11" t="s">
        <v>32</v>
      </c>
      <c r="F211" s="2"/>
      <c r="G211" s="3" t="s">
        <v>25</v>
      </c>
      <c r="H211" s="12" t="s">
        <v>33</v>
      </c>
      <c r="I211" s="5"/>
      <c r="J211" s="13"/>
    </row>
    <row r="212" spans="1:10" s="1" customFormat="1" ht="13.5" customHeight="1">
      <c r="A212" s="11" t="s">
        <v>97</v>
      </c>
      <c r="B212" s="2"/>
      <c r="C212" s="2"/>
      <c r="D212" s="3">
        <v>5000</v>
      </c>
      <c r="E212" s="11" t="s">
        <v>35</v>
      </c>
      <c r="F212" s="2"/>
      <c r="G212" s="3">
        <v>833</v>
      </c>
      <c r="H212" s="12"/>
      <c r="I212" s="5"/>
      <c r="J212" s="13"/>
    </row>
    <row r="213" spans="1:10" s="1" customFormat="1" ht="13.5" customHeight="1">
      <c r="A213" s="11" t="s">
        <v>36</v>
      </c>
      <c r="B213" s="2"/>
      <c r="C213" s="2"/>
      <c r="D213" s="3" t="s">
        <v>25</v>
      </c>
      <c r="E213" s="11" t="s">
        <v>37</v>
      </c>
      <c r="F213" s="2"/>
      <c r="G213" s="3">
        <v>100</v>
      </c>
      <c r="H213" s="12"/>
      <c r="I213" s="5"/>
      <c r="J213" s="14"/>
    </row>
    <row r="214" spans="1:10" s="1" customFormat="1" ht="13.5" customHeight="1">
      <c r="A214" s="11" t="s">
        <v>38</v>
      </c>
      <c r="B214" s="2"/>
      <c r="C214" s="2"/>
      <c r="D214" s="3" t="s">
        <v>25</v>
      </c>
      <c r="E214" s="11" t="s">
        <v>157</v>
      </c>
      <c r="F214" s="2"/>
      <c r="G214" s="3">
        <v>1667</v>
      </c>
      <c r="H214" s="12"/>
      <c r="I214" s="5"/>
      <c r="J214" s="14"/>
    </row>
    <row r="215" spans="1:10" s="1" customFormat="1" ht="13.5" customHeight="1">
      <c r="A215" s="12" t="s">
        <v>40</v>
      </c>
      <c r="B215" s="5"/>
      <c r="C215" s="5"/>
      <c r="D215" s="3" t="s">
        <v>25</v>
      </c>
      <c r="E215" s="11" t="s">
        <v>41</v>
      </c>
      <c r="F215" s="2"/>
      <c r="G215" s="3" t="s">
        <v>25</v>
      </c>
      <c r="H215" s="12"/>
      <c r="I215" s="5"/>
      <c r="J215" s="13"/>
    </row>
    <row r="216" spans="1:10" s="1" customFormat="1" ht="13.5" customHeight="1">
      <c r="A216" s="44" t="s">
        <v>42</v>
      </c>
      <c r="B216" s="45"/>
      <c r="C216" s="46"/>
      <c r="D216" s="42">
        <f>SUM(D209:D215)</f>
        <v>30000</v>
      </c>
      <c r="E216" s="2" t="s">
        <v>43</v>
      </c>
      <c r="F216" s="2"/>
      <c r="G216" s="3" t="s">
        <v>25</v>
      </c>
      <c r="H216" s="12"/>
      <c r="I216" s="5"/>
      <c r="J216" s="13"/>
    </row>
    <row r="217" spans="1:10" s="1" customFormat="1" ht="13.5" customHeight="1">
      <c r="A217" s="47"/>
      <c r="B217" s="29"/>
      <c r="C217" s="48"/>
      <c r="D217" s="43"/>
      <c r="E217" s="15" t="s">
        <v>21</v>
      </c>
      <c r="F217" s="16"/>
      <c r="G217" s="7">
        <f>SUM(G209:G216)</f>
        <v>2600</v>
      </c>
      <c r="H217" s="15" t="s">
        <v>44</v>
      </c>
      <c r="I217" s="16"/>
      <c r="J217" s="7">
        <f>D216-G217</f>
        <v>27400</v>
      </c>
    </row>
    <row r="218" spans="1:10" s="1" customFormat="1" ht="13.5" customHeight="1">
      <c r="A218" s="4" t="s">
        <v>45</v>
      </c>
      <c r="B218" s="4"/>
      <c r="C218" s="4"/>
      <c r="D218" s="4"/>
      <c r="E218" s="4"/>
      <c r="F218" s="4"/>
      <c r="G218" s="4"/>
      <c r="H218" s="4"/>
      <c r="I218" s="4"/>
      <c r="J218" s="4"/>
    </row>
    <row r="219" spans="1:10" s="1" customFormat="1" ht="13.5" customHeight="1"/>
    <row r="220" spans="1:10" ht="13.5" customHeight="1">
      <c r="A220" s="17"/>
      <c r="B220" s="17" t="s">
        <v>46</v>
      </c>
      <c r="C220" s="17"/>
      <c r="D220" s="17"/>
      <c r="E220" s="17" t="s">
        <v>47</v>
      </c>
      <c r="F220" s="17"/>
      <c r="G220" s="17"/>
      <c r="H220" s="17" t="s">
        <v>48</v>
      </c>
      <c r="I220" s="17"/>
      <c r="J220" s="17"/>
    </row>
    <row r="221" spans="1:10" s="1" customFormat="1" ht="13.5" customHeight="1">
      <c r="A221" s="49" t="s">
        <v>0</v>
      </c>
      <c r="B221" s="50"/>
      <c r="C221" s="50"/>
      <c r="D221" s="50"/>
      <c r="E221" s="50"/>
      <c r="F221" s="50"/>
      <c r="G221" s="50"/>
      <c r="H221" s="50"/>
      <c r="I221" s="50"/>
      <c r="J221" s="51"/>
    </row>
    <row r="222" spans="1:10" s="1" customFormat="1" ht="13.5" customHeight="1">
      <c r="A222" s="52" t="s">
        <v>1</v>
      </c>
      <c r="B222" s="53"/>
      <c r="C222" s="53"/>
      <c r="D222" s="53"/>
      <c r="E222" s="53"/>
      <c r="F222" s="53"/>
      <c r="G222" s="53"/>
      <c r="H222" s="53"/>
      <c r="I222" s="53"/>
      <c r="J222" s="54"/>
    </row>
    <row r="223" spans="1:10" s="1" customFormat="1" ht="13.5" customHeight="1">
      <c r="A223" s="2" t="s">
        <v>2</v>
      </c>
      <c r="B223" s="2"/>
      <c r="C223" s="55" t="s">
        <v>98</v>
      </c>
      <c r="D223" s="55"/>
      <c r="E223" s="3"/>
      <c r="F223" s="4"/>
      <c r="G223" s="2" t="s">
        <v>4</v>
      </c>
      <c r="H223" s="56" t="s">
        <v>5</v>
      </c>
      <c r="I223" s="56"/>
      <c r="J223" s="56"/>
    </row>
    <row r="224" spans="1:10" s="1" customFormat="1" ht="13.5" customHeight="1">
      <c r="A224" s="2" t="s">
        <v>6</v>
      </c>
      <c r="B224" s="2"/>
      <c r="C224" s="18" t="s">
        <v>99</v>
      </c>
      <c r="D224" s="18"/>
      <c r="E224" s="3"/>
      <c r="F224" s="4"/>
      <c r="G224" s="2" t="s">
        <v>8</v>
      </c>
      <c r="H224" s="57" t="s">
        <v>9</v>
      </c>
      <c r="I224" s="57"/>
      <c r="J224" s="57"/>
    </row>
    <row r="225" spans="1:10" s="1" customFormat="1" ht="13.5" customHeight="1">
      <c r="A225" s="5" t="s">
        <v>10</v>
      </c>
      <c r="B225" s="5"/>
      <c r="C225" s="55" t="s">
        <v>100</v>
      </c>
      <c r="D225" s="55"/>
      <c r="E225" s="3"/>
      <c r="F225" s="4"/>
      <c r="G225" s="2" t="s">
        <v>12</v>
      </c>
      <c r="H225" s="58" t="s">
        <v>13</v>
      </c>
      <c r="I225" s="58"/>
      <c r="J225" s="58"/>
    </row>
    <row r="226" spans="1:10" s="1" customFormat="1" ht="13.5" customHeight="1">
      <c r="A226" s="3" t="s">
        <v>14</v>
      </c>
      <c r="B226" s="3"/>
      <c r="C226" s="3" t="s">
        <v>15</v>
      </c>
      <c r="D226" s="3"/>
      <c r="E226" s="3"/>
      <c r="F226" s="4"/>
      <c r="G226" s="2" t="s">
        <v>16</v>
      </c>
      <c r="H226" s="59" t="s">
        <v>92</v>
      </c>
      <c r="I226" s="59"/>
      <c r="J226" s="59"/>
    </row>
    <row r="227" spans="1:10" s="1" customFormat="1" ht="13.5" customHeight="1">
      <c r="A227" s="3">
        <v>30</v>
      </c>
      <c r="B227" s="3"/>
      <c r="C227" s="3">
        <f>A227-H227</f>
        <v>0</v>
      </c>
      <c r="D227" s="3"/>
      <c r="E227" s="3"/>
      <c r="F227" s="4"/>
      <c r="G227" s="6" t="s">
        <v>18</v>
      </c>
      <c r="H227" s="29">
        <v>30</v>
      </c>
      <c r="I227" s="29"/>
      <c r="J227" s="29"/>
    </row>
    <row r="228" spans="1:10" s="1" customFormat="1" ht="13.5" customHeight="1">
      <c r="A228" s="30" t="s">
        <v>19</v>
      </c>
      <c r="B228" s="31"/>
      <c r="C228" s="32"/>
      <c r="D228" s="7" t="s">
        <v>20</v>
      </c>
      <c r="E228" s="8" t="s">
        <v>21</v>
      </c>
      <c r="F228" s="9"/>
      <c r="G228" s="10" t="s">
        <v>20</v>
      </c>
      <c r="H228" s="33" t="s">
        <v>22</v>
      </c>
      <c r="I228" s="34"/>
      <c r="J228" s="35"/>
    </row>
    <row r="229" spans="1:10" s="1" customFormat="1" ht="13.5" customHeight="1">
      <c r="A229" s="11" t="s">
        <v>23</v>
      </c>
      <c r="B229" s="2"/>
      <c r="C229" s="2"/>
      <c r="D229" s="3">
        <v>20000</v>
      </c>
      <c r="E229" s="11" t="s">
        <v>24</v>
      </c>
      <c r="F229" s="2"/>
      <c r="G229" s="3" t="s">
        <v>25</v>
      </c>
      <c r="H229" s="12" t="s">
        <v>26</v>
      </c>
      <c r="I229" s="5"/>
      <c r="J229" s="13"/>
    </row>
    <row r="230" spans="1:10" s="1" customFormat="1" ht="13.5" customHeight="1">
      <c r="A230" s="11" t="s">
        <v>27</v>
      </c>
      <c r="B230" s="36"/>
      <c r="C230" s="36"/>
      <c r="D230" s="3" t="s">
        <v>25</v>
      </c>
      <c r="E230" s="11" t="s">
        <v>29</v>
      </c>
      <c r="F230" s="2"/>
      <c r="G230" s="3" t="s">
        <v>25</v>
      </c>
      <c r="H230" s="12" t="s">
        <v>30</v>
      </c>
      <c r="I230" s="5"/>
      <c r="J230" s="13"/>
    </row>
    <row r="231" spans="1:10" s="1" customFormat="1" ht="13.5" customHeight="1">
      <c r="A231" s="11" t="s">
        <v>31</v>
      </c>
      <c r="B231" s="2"/>
      <c r="C231" s="2"/>
      <c r="D231" s="3" t="s">
        <v>25</v>
      </c>
      <c r="E231" s="11" t="s">
        <v>32</v>
      </c>
      <c r="F231" s="2"/>
      <c r="G231" s="3" t="s">
        <v>25</v>
      </c>
      <c r="H231" s="12" t="s">
        <v>33</v>
      </c>
      <c r="I231" s="5"/>
      <c r="J231" s="13"/>
    </row>
    <row r="232" spans="1:10" s="1" customFormat="1" ht="13.5" customHeight="1">
      <c r="A232" s="11" t="s">
        <v>34</v>
      </c>
      <c r="B232" s="2"/>
      <c r="C232" s="2"/>
      <c r="D232" s="3" t="s">
        <v>25</v>
      </c>
      <c r="E232" s="11" t="s">
        <v>35</v>
      </c>
      <c r="F232" s="2"/>
      <c r="G232" s="3" t="s">
        <v>25</v>
      </c>
      <c r="H232" s="12"/>
      <c r="I232" s="5"/>
      <c r="J232" s="13"/>
    </row>
    <row r="233" spans="1:10" s="1" customFormat="1" ht="13.5" customHeight="1">
      <c r="A233" s="11" t="s">
        <v>36</v>
      </c>
      <c r="B233" s="2"/>
      <c r="C233" s="2"/>
      <c r="D233" s="3" t="s">
        <v>25</v>
      </c>
      <c r="E233" s="11" t="s">
        <v>37</v>
      </c>
      <c r="F233" s="2"/>
      <c r="G233" s="3">
        <v>100</v>
      </c>
      <c r="H233" s="12"/>
      <c r="I233" s="5"/>
      <c r="J233" s="14"/>
    </row>
    <row r="234" spans="1:10" s="1" customFormat="1" ht="13.5" customHeight="1">
      <c r="A234" s="11" t="s">
        <v>38</v>
      </c>
      <c r="B234" s="2"/>
      <c r="C234" s="2"/>
      <c r="D234" s="3" t="s">
        <v>25</v>
      </c>
      <c r="E234" s="11" t="s">
        <v>39</v>
      </c>
      <c r="F234" s="2"/>
      <c r="G234" s="3" t="s">
        <v>25</v>
      </c>
      <c r="H234" s="12"/>
      <c r="I234" s="5"/>
      <c r="J234" s="14"/>
    </row>
    <row r="235" spans="1:10" s="1" customFormat="1" ht="13.5" customHeight="1">
      <c r="A235" s="12" t="s">
        <v>40</v>
      </c>
      <c r="B235" s="5"/>
      <c r="C235" s="5"/>
      <c r="D235" s="3" t="s">
        <v>25</v>
      </c>
      <c r="E235" s="11" t="s">
        <v>41</v>
      </c>
      <c r="F235" s="2"/>
      <c r="G235" s="3" t="s">
        <v>25</v>
      </c>
      <c r="H235" s="12"/>
      <c r="I235" s="5"/>
      <c r="J235" s="13"/>
    </row>
    <row r="236" spans="1:10" s="1" customFormat="1" ht="13.5" customHeight="1">
      <c r="A236" s="44" t="s">
        <v>42</v>
      </c>
      <c r="B236" s="45"/>
      <c r="C236" s="46"/>
      <c r="D236" s="42">
        <f>SUM(D229:D235)</f>
        <v>20000</v>
      </c>
      <c r="E236" s="2" t="s">
        <v>43</v>
      </c>
      <c r="F236" s="2"/>
      <c r="G236" s="3" t="s">
        <v>25</v>
      </c>
      <c r="H236" s="12"/>
      <c r="I236" s="5"/>
      <c r="J236" s="13"/>
    </row>
    <row r="237" spans="1:10" s="1" customFormat="1" ht="13.5" customHeight="1">
      <c r="A237" s="47"/>
      <c r="B237" s="29"/>
      <c r="C237" s="48"/>
      <c r="D237" s="43"/>
      <c r="E237" s="15" t="s">
        <v>21</v>
      </c>
      <c r="F237" s="16"/>
      <c r="G237" s="7">
        <f>SUM(G229:G236)</f>
        <v>100</v>
      </c>
      <c r="H237" s="15" t="s">
        <v>44</v>
      </c>
      <c r="I237" s="16"/>
      <c r="J237" s="7">
        <f>D236-G237</f>
        <v>19900</v>
      </c>
    </row>
    <row r="238" spans="1:10" s="1" customFormat="1" ht="13.5" customHeight="1">
      <c r="A238" s="4" t="s">
        <v>45</v>
      </c>
      <c r="B238" s="4"/>
      <c r="C238" s="4"/>
      <c r="D238" s="4"/>
      <c r="E238" s="4"/>
      <c r="F238" s="4"/>
      <c r="G238" s="4"/>
      <c r="H238" s="4"/>
      <c r="I238" s="4"/>
      <c r="J238" s="4"/>
    </row>
    <row r="239" spans="1:10" s="1" customFormat="1" ht="13.5" customHeight="1"/>
    <row r="240" spans="1:10" ht="13.5" customHeight="1">
      <c r="A240" s="17"/>
      <c r="B240" s="17" t="s">
        <v>46</v>
      </c>
      <c r="C240" s="17"/>
      <c r="D240" s="17"/>
      <c r="E240" s="17" t="s">
        <v>47</v>
      </c>
      <c r="F240" s="17"/>
      <c r="G240" s="17"/>
      <c r="H240" s="17" t="s">
        <v>48</v>
      </c>
      <c r="I240" s="17"/>
      <c r="J240" s="17"/>
    </row>
    <row r="241" spans="1:10" s="1" customFormat="1" ht="13.5" customHeight="1">
      <c r="A241" s="49" t="s">
        <v>0</v>
      </c>
      <c r="B241" s="50"/>
      <c r="C241" s="50"/>
      <c r="D241" s="50"/>
      <c r="E241" s="50"/>
      <c r="F241" s="50"/>
      <c r="G241" s="50"/>
      <c r="H241" s="50"/>
      <c r="I241" s="50"/>
      <c r="J241" s="51"/>
    </row>
    <row r="242" spans="1:10" s="1" customFormat="1" ht="13.5" customHeight="1">
      <c r="A242" s="52" t="s">
        <v>1</v>
      </c>
      <c r="B242" s="53"/>
      <c r="C242" s="53"/>
      <c r="D242" s="53"/>
      <c r="E242" s="53"/>
      <c r="F242" s="53"/>
      <c r="G242" s="53"/>
      <c r="H242" s="53"/>
      <c r="I242" s="53"/>
      <c r="J242" s="54"/>
    </row>
    <row r="243" spans="1:10" s="1" customFormat="1" ht="13.5" customHeight="1">
      <c r="A243" s="2" t="s">
        <v>2</v>
      </c>
      <c r="B243" s="2"/>
      <c r="C243" s="55" t="s">
        <v>101</v>
      </c>
      <c r="D243" s="55"/>
      <c r="E243" s="3"/>
      <c r="F243" s="4"/>
      <c r="G243" s="2" t="s">
        <v>4</v>
      </c>
      <c r="H243" s="56" t="s">
        <v>5</v>
      </c>
      <c r="I243" s="56"/>
      <c r="J243" s="56"/>
    </row>
    <row r="244" spans="1:10" s="1" customFormat="1" ht="13.5" customHeight="1">
      <c r="A244" s="2" t="s">
        <v>6</v>
      </c>
      <c r="B244" s="2"/>
      <c r="C244" s="18" t="s">
        <v>102</v>
      </c>
      <c r="D244" s="18"/>
      <c r="E244" s="3"/>
      <c r="F244" s="4"/>
      <c r="G244" s="2" t="s">
        <v>8</v>
      </c>
      <c r="H244" s="57" t="s">
        <v>9</v>
      </c>
      <c r="I244" s="57"/>
      <c r="J244" s="57"/>
    </row>
    <row r="245" spans="1:10" s="1" customFormat="1" ht="13.5" customHeight="1">
      <c r="A245" s="5" t="s">
        <v>10</v>
      </c>
      <c r="B245" s="5"/>
      <c r="C245" s="55" t="s">
        <v>103</v>
      </c>
      <c r="D245" s="55"/>
      <c r="E245" s="3"/>
      <c r="F245" s="4"/>
      <c r="G245" s="2" t="s">
        <v>12</v>
      </c>
      <c r="H245" s="58" t="s">
        <v>13</v>
      </c>
      <c r="I245" s="58"/>
      <c r="J245" s="58"/>
    </row>
    <row r="246" spans="1:10" s="1" customFormat="1" ht="13.5" customHeight="1">
      <c r="A246" s="3" t="s">
        <v>14</v>
      </c>
      <c r="B246" s="3"/>
      <c r="C246" s="3" t="s">
        <v>15</v>
      </c>
      <c r="D246" s="3"/>
      <c r="E246" s="3"/>
      <c r="F246" s="4"/>
      <c r="G246" s="2" t="s">
        <v>16</v>
      </c>
      <c r="H246" s="59" t="s">
        <v>92</v>
      </c>
      <c r="I246" s="59"/>
      <c r="J246" s="59"/>
    </row>
    <row r="247" spans="1:10" s="1" customFormat="1" ht="13.5" customHeight="1">
      <c r="A247" s="3">
        <v>30</v>
      </c>
      <c r="B247" s="3"/>
      <c r="C247" s="3">
        <f>A247-H247</f>
        <v>0</v>
      </c>
      <c r="D247" s="3"/>
      <c r="E247" s="3"/>
      <c r="F247" s="4"/>
      <c r="G247" s="6" t="s">
        <v>18</v>
      </c>
      <c r="H247" s="29">
        <v>30</v>
      </c>
      <c r="I247" s="29"/>
      <c r="J247" s="29"/>
    </row>
    <row r="248" spans="1:10" s="1" customFormat="1" ht="13.5" customHeight="1">
      <c r="A248" s="30" t="s">
        <v>19</v>
      </c>
      <c r="B248" s="31"/>
      <c r="C248" s="32"/>
      <c r="D248" s="7" t="s">
        <v>20</v>
      </c>
      <c r="E248" s="8" t="s">
        <v>21</v>
      </c>
      <c r="F248" s="9"/>
      <c r="G248" s="10" t="s">
        <v>20</v>
      </c>
      <c r="H248" s="33" t="s">
        <v>22</v>
      </c>
      <c r="I248" s="34"/>
      <c r="J248" s="35"/>
    </row>
    <row r="249" spans="1:10" s="1" customFormat="1" ht="13.5" customHeight="1">
      <c r="A249" s="11" t="s">
        <v>23</v>
      </c>
      <c r="B249" s="2"/>
      <c r="C249" s="2"/>
      <c r="D249" s="3">
        <v>20000</v>
      </c>
      <c r="E249" s="11" t="s">
        <v>24</v>
      </c>
      <c r="F249" s="2"/>
      <c r="G249" s="3" t="s">
        <v>25</v>
      </c>
      <c r="H249" s="12" t="s">
        <v>26</v>
      </c>
      <c r="I249" s="5"/>
      <c r="J249" s="13"/>
    </row>
    <row r="250" spans="1:10" s="1" customFormat="1" ht="13.5" customHeight="1">
      <c r="A250" s="11" t="s">
        <v>27</v>
      </c>
      <c r="B250" s="36"/>
      <c r="C250" s="36"/>
      <c r="D250" s="3" t="s">
        <v>25</v>
      </c>
      <c r="E250" s="11" t="s">
        <v>29</v>
      </c>
      <c r="F250" s="2"/>
      <c r="G250" s="3" t="s">
        <v>25</v>
      </c>
      <c r="H250" s="12" t="s">
        <v>30</v>
      </c>
      <c r="I250" s="5"/>
      <c r="J250" s="13"/>
    </row>
    <row r="251" spans="1:10" s="1" customFormat="1" ht="13.5" customHeight="1">
      <c r="A251" s="11" t="s">
        <v>31</v>
      </c>
      <c r="B251" s="2"/>
      <c r="C251" s="2"/>
      <c r="D251" s="3" t="s">
        <v>25</v>
      </c>
      <c r="E251" s="11" t="s">
        <v>60</v>
      </c>
      <c r="F251" s="2"/>
      <c r="G251" s="3">
        <v>800</v>
      </c>
      <c r="H251" s="12" t="s">
        <v>33</v>
      </c>
      <c r="I251" s="5"/>
      <c r="J251" s="13"/>
    </row>
    <row r="252" spans="1:10" s="1" customFormat="1" ht="13.5" customHeight="1">
      <c r="A252" s="11" t="s">
        <v>34</v>
      </c>
      <c r="B252" s="2"/>
      <c r="C252" s="2"/>
      <c r="D252" s="3" t="s">
        <v>25</v>
      </c>
      <c r="E252" s="11" t="s">
        <v>35</v>
      </c>
      <c r="F252" s="2"/>
      <c r="G252" s="3" t="s">
        <v>25</v>
      </c>
      <c r="H252" s="12"/>
      <c r="I252" s="5"/>
      <c r="J252" s="13"/>
    </row>
    <row r="253" spans="1:10" s="1" customFormat="1" ht="13.5" customHeight="1">
      <c r="A253" s="11" t="s">
        <v>36</v>
      </c>
      <c r="B253" s="2"/>
      <c r="C253" s="2"/>
      <c r="D253" s="3" t="s">
        <v>25</v>
      </c>
      <c r="E253" s="11" t="s">
        <v>37</v>
      </c>
      <c r="F253" s="2"/>
      <c r="G253" s="3">
        <v>100</v>
      </c>
      <c r="H253" s="12"/>
      <c r="I253" s="5"/>
      <c r="J253" s="14"/>
    </row>
    <row r="254" spans="1:10" s="1" customFormat="1" ht="13.5" customHeight="1">
      <c r="A254" s="11" t="s">
        <v>38</v>
      </c>
      <c r="B254" s="2"/>
      <c r="C254" s="2"/>
      <c r="D254" s="3" t="s">
        <v>25</v>
      </c>
      <c r="E254" s="11" t="s">
        <v>39</v>
      </c>
      <c r="F254" s="2"/>
      <c r="G254" s="3" t="s">
        <v>25</v>
      </c>
      <c r="H254" s="12"/>
      <c r="I254" s="5"/>
      <c r="J254" s="14"/>
    </row>
    <row r="255" spans="1:10" s="1" customFormat="1" ht="13.5" customHeight="1">
      <c r="A255" s="12" t="s">
        <v>40</v>
      </c>
      <c r="B255" s="5"/>
      <c r="C255" s="5"/>
      <c r="D255" s="3" t="s">
        <v>25</v>
      </c>
      <c r="E255" s="11" t="s">
        <v>41</v>
      </c>
      <c r="F255" s="2"/>
      <c r="G255" s="3" t="s">
        <v>25</v>
      </c>
      <c r="H255" s="12"/>
      <c r="I255" s="5"/>
      <c r="J255" s="13"/>
    </row>
    <row r="256" spans="1:10" s="1" customFormat="1" ht="13.5" customHeight="1">
      <c r="A256" s="44" t="s">
        <v>42</v>
      </c>
      <c r="B256" s="45"/>
      <c r="C256" s="46"/>
      <c r="D256" s="42">
        <f>SUM(D249:D255)</f>
        <v>20000</v>
      </c>
      <c r="E256" s="2" t="s">
        <v>43</v>
      </c>
      <c r="F256" s="2"/>
      <c r="G256" s="3" t="s">
        <v>25</v>
      </c>
      <c r="H256" s="12"/>
      <c r="I256" s="5"/>
      <c r="J256" s="13"/>
    </row>
    <row r="257" spans="1:10" s="1" customFormat="1" ht="13.5" customHeight="1">
      <c r="A257" s="47"/>
      <c r="B257" s="29"/>
      <c r="C257" s="48"/>
      <c r="D257" s="43"/>
      <c r="E257" s="15" t="s">
        <v>21</v>
      </c>
      <c r="F257" s="16"/>
      <c r="G257" s="7">
        <f>SUM(G249:G256)</f>
        <v>900</v>
      </c>
      <c r="H257" s="15" t="s">
        <v>44</v>
      </c>
      <c r="I257" s="16"/>
      <c r="J257" s="7">
        <f>D256-G257</f>
        <v>19100</v>
      </c>
    </row>
    <row r="258" spans="1:10" s="1" customFormat="1" ht="13.5" customHeight="1">
      <c r="A258" s="4" t="s">
        <v>45</v>
      </c>
      <c r="B258" s="4"/>
      <c r="C258" s="4"/>
      <c r="D258" s="4"/>
      <c r="E258" s="4"/>
      <c r="F258" s="4"/>
      <c r="G258" s="4"/>
      <c r="H258" s="4"/>
      <c r="I258" s="4"/>
      <c r="J258" s="4"/>
    </row>
    <row r="259" spans="1:10" s="1" customFormat="1" ht="13.5" customHeight="1"/>
    <row r="260" spans="1:10" ht="13.5" customHeight="1">
      <c r="A260" s="17"/>
      <c r="B260" s="17" t="s">
        <v>46</v>
      </c>
      <c r="C260" s="17"/>
      <c r="D260" s="17"/>
      <c r="E260" s="17" t="s">
        <v>47</v>
      </c>
      <c r="F260" s="17"/>
      <c r="G260" s="17"/>
      <c r="H260" s="17" t="s">
        <v>48</v>
      </c>
      <c r="I260" s="17"/>
      <c r="J260" s="17"/>
    </row>
    <row r="261" spans="1:10" s="1" customFormat="1" ht="13.5" customHeight="1">
      <c r="A261" s="49" t="s">
        <v>0</v>
      </c>
      <c r="B261" s="50"/>
      <c r="C261" s="50"/>
      <c r="D261" s="50"/>
      <c r="E261" s="50"/>
      <c r="F261" s="50"/>
      <c r="G261" s="50"/>
      <c r="H261" s="50"/>
      <c r="I261" s="50"/>
      <c r="J261" s="51"/>
    </row>
    <row r="262" spans="1:10" s="1" customFormat="1" ht="13.5" customHeight="1">
      <c r="A262" s="52" t="s">
        <v>1</v>
      </c>
      <c r="B262" s="53"/>
      <c r="C262" s="53"/>
      <c r="D262" s="53"/>
      <c r="E262" s="53"/>
      <c r="F262" s="53"/>
      <c r="G262" s="53"/>
      <c r="H262" s="53"/>
      <c r="I262" s="53"/>
      <c r="J262" s="54"/>
    </row>
    <row r="263" spans="1:10" s="1" customFormat="1" ht="13.5" customHeight="1">
      <c r="A263" s="2" t="s">
        <v>2</v>
      </c>
      <c r="B263" s="2"/>
      <c r="C263" s="55" t="s">
        <v>104</v>
      </c>
      <c r="D263" s="55"/>
      <c r="E263" s="3"/>
      <c r="F263" s="4"/>
      <c r="G263" s="2" t="s">
        <v>4</v>
      </c>
      <c r="H263" s="56" t="s">
        <v>5</v>
      </c>
      <c r="I263" s="56"/>
      <c r="J263" s="56"/>
    </row>
    <row r="264" spans="1:10" s="1" customFormat="1" ht="13.5" customHeight="1">
      <c r="A264" s="2" t="s">
        <v>6</v>
      </c>
      <c r="B264" s="2"/>
      <c r="C264" s="18" t="s">
        <v>105</v>
      </c>
      <c r="D264" s="18"/>
      <c r="E264" s="3"/>
      <c r="F264" s="4"/>
      <c r="G264" s="2" t="s">
        <v>8</v>
      </c>
      <c r="H264" s="57" t="s">
        <v>9</v>
      </c>
      <c r="I264" s="57"/>
      <c r="J264" s="57"/>
    </row>
    <row r="265" spans="1:10" s="1" customFormat="1" ht="13.5" customHeight="1">
      <c r="A265" s="5" t="s">
        <v>10</v>
      </c>
      <c r="B265" s="5"/>
      <c r="C265" s="55" t="s">
        <v>103</v>
      </c>
      <c r="D265" s="55"/>
      <c r="E265" s="3"/>
      <c r="F265" s="4"/>
      <c r="G265" s="2" t="s">
        <v>12</v>
      </c>
      <c r="H265" s="58" t="s">
        <v>13</v>
      </c>
      <c r="I265" s="58"/>
      <c r="J265" s="58"/>
    </row>
    <row r="266" spans="1:10" s="1" customFormat="1" ht="13.5" customHeight="1">
      <c r="A266" s="3" t="s">
        <v>14</v>
      </c>
      <c r="B266" s="3"/>
      <c r="C266" s="3" t="s">
        <v>15</v>
      </c>
      <c r="D266" s="3"/>
      <c r="E266" s="3"/>
      <c r="F266" s="4"/>
      <c r="G266" s="2" t="s">
        <v>16</v>
      </c>
      <c r="H266" s="59" t="s">
        <v>106</v>
      </c>
      <c r="I266" s="59"/>
      <c r="J266" s="59"/>
    </row>
    <row r="267" spans="1:10" s="1" customFormat="1" ht="13.5" customHeight="1">
      <c r="A267" s="3">
        <v>30</v>
      </c>
      <c r="B267" s="3"/>
      <c r="C267" s="3">
        <f>A267-H267</f>
        <v>2</v>
      </c>
      <c r="D267" s="3"/>
      <c r="E267" s="3"/>
      <c r="F267" s="4"/>
      <c r="G267" s="6" t="s">
        <v>18</v>
      </c>
      <c r="H267" s="29">
        <v>28</v>
      </c>
      <c r="I267" s="29"/>
      <c r="J267" s="29"/>
    </row>
    <row r="268" spans="1:10" s="1" customFormat="1" ht="13.5" customHeight="1">
      <c r="A268" s="30" t="s">
        <v>19</v>
      </c>
      <c r="B268" s="31"/>
      <c r="C268" s="32"/>
      <c r="D268" s="7" t="s">
        <v>20</v>
      </c>
      <c r="E268" s="8" t="s">
        <v>21</v>
      </c>
      <c r="F268" s="9"/>
      <c r="G268" s="10" t="s">
        <v>20</v>
      </c>
      <c r="H268" s="33" t="s">
        <v>22</v>
      </c>
      <c r="I268" s="34"/>
      <c r="J268" s="35"/>
    </row>
    <row r="269" spans="1:10" s="1" customFormat="1" ht="13.5" customHeight="1">
      <c r="A269" s="11" t="s">
        <v>23</v>
      </c>
      <c r="B269" s="2"/>
      <c r="C269" s="2"/>
      <c r="D269" s="3">
        <v>20000</v>
      </c>
      <c r="E269" s="11" t="s">
        <v>24</v>
      </c>
      <c r="F269" s="2"/>
      <c r="G269" s="3" t="s">
        <v>25</v>
      </c>
      <c r="H269" s="12" t="s">
        <v>26</v>
      </c>
      <c r="I269" s="5"/>
      <c r="J269" s="13"/>
    </row>
    <row r="270" spans="1:10" s="1" customFormat="1" ht="13.5" customHeight="1">
      <c r="A270" s="11" t="s">
        <v>27</v>
      </c>
      <c r="B270" s="36" t="s">
        <v>107</v>
      </c>
      <c r="C270" s="36"/>
      <c r="D270" s="3">
        <v>667</v>
      </c>
      <c r="E270" s="11" t="s">
        <v>29</v>
      </c>
      <c r="F270" s="2"/>
      <c r="G270" s="3" t="s">
        <v>25</v>
      </c>
      <c r="H270" s="12" t="s">
        <v>30</v>
      </c>
      <c r="I270" s="5"/>
      <c r="J270" s="13"/>
    </row>
    <row r="271" spans="1:10" s="1" customFormat="1" ht="13.5" customHeight="1">
      <c r="A271" s="11" t="s">
        <v>31</v>
      </c>
      <c r="B271" s="2"/>
      <c r="C271" s="2"/>
      <c r="D271" s="3" t="s">
        <v>25</v>
      </c>
      <c r="E271" s="11" t="s">
        <v>32</v>
      </c>
      <c r="F271" s="2"/>
      <c r="G271" s="3" t="s">
        <v>25</v>
      </c>
      <c r="H271" s="12" t="s">
        <v>33</v>
      </c>
      <c r="I271" s="5"/>
      <c r="J271" s="13"/>
    </row>
    <row r="272" spans="1:10" s="1" customFormat="1" ht="13.5" customHeight="1">
      <c r="A272" s="11" t="s">
        <v>34</v>
      </c>
      <c r="B272" s="2"/>
      <c r="C272" s="2"/>
      <c r="D272" s="3" t="s">
        <v>25</v>
      </c>
      <c r="E272" s="11" t="s">
        <v>35</v>
      </c>
      <c r="F272" s="2"/>
      <c r="G272" s="3">
        <v>1333</v>
      </c>
      <c r="H272" s="12"/>
      <c r="I272" s="5"/>
      <c r="J272" s="13"/>
    </row>
    <row r="273" spans="1:10" s="1" customFormat="1" ht="13.5" customHeight="1">
      <c r="A273" s="11" t="s">
        <v>36</v>
      </c>
      <c r="B273" s="2"/>
      <c r="C273" s="2"/>
      <c r="D273" s="3" t="s">
        <v>25</v>
      </c>
      <c r="E273" s="11" t="s">
        <v>37</v>
      </c>
      <c r="F273" s="2"/>
      <c r="G273" s="3">
        <v>100</v>
      </c>
      <c r="H273" s="12" t="s">
        <v>108</v>
      </c>
      <c r="I273" s="5"/>
      <c r="J273" s="14"/>
    </row>
    <row r="274" spans="1:10" s="1" customFormat="1" ht="13.5" customHeight="1">
      <c r="A274" s="11" t="s">
        <v>38</v>
      </c>
      <c r="B274" s="2"/>
      <c r="C274" s="2"/>
      <c r="D274" s="3" t="s">
        <v>25</v>
      </c>
      <c r="E274" s="11" t="s">
        <v>39</v>
      </c>
      <c r="F274" s="2"/>
      <c r="G274" s="3" t="s">
        <v>25</v>
      </c>
      <c r="H274" s="12"/>
      <c r="I274" s="5"/>
      <c r="J274" s="14"/>
    </row>
    <row r="275" spans="1:10" s="1" customFormat="1" ht="13.5" customHeight="1">
      <c r="A275" s="12" t="s">
        <v>40</v>
      </c>
      <c r="B275" s="5"/>
      <c r="C275" s="5"/>
      <c r="D275" s="3" t="s">
        <v>25</v>
      </c>
      <c r="E275" s="11" t="s">
        <v>41</v>
      </c>
      <c r="F275" s="2"/>
      <c r="G275" s="3" t="s">
        <v>25</v>
      </c>
      <c r="H275" s="12"/>
      <c r="I275" s="5"/>
      <c r="J275" s="13"/>
    </row>
    <row r="276" spans="1:10" s="1" customFormat="1" ht="13.5" customHeight="1">
      <c r="A276" s="44" t="s">
        <v>42</v>
      </c>
      <c r="B276" s="45"/>
      <c r="C276" s="46"/>
      <c r="D276" s="42">
        <f>SUM(D269:D275)</f>
        <v>20667</v>
      </c>
      <c r="E276" s="2" t="s">
        <v>43</v>
      </c>
      <c r="F276" s="2"/>
      <c r="G276" s="3" t="s">
        <v>25</v>
      </c>
      <c r="H276" s="12"/>
      <c r="I276" s="5"/>
      <c r="J276" s="13"/>
    </row>
    <row r="277" spans="1:10" s="1" customFormat="1" ht="13.5" customHeight="1">
      <c r="A277" s="47"/>
      <c r="B277" s="29"/>
      <c r="C277" s="48"/>
      <c r="D277" s="43"/>
      <c r="E277" s="15" t="s">
        <v>21</v>
      </c>
      <c r="F277" s="16"/>
      <c r="G277" s="7">
        <f>SUM(G269:G276)</f>
        <v>1433</v>
      </c>
      <c r="H277" s="15" t="s">
        <v>44</v>
      </c>
      <c r="I277" s="16"/>
      <c r="J277" s="7">
        <f>D276-G277</f>
        <v>19234</v>
      </c>
    </row>
    <row r="278" spans="1:10" s="1" customFormat="1" ht="13.5" customHeight="1">
      <c r="A278" s="4" t="s">
        <v>45</v>
      </c>
      <c r="B278" s="4"/>
      <c r="C278" s="4"/>
      <c r="D278" s="4"/>
      <c r="E278" s="4"/>
      <c r="F278" s="4"/>
      <c r="G278" s="4"/>
      <c r="H278" s="4"/>
      <c r="I278" s="4"/>
      <c r="J278" s="4"/>
    </row>
    <row r="279" spans="1:10" s="1" customFormat="1" ht="13.5" customHeight="1"/>
    <row r="280" spans="1:10" ht="13.5" customHeight="1">
      <c r="A280" s="17"/>
      <c r="B280" s="17" t="s">
        <v>46</v>
      </c>
      <c r="C280" s="17"/>
      <c r="D280" s="17"/>
      <c r="E280" s="17" t="s">
        <v>47</v>
      </c>
      <c r="F280" s="17"/>
      <c r="G280" s="17"/>
      <c r="H280" s="17" t="s">
        <v>48</v>
      </c>
      <c r="I280" s="17"/>
      <c r="J280" s="17"/>
    </row>
    <row r="281" spans="1:10" s="1" customFormat="1" ht="13.5" customHeight="1">
      <c r="A281" s="49" t="s">
        <v>0</v>
      </c>
      <c r="B281" s="50"/>
      <c r="C281" s="50"/>
      <c r="D281" s="50"/>
      <c r="E281" s="50"/>
      <c r="F281" s="50"/>
      <c r="G281" s="50"/>
      <c r="H281" s="50"/>
      <c r="I281" s="50"/>
      <c r="J281" s="51"/>
    </row>
    <row r="282" spans="1:10" s="1" customFormat="1" ht="13.5" customHeight="1">
      <c r="A282" s="52" t="s">
        <v>1</v>
      </c>
      <c r="B282" s="53"/>
      <c r="C282" s="53"/>
      <c r="D282" s="53"/>
      <c r="E282" s="53"/>
      <c r="F282" s="53"/>
      <c r="G282" s="53"/>
      <c r="H282" s="53"/>
      <c r="I282" s="53"/>
      <c r="J282" s="54"/>
    </row>
    <row r="283" spans="1:10" s="1" customFormat="1" ht="13.5" customHeight="1">
      <c r="A283" s="2" t="s">
        <v>2</v>
      </c>
      <c r="B283" s="2"/>
      <c r="C283" s="55" t="s">
        <v>109</v>
      </c>
      <c r="D283" s="55"/>
      <c r="E283" s="3"/>
      <c r="F283" s="4"/>
      <c r="G283" s="2" t="s">
        <v>4</v>
      </c>
      <c r="H283" s="56" t="s">
        <v>5</v>
      </c>
      <c r="I283" s="56"/>
      <c r="J283" s="56"/>
    </row>
    <row r="284" spans="1:10" s="1" customFormat="1" ht="13.5" customHeight="1">
      <c r="A284" s="2" t="s">
        <v>6</v>
      </c>
      <c r="B284" s="2"/>
      <c r="C284" s="18" t="s">
        <v>110</v>
      </c>
      <c r="D284" s="18"/>
      <c r="E284" s="3"/>
      <c r="F284" s="4"/>
      <c r="G284" s="2" t="s">
        <v>8</v>
      </c>
      <c r="H284" s="57" t="s">
        <v>9</v>
      </c>
      <c r="I284" s="57"/>
      <c r="J284" s="57"/>
    </row>
    <row r="285" spans="1:10" s="1" customFormat="1" ht="13.5" customHeight="1">
      <c r="A285" s="5" t="s">
        <v>10</v>
      </c>
      <c r="B285" s="5"/>
      <c r="C285" s="55" t="s">
        <v>111</v>
      </c>
      <c r="D285" s="55"/>
      <c r="E285" s="3"/>
      <c r="F285" s="4"/>
      <c r="G285" s="2" t="s">
        <v>12</v>
      </c>
      <c r="H285" s="58" t="s">
        <v>13</v>
      </c>
      <c r="I285" s="58"/>
      <c r="J285" s="58"/>
    </row>
    <row r="286" spans="1:10" s="1" customFormat="1" ht="13.5" customHeight="1">
      <c r="A286" s="3" t="s">
        <v>14</v>
      </c>
      <c r="B286" s="3"/>
      <c r="C286" s="3" t="s">
        <v>15</v>
      </c>
      <c r="D286" s="3"/>
      <c r="E286" s="3"/>
      <c r="F286" s="4"/>
      <c r="G286" s="2" t="s">
        <v>16</v>
      </c>
      <c r="H286" s="59" t="s">
        <v>106</v>
      </c>
      <c r="I286" s="59"/>
      <c r="J286" s="59"/>
    </row>
    <row r="287" spans="1:10" s="1" customFormat="1" ht="13.5" customHeight="1">
      <c r="A287" s="3">
        <v>30</v>
      </c>
      <c r="B287" s="3"/>
      <c r="C287" s="3">
        <f>A287-H287</f>
        <v>0</v>
      </c>
      <c r="D287" s="3"/>
      <c r="E287" s="3"/>
      <c r="F287" s="4"/>
      <c r="G287" s="6" t="s">
        <v>18</v>
      </c>
      <c r="H287" s="29">
        <v>30</v>
      </c>
      <c r="I287" s="29"/>
      <c r="J287" s="29"/>
    </row>
    <row r="288" spans="1:10" s="1" customFormat="1" ht="13.5" customHeight="1">
      <c r="A288" s="30" t="s">
        <v>19</v>
      </c>
      <c r="B288" s="31"/>
      <c r="C288" s="32"/>
      <c r="D288" s="7" t="s">
        <v>20</v>
      </c>
      <c r="E288" s="8" t="s">
        <v>21</v>
      </c>
      <c r="F288" s="9"/>
      <c r="G288" s="10" t="s">
        <v>20</v>
      </c>
      <c r="H288" s="33" t="s">
        <v>22</v>
      </c>
      <c r="I288" s="34"/>
      <c r="J288" s="35"/>
    </row>
    <row r="289" spans="1:10" s="1" customFormat="1" ht="13.5" customHeight="1">
      <c r="A289" s="11" t="s">
        <v>23</v>
      </c>
      <c r="B289" s="2"/>
      <c r="C289" s="2"/>
      <c r="D289" s="3">
        <v>20000</v>
      </c>
      <c r="E289" s="11" t="s">
        <v>24</v>
      </c>
      <c r="F289" s="2"/>
      <c r="G289" s="3" t="s">
        <v>25</v>
      </c>
      <c r="H289" s="12" t="s">
        <v>26</v>
      </c>
      <c r="I289" s="5"/>
      <c r="J289" s="13"/>
    </row>
    <row r="290" spans="1:10" s="1" customFormat="1" ht="13.5" customHeight="1">
      <c r="A290" s="11" t="s">
        <v>27</v>
      </c>
      <c r="B290" s="36" t="s">
        <v>107</v>
      </c>
      <c r="C290" s="36"/>
      <c r="D290" s="3">
        <v>633</v>
      </c>
      <c r="E290" s="11" t="s">
        <v>29</v>
      </c>
      <c r="F290" s="2"/>
      <c r="G290" s="3" t="s">
        <v>25</v>
      </c>
      <c r="H290" s="12" t="s">
        <v>30</v>
      </c>
      <c r="I290" s="5"/>
      <c r="J290" s="13"/>
    </row>
    <row r="291" spans="1:10" s="1" customFormat="1" ht="13.5" customHeight="1">
      <c r="A291" s="11" t="s">
        <v>31</v>
      </c>
      <c r="B291" s="2"/>
      <c r="C291" s="2"/>
      <c r="D291" s="3" t="s">
        <v>25</v>
      </c>
      <c r="E291" s="11" t="s">
        <v>32</v>
      </c>
      <c r="F291" s="2"/>
      <c r="G291" s="3" t="s">
        <v>25</v>
      </c>
      <c r="H291" s="12" t="s">
        <v>33</v>
      </c>
      <c r="I291" s="5"/>
      <c r="J291" s="13"/>
    </row>
    <row r="292" spans="1:10" s="1" customFormat="1" ht="13.5" customHeight="1">
      <c r="A292" s="11" t="s">
        <v>34</v>
      </c>
      <c r="B292" s="2"/>
      <c r="C292" s="2"/>
      <c r="D292" s="3" t="s">
        <v>25</v>
      </c>
      <c r="E292" s="11" t="s">
        <v>35</v>
      </c>
      <c r="F292" s="2"/>
      <c r="G292" s="3" t="s">
        <v>25</v>
      </c>
      <c r="H292" s="12"/>
      <c r="I292" s="5"/>
      <c r="J292" s="13"/>
    </row>
    <row r="293" spans="1:10" s="1" customFormat="1" ht="13.5" customHeight="1">
      <c r="A293" s="11" t="s">
        <v>36</v>
      </c>
      <c r="B293" s="2"/>
      <c r="C293" s="2"/>
      <c r="D293" s="3" t="s">
        <v>25</v>
      </c>
      <c r="E293" s="11" t="s">
        <v>37</v>
      </c>
      <c r="F293" s="2"/>
      <c r="G293" s="3">
        <v>100</v>
      </c>
      <c r="H293" s="12"/>
      <c r="I293" s="5"/>
      <c r="J293" s="14"/>
    </row>
    <row r="294" spans="1:10" s="1" customFormat="1" ht="13.5" customHeight="1">
      <c r="A294" s="11" t="s">
        <v>38</v>
      </c>
      <c r="B294" s="2"/>
      <c r="C294" s="2"/>
      <c r="D294" s="3" t="s">
        <v>25</v>
      </c>
      <c r="E294" s="11" t="s">
        <v>39</v>
      </c>
      <c r="F294" s="2"/>
      <c r="G294" s="3" t="s">
        <v>25</v>
      </c>
      <c r="H294" s="12" t="s">
        <v>108</v>
      </c>
      <c r="I294" s="5"/>
      <c r="J294" s="14"/>
    </row>
    <row r="295" spans="1:10" s="1" customFormat="1" ht="13.5" customHeight="1">
      <c r="A295" s="12" t="s">
        <v>40</v>
      </c>
      <c r="B295" s="5"/>
      <c r="C295" s="5"/>
      <c r="D295" s="3" t="s">
        <v>25</v>
      </c>
      <c r="E295" s="11" t="s">
        <v>41</v>
      </c>
      <c r="F295" s="2"/>
      <c r="G295" s="3" t="s">
        <v>25</v>
      </c>
      <c r="H295" s="12"/>
      <c r="I295" s="5"/>
      <c r="J295" s="13"/>
    </row>
    <row r="296" spans="1:10" s="1" customFormat="1" ht="13.5" customHeight="1">
      <c r="A296" s="44" t="s">
        <v>42</v>
      </c>
      <c r="B296" s="45"/>
      <c r="C296" s="46"/>
      <c r="D296" s="42">
        <f>SUM(D289:D295)</f>
        <v>20633</v>
      </c>
      <c r="E296" s="2" t="s">
        <v>43</v>
      </c>
      <c r="F296" s="2"/>
      <c r="G296" s="3" t="s">
        <v>25</v>
      </c>
      <c r="H296" s="12"/>
      <c r="I296" s="5"/>
      <c r="J296" s="13"/>
    </row>
    <row r="297" spans="1:10" s="1" customFormat="1" ht="13.5" customHeight="1">
      <c r="A297" s="47"/>
      <c r="B297" s="29"/>
      <c r="C297" s="48"/>
      <c r="D297" s="43"/>
      <c r="E297" s="15" t="s">
        <v>21</v>
      </c>
      <c r="F297" s="16"/>
      <c r="G297" s="7">
        <f>SUM(G289:G296)</f>
        <v>100</v>
      </c>
      <c r="H297" s="15" t="s">
        <v>44</v>
      </c>
      <c r="I297" s="16"/>
      <c r="J297" s="7">
        <f>D296-G297</f>
        <v>20533</v>
      </c>
    </row>
    <row r="298" spans="1:10" s="1" customFormat="1" ht="13.5" customHeight="1">
      <c r="A298" s="4" t="s">
        <v>45</v>
      </c>
      <c r="B298" s="4"/>
      <c r="C298" s="4"/>
      <c r="D298" s="4"/>
      <c r="E298" s="4"/>
      <c r="F298" s="4"/>
      <c r="G298" s="4"/>
      <c r="H298" s="4"/>
      <c r="I298" s="4"/>
      <c r="J298" s="4"/>
    </row>
    <row r="299" spans="1:10" s="1" customFormat="1" ht="13.5" customHeight="1"/>
    <row r="300" spans="1:10" ht="13.5" customHeight="1">
      <c r="A300" s="17"/>
      <c r="B300" s="17" t="s">
        <v>46</v>
      </c>
      <c r="C300" s="17"/>
      <c r="D300" s="17"/>
      <c r="E300" s="17" t="s">
        <v>47</v>
      </c>
      <c r="F300" s="17"/>
      <c r="G300" s="17"/>
      <c r="H300" s="17" t="s">
        <v>48</v>
      </c>
      <c r="I300" s="17"/>
      <c r="J300" s="17"/>
    </row>
    <row r="301" spans="1:10" s="1" customFormat="1" ht="13.5" customHeight="1">
      <c r="A301" s="49" t="s">
        <v>0</v>
      </c>
      <c r="B301" s="50"/>
      <c r="C301" s="50"/>
      <c r="D301" s="50"/>
      <c r="E301" s="50"/>
      <c r="F301" s="50"/>
      <c r="G301" s="50"/>
      <c r="H301" s="50"/>
      <c r="I301" s="50"/>
      <c r="J301" s="51"/>
    </row>
    <row r="302" spans="1:10" s="1" customFormat="1" ht="13.5" customHeight="1">
      <c r="A302" s="52" t="s">
        <v>1</v>
      </c>
      <c r="B302" s="53"/>
      <c r="C302" s="53"/>
      <c r="D302" s="53"/>
      <c r="E302" s="53"/>
      <c r="F302" s="53"/>
      <c r="G302" s="53"/>
      <c r="H302" s="53"/>
      <c r="I302" s="53"/>
      <c r="J302" s="54"/>
    </row>
    <row r="303" spans="1:10" s="1" customFormat="1" ht="13.5" customHeight="1">
      <c r="A303" s="2" t="s">
        <v>2</v>
      </c>
      <c r="B303" s="2"/>
      <c r="C303" s="55" t="s">
        <v>112</v>
      </c>
      <c r="D303" s="55"/>
      <c r="E303" s="3"/>
      <c r="F303" s="4"/>
      <c r="G303" s="2" t="s">
        <v>4</v>
      </c>
      <c r="H303" s="56" t="s">
        <v>5</v>
      </c>
      <c r="I303" s="56"/>
      <c r="J303" s="56"/>
    </row>
    <row r="304" spans="1:10" s="1" customFormat="1" ht="13.5" customHeight="1">
      <c r="A304" s="2" t="s">
        <v>6</v>
      </c>
      <c r="B304" s="2"/>
      <c r="C304" s="18" t="s">
        <v>113</v>
      </c>
      <c r="D304" s="18"/>
      <c r="E304" s="3"/>
      <c r="F304" s="4"/>
      <c r="G304" s="2" t="s">
        <v>8</v>
      </c>
      <c r="H304" s="57" t="s">
        <v>9</v>
      </c>
      <c r="I304" s="57"/>
      <c r="J304" s="57"/>
    </row>
    <row r="305" spans="1:10" s="1" customFormat="1" ht="13.5" customHeight="1">
      <c r="A305" s="5" t="s">
        <v>10</v>
      </c>
      <c r="B305" s="5"/>
      <c r="C305" s="55" t="s">
        <v>114</v>
      </c>
      <c r="D305" s="55"/>
      <c r="E305" s="3"/>
      <c r="F305" s="4"/>
      <c r="G305" s="2" t="s">
        <v>12</v>
      </c>
      <c r="H305" s="58" t="s">
        <v>13</v>
      </c>
      <c r="I305" s="58"/>
      <c r="J305" s="58"/>
    </row>
    <row r="306" spans="1:10" s="1" customFormat="1" ht="13.5" customHeight="1">
      <c r="A306" s="3" t="s">
        <v>14</v>
      </c>
      <c r="B306" s="3"/>
      <c r="C306" s="3" t="s">
        <v>15</v>
      </c>
      <c r="D306" s="3"/>
      <c r="E306" s="3"/>
      <c r="F306" s="4"/>
      <c r="G306" s="2" t="s">
        <v>16</v>
      </c>
      <c r="H306" s="59" t="s">
        <v>92</v>
      </c>
      <c r="I306" s="59"/>
      <c r="J306" s="59"/>
    </row>
    <row r="307" spans="1:10" s="1" customFormat="1" ht="13.5" customHeight="1">
      <c r="A307" s="3">
        <v>30</v>
      </c>
      <c r="B307" s="3"/>
      <c r="C307" s="3">
        <f>A307-H307</f>
        <v>0</v>
      </c>
      <c r="D307" s="3"/>
      <c r="E307" s="3"/>
      <c r="F307" s="4"/>
      <c r="G307" s="6" t="s">
        <v>18</v>
      </c>
      <c r="H307" s="29">
        <v>30</v>
      </c>
      <c r="I307" s="29"/>
      <c r="J307" s="29"/>
    </row>
    <row r="308" spans="1:10" s="1" customFormat="1" ht="13.5" customHeight="1">
      <c r="A308" s="30" t="s">
        <v>19</v>
      </c>
      <c r="B308" s="31"/>
      <c r="C308" s="32"/>
      <c r="D308" s="7" t="s">
        <v>20</v>
      </c>
      <c r="E308" s="8" t="s">
        <v>21</v>
      </c>
      <c r="F308" s="9"/>
      <c r="G308" s="10" t="s">
        <v>20</v>
      </c>
      <c r="H308" s="33" t="s">
        <v>22</v>
      </c>
      <c r="I308" s="34"/>
      <c r="J308" s="35"/>
    </row>
    <row r="309" spans="1:10" s="1" customFormat="1" ht="13.5" customHeight="1">
      <c r="A309" s="11" t="s">
        <v>23</v>
      </c>
      <c r="B309" s="2"/>
      <c r="C309" s="2"/>
      <c r="D309" s="3">
        <v>25000</v>
      </c>
      <c r="E309" s="11" t="s">
        <v>24</v>
      </c>
      <c r="F309" s="2"/>
      <c r="G309" s="3" t="s">
        <v>25</v>
      </c>
      <c r="H309" s="12" t="s">
        <v>26</v>
      </c>
      <c r="I309" s="5"/>
      <c r="J309" s="13"/>
    </row>
    <row r="310" spans="1:10" s="1" customFormat="1" ht="13.5" customHeight="1">
      <c r="A310" s="11" t="s">
        <v>27</v>
      </c>
      <c r="B310" s="36"/>
      <c r="C310" s="36"/>
      <c r="D310" s="3" t="s">
        <v>25</v>
      </c>
      <c r="E310" s="11" t="s">
        <v>29</v>
      </c>
      <c r="F310" s="2"/>
      <c r="G310" s="3" t="s">
        <v>25</v>
      </c>
      <c r="H310" s="12" t="s">
        <v>30</v>
      </c>
      <c r="I310" s="5"/>
      <c r="J310" s="13"/>
    </row>
    <row r="311" spans="1:10" s="1" customFormat="1" ht="13.5" customHeight="1">
      <c r="A311" s="11" t="s">
        <v>31</v>
      </c>
      <c r="B311" s="2"/>
      <c r="C311" s="2"/>
      <c r="D311" s="3" t="s">
        <v>25</v>
      </c>
      <c r="E311" s="11" t="s">
        <v>32</v>
      </c>
      <c r="F311" s="2"/>
      <c r="G311" s="3" t="s">
        <v>25</v>
      </c>
      <c r="H311" s="12" t="s">
        <v>33</v>
      </c>
      <c r="I311" s="5"/>
      <c r="J311" s="13"/>
    </row>
    <row r="312" spans="1:10" s="1" customFormat="1" ht="13.5" customHeight="1">
      <c r="A312" s="11" t="s">
        <v>34</v>
      </c>
      <c r="B312" s="2"/>
      <c r="C312" s="2"/>
      <c r="D312" s="3" t="s">
        <v>25</v>
      </c>
      <c r="E312" s="11" t="s">
        <v>35</v>
      </c>
      <c r="F312" s="2"/>
      <c r="G312" s="3" t="s">
        <v>25</v>
      </c>
      <c r="H312" s="12"/>
      <c r="I312" s="5"/>
      <c r="J312" s="13"/>
    </row>
    <row r="313" spans="1:10" s="1" customFormat="1" ht="13.5" customHeight="1">
      <c r="A313" s="11" t="s">
        <v>36</v>
      </c>
      <c r="B313" s="2"/>
      <c r="C313" s="2"/>
      <c r="D313" s="3" t="s">
        <v>25</v>
      </c>
      <c r="E313" s="11" t="s">
        <v>37</v>
      </c>
      <c r="F313" s="2"/>
      <c r="G313" s="3">
        <v>100</v>
      </c>
      <c r="H313" s="12"/>
      <c r="I313" s="5"/>
      <c r="J313" s="14"/>
    </row>
    <row r="314" spans="1:10" s="1" customFormat="1" ht="13.5" customHeight="1">
      <c r="A314" s="11" t="s">
        <v>38</v>
      </c>
      <c r="B314" s="2"/>
      <c r="C314" s="2"/>
      <c r="D314" s="3" t="s">
        <v>25</v>
      </c>
      <c r="E314" s="11" t="s">
        <v>39</v>
      </c>
      <c r="F314" s="2"/>
      <c r="G314" s="3" t="s">
        <v>25</v>
      </c>
      <c r="H314" s="12"/>
      <c r="I314" s="5"/>
      <c r="J314" s="14"/>
    </row>
    <row r="315" spans="1:10" s="1" customFormat="1" ht="13.5" customHeight="1">
      <c r="A315" s="12" t="s">
        <v>40</v>
      </c>
      <c r="B315" s="5"/>
      <c r="C315" s="5"/>
      <c r="D315" s="3" t="s">
        <v>25</v>
      </c>
      <c r="E315" s="11" t="s">
        <v>56</v>
      </c>
      <c r="F315" s="2"/>
      <c r="G315" s="3" t="s">
        <v>25</v>
      </c>
      <c r="H315" s="12"/>
      <c r="I315" s="5"/>
      <c r="J315" s="13"/>
    </row>
    <row r="316" spans="1:10" s="1" customFormat="1" ht="13.5" customHeight="1">
      <c r="A316" s="44" t="s">
        <v>42</v>
      </c>
      <c r="B316" s="45"/>
      <c r="C316" s="46"/>
      <c r="D316" s="42">
        <f>SUM(D309:D315)</f>
        <v>25000</v>
      </c>
      <c r="E316" s="2" t="s">
        <v>43</v>
      </c>
      <c r="F316" s="2"/>
      <c r="G316" s="3" t="s">
        <v>25</v>
      </c>
      <c r="H316" s="12"/>
      <c r="I316" s="5"/>
      <c r="J316" s="13"/>
    </row>
    <row r="317" spans="1:10" s="1" customFormat="1" ht="13.5" customHeight="1">
      <c r="A317" s="47"/>
      <c r="B317" s="29"/>
      <c r="C317" s="48"/>
      <c r="D317" s="43"/>
      <c r="E317" s="15" t="s">
        <v>21</v>
      </c>
      <c r="F317" s="16"/>
      <c r="G317" s="7">
        <f>SUM(G309:G316)</f>
        <v>100</v>
      </c>
      <c r="H317" s="15" t="s">
        <v>44</v>
      </c>
      <c r="I317" s="16"/>
      <c r="J317" s="7">
        <f>D316-G317</f>
        <v>24900</v>
      </c>
    </row>
    <row r="318" spans="1:10" s="1" customFormat="1" ht="13.5" customHeight="1">
      <c r="A318" s="4" t="s">
        <v>45</v>
      </c>
      <c r="B318" s="4"/>
      <c r="C318" s="4"/>
      <c r="D318" s="4"/>
      <c r="E318" s="4"/>
      <c r="F318" s="4"/>
      <c r="G318" s="4"/>
      <c r="H318" s="4"/>
      <c r="I318" s="4"/>
      <c r="J318" s="4"/>
    </row>
    <row r="319" spans="1:10" s="1" customFormat="1" ht="8.25" customHeight="1"/>
    <row r="320" spans="1:10" ht="13.5" customHeight="1">
      <c r="A320" s="17"/>
      <c r="B320" s="17" t="s">
        <v>46</v>
      </c>
      <c r="C320" s="17"/>
      <c r="D320" s="17"/>
      <c r="E320" s="17" t="s">
        <v>47</v>
      </c>
      <c r="F320" s="17"/>
      <c r="G320" s="17"/>
      <c r="H320" s="17" t="s">
        <v>48</v>
      </c>
      <c r="I320" s="17"/>
      <c r="J320" s="17"/>
    </row>
    <row r="321" spans="1:10" s="1" customFormat="1" ht="13.5" customHeight="1">
      <c r="A321" s="49" t="s">
        <v>0</v>
      </c>
      <c r="B321" s="50"/>
      <c r="C321" s="50"/>
      <c r="D321" s="50"/>
      <c r="E321" s="50"/>
      <c r="F321" s="50"/>
      <c r="G321" s="50"/>
      <c r="H321" s="50"/>
      <c r="I321" s="50"/>
      <c r="J321" s="51"/>
    </row>
    <row r="322" spans="1:10" s="1" customFormat="1" ht="13.5" customHeight="1">
      <c r="A322" s="52" t="s">
        <v>1</v>
      </c>
      <c r="B322" s="53"/>
      <c r="C322" s="53"/>
      <c r="D322" s="53"/>
      <c r="E322" s="53"/>
      <c r="F322" s="53"/>
      <c r="G322" s="53"/>
      <c r="H322" s="53"/>
      <c r="I322" s="53"/>
      <c r="J322" s="54"/>
    </row>
    <row r="323" spans="1:10" s="1" customFormat="1" ht="13.5" customHeight="1">
      <c r="A323" s="2" t="s">
        <v>2</v>
      </c>
      <c r="B323" s="2"/>
      <c r="C323" s="55"/>
      <c r="D323" s="55"/>
      <c r="E323" s="3"/>
      <c r="F323" s="4"/>
      <c r="G323" s="2" t="s">
        <v>4</v>
      </c>
      <c r="H323" s="56" t="s">
        <v>5</v>
      </c>
      <c r="I323" s="56"/>
      <c r="J323" s="56"/>
    </row>
    <row r="324" spans="1:10" s="1" customFormat="1" ht="13.5" customHeight="1">
      <c r="A324" s="2" t="s">
        <v>6</v>
      </c>
      <c r="B324" s="2"/>
      <c r="C324" s="18" t="s">
        <v>115</v>
      </c>
      <c r="D324" s="18"/>
      <c r="E324" s="3"/>
      <c r="F324" s="4"/>
      <c r="G324" s="2" t="s">
        <v>8</v>
      </c>
      <c r="H324" s="57" t="s">
        <v>9</v>
      </c>
      <c r="I324" s="57"/>
      <c r="J324" s="57"/>
    </row>
    <row r="325" spans="1:10" s="1" customFormat="1" ht="13.5" customHeight="1">
      <c r="A325" s="5" t="s">
        <v>10</v>
      </c>
      <c r="B325" s="5"/>
      <c r="C325" s="55" t="s">
        <v>116</v>
      </c>
      <c r="D325" s="55"/>
      <c r="E325" s="3"/>
      <c r="F325" s="4"/>
      <c r="G325" s="2" t="s">
        <v>12</v>
      </c>
      <c r="H325" s="58" t="s">
        <v>13</v>
      </c>
      <c r="I325" s="58"/>
      <c r="J325" s="58"/>
    </row>
    <row r="326" spans="1:10" s="1" customFormat="1" ht="13.5" customHeight="1">
      <c r="A326" s="3" t="s">
        <v>14</v>
      </c>
      <c r="B326" s="3"/>
      <c r="C326" s="3" t="s">
        <v>15</v>
      </c>
      <c r="D326" s="3"/>
      <c r="E326" s="3"/>
      <c r="F326" s="4"/>
      <c r="G326" s="2" t="s">
        <v>16</v>
      </c>
      <c r="H326" s="59" t="s">
        <v>106</v>
      </c>
      <c r="I326" s="59"/>
      <c r="J326" s="59"/>
    </row>
    <row r="327" spans="1:10" s="1" customFormat="1" ht="13.5" customHeight="1">
      <c r="A327" s="3">
        <v>30</v>
      </c>
      <c r="B327" s="3"/>
      <c r="C327" s="3">
        <f>A327-H327</f>
        <v>3</v>
      </c>
      <c r="D327" s="3"/>
      <c r="E327" s="3"/>
      <c r="F327" s="4"/>
      <c r="G327" s="6" t="s">
        <v>18</v>
      </c>
      <c r="H327" s="29">
        <v>27</v>
      </c>
      <c r="I327" s="29"/>
      <c r="J327" s="29"/>
    </row>
    <row r="328" spans="1:10" s="1" customFormat="1" ht="13.5" customHeight="1">
      <c r="A328" s="30" t="s">
        <v>19</v>
      </c>
      <c r="B328" s="31"/>
      <c r="C328" s="32"/>
      <c r="D328" s="7" t="s">
        <v>20</v>
      </c>
      <c r="E328" s="8" t="s">
        <v>21</v>
      </c>
      <c r="F328" s="9"/>
      <c r="G328" s="10" t="s">
        <v>20</v>
      </c>
      <c r="H328" s="33" t="s">
        <v>22</v>
      </c>
      <c r="I328" s="34"/>
      <c r="J328" s="35"/>
    </row>
    <row r="329" spans="1:10" s="1" customFormat="1" ht="13.5" customHeight="1">
      <c r="A329" s="11" t="s">
        <v>23</v>
      </c>
      <c r="B329" s="2"/>
      <c r="C329" s="2"/>
      <c r="D329" s="3">
        <v>30000</v>
      </c>
      <c r="E329" s="11" t="s">
        <v>24</v>
      </c>
      <c r="F329" s="2"/>
      <c r="G329" s="3" t="s">
        <v>25</v>
      </c>
      <c r="H329" s="12" t="s">
        <v>26</v>
      </c>
      <c r="I329" s="5"/>
      <c r="J329" s="13"/>
    </row>
    <row r="330" spans="1:10" s="1" customFormat="1" ht="13.5" customHeight="1">
      <c r="A330" s="11" t="s">
        <v>27</v>
      </c>
      <c r="B330" s="36" t="s">
        <v>72</v>
      </c>
      <c r="C330" s="36"/>
      <c r="D330" s="3">
        <v>3000</v>
      </c>
      <c r="E330" s="11" t="s">
        <v>29</v>
      </c>
      <c r="F330" s="2"/>
      <c r="G330" s="3" t="s">
        <v>25</v>
      </c>
      <c r="H330" s="12" t="s">
        <v>30</v>
      </c>
      <c r="I330" s="5"/>
      <c r="J330" s="13"/>
    </row>
    <row r="331" spans="1:10" s="1" customFormat="1" ht="13.5" customHeight="1">
      <c r="A331" s="11" t="s">
        <v>31</v>
      </c>
      <c r="B331" s="2"/>
      <c r="C331" s="2"/>
      <c r="D331" s="3" t="s">
        <v>25</v>
      </c>
      <c r="E331" s="11" t="s">
        <v>32</v>
      </c>
      <c r="F331" s="2"/>
      <c r="G331" s="3" t="s">
        <v>25</v>
      </c>
      <c r="H331" s="12" t="s">
        <v>33</v>
      </c>
      <c r="I331" s="5"/>
      <c r="J331" s="13"/>
    </row>
    <row r="332" spans="1:10" s="1" customFormat="1" ht="13.5" customHeight="1">
      <c r="A332" s="11" t="s">
        <v>34</v>
      </c>
      <c r="B332" s="2"/>
      <c r="C332" s="2"/>
      <c r="D332" s="3" t="s">
        <v>25</v>
      </c>
      <c r="E332" s="11" t="s">
        <v>35</v>
      </c>
      <c r="F332" s="2"/>
      <c r="G332" s="3">
        <v>3000</v>
      </c>
      <c r="H332" s="12"/>
      <c r="I332" s="5"/>
      <c r="J332" s="13"/>
    </row>
    <row r="333" spans="1:10" s="1" customFormat="1" ht="13.5" customHeight="1">
      <c r="A333" s="11" t="s">
        <v>36</v>
      </c>
      <c r="B333" s="2"/>
      <c r="C333" s="2"/>
      <c r="D333" s="3" t="s">
        <v>25</v>
      </c>
      <c r="E333" s="11" t="s">
        <v>37</v>
      </c>
      <c r="F333" s="2"/>
      <c r="G333" s="3">
        <v>100</v>
      </c>
      <c r="H333" s="12" t="s">
        <v>117</v>
      </c>
      <c r="I333" s="5"/>
      <c r="J333" s="14"/>
    </row>
    <row r="334" spans="1:10" s="1" customFormat="1" ht="13.5" customHeight="1">
      <c r="A334" s="11" t="s">
        <v>38</v>
      </c>
      <c r="B334" s="2"/>
      <c r="C334" s="2"/>
      <c r="D334" s="3" t="s">
        <v>25</v>
      </c>
      <c r="E334" s="11" t="s">
        <v>39</v>
      </c>
      <c r="F334" s="2"/>
      <c r="G334" s="3" t="s">
        <v>25</v>
      </c>
      <c r="H334" s="12" t="s">
        <v>118</v>
      </c>
      <c r="I334" s="5"/>
      <c r="J334" s="14"/>
    </row>
    <row r="335" spans="1:10" s="1" customFormat="1" ht="13.5" customHeight="1">
      <c r="A335" s="12" t="s">
        <v>40</v>
      </c>
      <c r="B335" s="5"/>
      <c r="C335" s="5"/>
      <c r="D335" s="3" t="s">
        <v>25</v>
      </c>
      <c r="E335" s="11" t="s">
        <v>41</v>
      </c>
      <c r="F335" s="2"/>
      <c r="G335" s="3" t="s">
        <v>25</v>
      </c>
      <c r="H335" s="12"/>
      <c r="I335" s="5"/>
      <c r="J335" s="13"/>
    </row>
    <row r="336" spans="1:10" s="1" customFormat="1" ht="13.5" customHeight="1">
      <c r="A336" s="44" t="s">
        <v>42</v>
      </c>
      <c r="B336" s="45"/>
      <c r="C336" s="46"/>
      <c r="D336" s="42">
        <f>SUM(D329:D335)</f>
        <v>33000</v>
      </c>
      <c r="E336" s="2" t="s">
        <v>43</v>
      </c>
      <c r="F336" s="2"/>
      <c r="G336" s="3" t="s">
        <v>25</v>
      </c>
      <c r="H336" s="12"/>
      <c r="I336" s="5"/>
      <c r="J336" s="13"/>
    </row>
    <row r="337" spans="1:10" s="1" customFormat="1" ht="13.5" customHeight="1">
      <c r="A337" s="47"/>
      <c r="B337" s="29"/>
      <c r="C337" s="48"/>
      <c r="D337" s="43"/>
      <c r="E337" s="15" t="s">
        <v>21</v>
      </c>
      <c r="F337" s="16"/>
      <c r="G337" s="7">
        <f>SUM(G329:G336)</f>
        <v>3100</v>
      </c>
      <c r="H337" s="15" t="s">
        <v>44</v>
      </c>
      <c r="I337" s="16"/>
      <c r="J337" s="7">
        <f>D336-G337</f>
        <v>29900</v>
      </c>
    </row>
    <row r="338" spans="1:10" s="1" customFormat="1" ht="13.5" customHeight="1">
      <c r="A338" s="4" t="s">
        <v>45</v>
      </c>
      <c r="B338" s="4"/>
      <c r="C338" s="4"/>
      <c r="D338" s="4"/>
      <c r="E338" s="4"/>
      <c r="F338" s="4"/>
      <c r="G338" s="4"/>
      <c r="H338" s="4"/>
      <c r="I338" s="4"/>
      <c r="J338" s="4"/>
    </row>
    <row r="339" spans="1:10" s="1" customFormat="1" ht="13.5" customHeight="1"/>
    <row r="340" spans="1:10" ht="13.5" customHeight="1">
      <c r="A340" s="17"/>
      <c r="B340" s="17" t="s">
        <v>46</v>
      </c>
      <c r="C340" s="17"/>
      <c r="D340" s="17"/>
      <c r="E340" s="17" t="s">
        <v>47</v>
      </c>
      <c r="F340" s="17"/>
      <c r="G340" s="17"/>
      <c r="H340" s="17" t="s">
        <v>48</v>
      </c>
      <c r="I340" s="17"/>
      <c r="J340" s="17"/>
    </row>
    <row r="341" spans="1:10" s="1" customFormat="1" ht="13.5" customHeight="1">
      <c r="A341" s="49" t="s">
        <v>0</v>
      </c>
      <c r="B341" s="50"/>
      <c r="C341" s="50"/>
      <c r="D341" s="50"/>
      <c r="E341" s="50"/>
      <c r="F341" s="50"/>
      <c r="G341" s="50"/>
      <c r="H341" s="50"/>
      <c r="I341" s="50"/>
      <c r="J341" s="51"/>
    </row>
    <row r="342" spans="1:10" s="1" customFormat="1" ht="13.5" customHeight="1">
      <c r="A342" s="52" t="s">
        <v>1</v>
      </c>
      <c r="B342" s="53"/>
      <c r="C342" s="53"/>
      <c r="D342" s="53"/>
      <c r="E342" s="53"/>
      <c r="F342" s="53"/>
      <c r="G342" s="53"/>
      <c r="H342" s="53"/>
      <c r="I342" s="53"/>
      <c r="J342" s="54"/>
    </row>
    <row r="343" spans="1:10" s="1" customFormat="1" ht="13.5" customHeight="1">
      <c r="A343" s="2" t="s">
        <v>2</v>
      </c>
      <c r="B343" s="2"/>
      <c r="C343" s="55"/>
      <c r="D343" s="55"/>
      <c r="E343" s="3"/>
      <c r="F343" s="4"/>
      <c r="G343" s="2" t="s">
        <v>4</v>
      </c>
      <c r="H343" s="56" t="s">
        <v>5</v>
      </c>
      <c r="I343" s="56"/>
      <c r="J343" s="56"/>
    </row>
    <row r="344" spans="1:10" s="1" customFormat="1" ht="13.5" customHeight="1">
      <c r="A344" s="2" t="s">
        <v>6</v>
      </c>
      <c r="B344" s="2"/>
      <c r="C344" s="18" t="s">
        <v>119</v>
      </c>
      <c r="D344" s="18"/>
      <c r="E344" s="3"/>
      <c r="F344" s="4"/>
      <c r="G344" s="2" t="s">
        <v>8</v>
      </c>
      <c r="H344" s="57" t="s">
        <v>9</v>
      </c>
      <c r="I344" s="57"/>
      <c r="J344" s="57"/>
    </row>
    <row r="345" spans="1:10" s="1" customFormat="1" ht="13.5" customHeight="1">
      <c r="A345" s="5" t="s">
        <v>10</v>
      </c>
      <c r="B345" s="5"/>
      <c r="C345" s="55" t="s">
        <v>120</v>
      </c>
      <c r="D345" s="55"/>
      <c r="E345" s="3"/>
      <c r="F345" s="4"/>
      <c r="G345" s="2" t="s">
        <v>12</v>
      </c>
      <c r="H345" s="58" t="s">
        <v>13</v>
      </c>
      <c r="I345" s="58"/>
      <c r="J345" s="58"/>
    </row>
    <row r="346" spans="1:10" s="1" customFormat="1" ht="13.5" customHeight="1">
      <c r="A346" s="3" t="s">
        <v>14</v>
      </c>
      <c r="B346" s="3"/>
      <c r="C346" s="3" t="s">
        <v>15</v>
      </c>
      <c r="D346" s="3"/>
      <c r="E346" s="3"/>
      <c r="F346" s="4"/>
      <c r="G346" s="2" t="s">
        <v>16</v>
      </c>
      <c r="H346" s="59" t="s">
        <v>92</v>
      </c>
      <c r="I346" s="59"/>
      <c r="J346" s="59"/>
    </row>
    <row r="347" spans="1:10" s="1" customFormat="1" ht="13.5" customHeight="1">
      <c r="A347" s="3">
        <v>30</v>
      </c>
      <c r="B347" s="3"/>
      <c r="C347" s="3">
        <f>A347-H347</f>
        <v>0</v>
      </c>
      <c r="D347" s="3"/>
      <c r="E347" s="3"/>
      <c r="F347" s="4"/>
      <c r="G347" s="6" t="s">
        <v>18</v>
      </c>
      <c r="H347" s="29">
        <v>30</v>
      </c>
      <c r="I347" s="29"/>
      <c r="J347" s="29"/>
    </row>
    <row r="348" spans="1:10" s="1" customFormat="1" ht="13.5" customHeight="1">
      <c r="A348" s="30" t="s">
        <v>19</v>
      </c>
      <c r="B348" s="31"/>
      <c r="C348" s="32"/>
      <c r="D348" s="7" t="s">
        <v>20</v>
      </c>
      <c r="E348" s="8" t="s">
        <v>21</v>
      </c>
      <c r="F348" s="9"/>
      <c r="G348" s="10" t="s">
        <v>20</v>
      </c>
      <c r="H348" s="33" t="s">
        <v>22</v>
      </c>
      <c r="I348" s="34"/>
      <c r="J348" s="35"/>
    </row>
    <row r="349" spans="1:10" s="1" customFormat="1" ht="13.5" customHeight="1">
      <c r="A349" s="11" t="s">
        <v>23</v>
      </c>
      <c r="B349" s="2"/>
      <c r="C349" s="2"/>
      <c r="D349" s="3">
        <v>35000</v>
      </c>
      <c r="E349" s="11" t="s">
        <v>24</v>
      </c>
      <c r="F349" s="2"/>
      <c r="G349" s="3" t="s">
        <v>25</v>
      </c>
      <c r="H349" s="12" t="s">
        <v>26</v>
      </c>
      <c r="I349" s="5"/>
      <c r="J349" s="13"/>
    </row>
    <row r="350" spans="1:10" s="1" customFormat="1" ht="13.5" customHeight="1">
      <c r="A350" s="11" t="s">
        <v>27</v>
      </c>
      <c r="B350" s="36" t="s">
        <v>121</v>
      </c>
      <c r="C350" s="36"/>
      <c r="D350" s="3">
        <v>3305</v>
      </c>
      <c r="E350" s="11" t="s">
        <v>29</v>
      </c>
      <c r="F350" s="2"/>
      <c r="G350" s="3" t="s">
        <v>25</v>
      </c>
      <c r="H350" s="12" t="s">
        <v>30</v>
      </c>
      <c r="I350" s="5"/>
      <c r="J350" s="13"/>
    </row>
    <row r="351" spans="1:10" s="1" customFormat="1" ht="13.5" customHeight="1">
      <c r="A351" s="11" t="s">
        <v>31</v>
      </c>
      <c r="B351" s="2"/>
      <c r="C351" s="2"/>
      <c r="D351" s="3" t="s">
        <v>25</v>
      </c>
      <c r="E351" s="11" t="s">
        <v>32</v>
      </c>
      <c r="F351" s="2"/>
      <c r="G351" s="3" t="s">
        <v>25</v>
      </c>
      <c r="H351" s="12" t="s">
        <v>33</v>
      </c>
      <c r="I351" s="5"/>
      <c r="J351" s="13"/>
    </row>
    <row r="352" spans="1:10" s="1" customFormat="1" ht="13.5" customHeight="1">
      <c r="A352" s="11" t="s">
        <v>34</v>
      </c>
      <c r="B352" s="2"/>
      <c r="C352" s="2"/>
      <c r="D352" s="3" t="s">
        <v>25</v>
      </c>
      <c r="E352" s="11" t="s">
        <v>35</v>
      </c>
      <c r="F352" s="2"/>
      <c r="G352" s="3" t="s">
        <v>25</v>
      </c>
      <c r="H352" s="12"/>
      <c r="I352" s="5"/>
      <c r="J352" s="13"/>
    </row>
    <row r="353" spans="1:10" s="1" customFormat="1" ht="13.5" customHeight="1">
      <c r="A353" s="11" t="s">
        <v>36</v>
      </c>
      <c r="B353" s="2"/>
      <c r="C353" s="2"/>
      <c r="D353" s="3" t="s">
        <v>25</v>
      </c>
      <c r="E353" s="11" t="s">
        <v>37</v>
      </c>
      <c r="F353" s="2"/>
      <c r="G353" s="3">
        <v>100</v>
      </c>
      <c r="H353" s="12" t="s">
        <v>122</v>
      </c>
      <c r="I353" s="5"/>
      <c r="J353" s="14"/>
    </row>
    <row r="354" spans="1:10" s="1" customFormat="1" ht="13.5" customHeight="1">
      <c r="A354" s="11" t="s">
        <v>38</v>
      </c>
      <c r="B354" s="2"/>
      <c r="C354" s="2"/>
      <c r="D354" s="3" t="s">
        <v>25</v>
      </c>
      <c r="E354" s="11" t="s">
        <v>39</v>
      </c>
      <c r="F354" s="2"/>
      <c r="G354" s="3" t="s">
        <v>25</v>
      </c>
      <c r="H354" s="12"/>
      <c r="I354" s="5"/>
      <c r="J354" s="14"/>
    </row>
    <row r="355" spans="1:10" s="1" customFormat="1" ht="13.5" customHeight="1">
      <c r="A355" s="12" t="s">
        <v>40</v>
      </c>
      <c r="B355" s="5"/>
      <c r="C355" s="5"/>
      <c r="D355" s="3" t="s">
        <v>25</v>
      </c>
      <c r="E355" s="11" t="s">
        <v>41</v>
      </c>
      <c r="F355" s="2"/>
      <c r="G355" s="3" t="s">
        <v>25</v>
      </c>
      <c r="H355" s="12"/>
      <c r="I355" s="5"/>
      <c r="J355" s="13"/>
    </row>
    <row r="356" spans="1:10" s="1" customFormat="1" ht="13.5" customHeight="1">
      <c r="A356" s="44" t="s">
        <v>42</v>
      </c>
      <c r="B356" s="45"/>
      <c r="C356" s="46"/>
      <c r="D356" s="42">
        <f>SUM(D349:D355)</f>
        <v>38305</v>
      </c>
      <c r="E356" s="2" t="s">
        <v>43</v>
      </c>
      <c r="F356" s="2"/>
      <c r="G356" s="3" t="s">
        <v>25</v>
      </c>
      <c r="H356" s="12"/>
      <c r="I356" s="5"/>
      <c r="J356" s="13"/>
    </row>
    <row r="357" spans="1:10" s="1" customFormat="1" ht="13.5" customHeight="1">
      <c r="A357" s="47"/>
      <c r="B357" s="29"/>
      <c r="C357" s="48"/>
      <c r="D357" s="43"/>
      <c r="E357" s="15" t="s">
        <v>21</v>
      </c>
      <c r="F357" s="16"/>
      <c r="G357" s="7">
        <f>SUM(G349:G356)</f>
        <v>100</v>
      </c>
      <c r="H357" s="15" t="s">
        <v>44</v>
      </c>
      <c r="I357" s="16"/>
      <c r="J357" s="7">
        <f>D356-G357</f>
        <v>38205</v>
      </c>
    </row>
    <row r="358" spans="1:10" s="1" customFormat="1" ht="13.5" customHeight="1">
      <c r="A358" s="4" t="s">
        <v>45</v>
      </c>
      <c r="B358" s="4"/>
      <c r="C358" s="4"/>
      <c r="D358" s="4"/>
      <c r="E358" s="4"/>
      <c r="F358" s="4"/>
      <c r="G358" s="4"/>
      <c r="H358" s="4"/>
      <c r="I358" s="4"/>
      <c r="J358" s="4"/>
    </row>
    <row r="359" spans="1:10" s="1" customFormat="1" ht="13.5" customHeight="1"/>
    <row r="360" spans="1:10" ht="13.5" customHeight="1">
      <c r="A360" s="17"/>
      <c r="B360" s="17" t="s">
        <v>46</v>
      </c>
      <c r="C360" s="17"/>
      <c r="D360" s="17"/>
      <c r="E360" s="17" t="s">
        <v>47</v>
      </c>
      <c r="F360" s="17"/>
      <c r="G360" s="17"/>
      <c r="H360" s="17" t="s">
        <v>48</v>
      </c>
      <c r="I360" s="17"/>
      <c r="J360" s="17"/>
    </row>
    <row r="361" spans="1:10" s="1" customFormat="1" ht="13.5" customHeight="1">
      <c r="A361" s="49" t="s">
        <v>0</v>
      </c>
      <c r="B361" s="50"/>
      <c r="C361" s="50"/>
      <c r="D361" s="50"/>
      <c r="E361" s="50"/>
      <c r="F361" s="50"/>
      <c r="G361" s="50"/>
      <c r="H361" s="50"/>
      <c r="I361" s="50"/>
      <c r="J361" s="51"/>
    </row>
    <row r="362" spans="1:10" s="1" customFormat="1" ht="13.5" customHeight="1">
      <c r="A362" s="52" t="s">
        <v>1</v>
      </c>
      <c r="B362" s="53"/>
      <c r="C362" s="53"/>
      <c r="D362" s="53"/>
      <c r="E362" s="53"/>
      <c r="F362" s="53"/>
      <c r="G362" s="53"/>
      <c r="H362" s="53"/>
      <c r="I362" s="53"/>
      <c r="J362" s="54"/>
    </row>
    <row r="363" spans="1:10" s="1" customFormat="1" ht="13.5" customHeight="1">
      <c r="A363" s="2" t="s">
        <v>2</v>
      </c>
      <c r="B363" s="2"/>
      <c r="C363" s="55"/>
      <c r="D363" s="55"/>
      <c r="E363" s="3"/>
      <c r="F363" s="4"/>
      <c r="G363" s="2" t="s">
        <v>4</v>
      </c>
      <c r="H363" s="56" t="s">
        <v>5</v>
      </c>
      <c r="I363" s="56"/>
      <c r="J363" s="56"/>
    </row>
    <row r="364" spans="1:10" s="1" customFormat="1" ht="13.5" customHeight="1">
      <c r="A364" s="2" t="s">
        <v>6</v>
      </c>
      <c r="B364" s="2"/>
      <c r="C364" s="18" t="s">
        <v>123</v>
      </c>
      <c r="D364" s="18"/>
      <c r="E364" s="3"/>
      <c r="F364" s="4"/>
      <c r="G364" s="2" t="s">
        <v>8</v>
      </c>
      <c r="H364" s="57" t="s">
        <v>9</v>
      </c>
      <c r="I364" s="57"/>
      <c r="J364" s="57"/>
    </row>
    <row r="365" spans="1:10" s="1" customFormat="1" ht="13.5" customHeight="1">
      <c r="A365" s="5" t="s">
        <v>10</v>
      </c>
      <c r="B365" s="5"/>
      <c r="C365" s="55" t="s">
        <v>124</v>
      </c>
      <c r="D365" s="55"/>
      <c r="E365" s="3"/>
      <c r="F365" s="4"/>
      <c r="G365" s="2" t="s">
        <v>12</v>
      </c>
      <c r="H365" s="58" t="s">
        <v>13</v>
      </c>
      <c r="I365" s="58"/>
      <c r="J365" s="58"/>
    </row>
    <row r="366" spans="1:10" s="1" customFormat="1" ht="13.5" customHeight="1">
      <c r="A366" s="3" t="s">
        <v>14</v>
      </c>
      <c r="B366" s="3"/>
      <c r="C366" s="3" t="s">
        <v>15</v>
      </c>
      <c r="D366" s="3"/>
      <c r="E366" s="3"/>
      <c r="F366" s="4"/>
      <c r="G366" s="2" t="s">
        <v>16</v>
      </c>
      <c r="H366" s="59" t="s">
        <v>92</v>
      </c>
      <c r="I366" s="59"/>
      <c r="J366" s="59"/>
    </row>
    <row r="367" spans="1:10" s="1" customFormat="1" ht="13.5" customHeight="1">
      <c r="A367" s="3">
        <v>30</v>
      </c>
      <c r="B367" s="3"/>
      <c r="C367" s="3">
        <f>A367-H367</f>
        <v>0</v>
      </c>
      <c r="D367" s="3"/>
      <c r="E367" s="3"/>
      <c r="F367" s="4"/>
      <c r="G367" s="6" t="s">
        <v>18</v>
      </c>
      <c r="H367" s="29">
        <v>30</v>
      </c>
      <c r="I367" s="29"/>
      <c r="J367" s="29"/>
    </row>
    <row r="368" spans="1:10" s="1" customFormat="1" ht="13.5" customHeight="1">
      <c r="A368" s="30" t="s">
        <v>19</v>
      </c>
      <c r="B368" s="31"/>
      <c r="C368" s="32"/>
      <c r="D368" s="7" t="s">
        <v>20</v>
      </c>
      <c r="E368" s="8" t="s">
        <v>21</v>
      </c>
      <c r="F368" s="9"/>
      <c r="G368" s="10" t="s">
        <v>20</v>
      </c>
      <c r="H368" s="33" t="s">
        <v>22</v>
      </c>
      <c r="I368" s="34"/>
      <c r="J368" s="35"/>
    </row>
    <row r="369" spans="1:10" s="1" customFormat="1" ht="13.5" customHeight="1">
      <c r="A369" s="11" t="s">
        <v>23</v>
      </c>
      <c r="B369" s="2"/>
      <c r="C369" s="2"/>
      <c r="D369" s="3">
        <v>25000</v>
      </c>
      <c r="E369" s="11" t="s">
        <v>24</v>
      </c>
      <c r="F369" s="2"/>
      <c r="G369" s="3" t="s">
        <v>25</v>
      </c>
      <c r="H369" s="12" t="s">
        <v>26</v>
      </c>
      <c r="I369" s="5"/>
      <c r="J369" s="13"/>
    </row>
    <row r="370" spans="1:10" s="1" customFormat="1" ht="13.5" customHeight="1">
      <c r="A370" s="11" t="s">
        <v>27</v>
      </c>
      <c r="B370" s="36"/>
      <c r="C370" s="36"/>
      <c r="D370" s="3" t="s">
        <v>25</v>
      </c>
      <c r="E370" s="11" t="s">
        <v>29</v>
      </c>
      <c r="F370" s="2"/>
      <c r="G370" s="3" t="s">
        <v>25</v>
      </c>
      <c r="H370" s="12" t="s">
        <v>30</v>
      </c>
      <c r="I370" s="5"/>
      <c r="J370" s="13"/>
    </row>
    <row r="371" spans="1:10" s="1" customFormat="1" ht="13.5" customHeight="1">
      <c r="A371" s="11" t="s">
        <v>31</v>
      </c>
      <c r="B371" s="2"/>
      <c r="C371" s="2"/>
      <c r="D371" s="3" t="s">
        <v>25</v>
      </c>
      <c r="E371" s="11" t="s">
        <v>32</v>
      </c>
      <c r="F371" s="2"/>
      <c r="G371" s="3" t="s">
        <v>25</v>
      </c>
      <c r="H371" s="12" t="s">
        <v>33</v>
      </c>
      <c r="I371" s="5"/>
      <c r="J371" s="13"/>
    </row>
    <row r="372" spans="1:10" s="1" customFormat="1" ht="13.5" customHeight="1">
      <c r="A372" s="11" t="s">
        <v>34</v>
      </c>
      <c r="B372" s="2"/>
      <c r="C372" s="2"/>
      <c r="D372" s="3" t="s">
        <v>25</v>
      </c>
      <c r="E372" s="11" t="s">
        <v>35</v>
      </c>
      <c r="F372" s="2"/>
      <c r="G372" s="3" t="s">
        <v>25</v>
      </c>
      <c r="H372" s="12"/>
      <c r="I372" s="5"/>
      <c r="J372" s="13"/>
    </row>
    <row r="373" spans="1:10" s="1" customFormat="1" ht="13.5" customHeight="1">
      <c r="A373" s="11" t="s">
        <v>36</v>
      </c>
      <c r="B373" s="2"/>
      <c r="C373" s="2"/>
      <c r="D373" s="3" t="s">
        <v>25</v>
      </c>
      <c r="E373" s="11" t="s">
        <v>37</v>
      </c>
      <c r="F373" s="2"/>
      <c r="G373" s="3">
        <v>100</v>
      </c>
      <c r="H373" s="12"/>
      <c r="I373" s="5"/>
      <c r="J373" s="14"/>
    </row>
    <row r="374" spans="1:10" s="1" customFormat="1" ht="13.5" customHeight="1">
      <c r="A374" s="11" t="s">
        <v>38</v>
      </c>
      <c r="B374" s="2"/>
      <c r="C374" s="2"/>
      <c r="D374" s="3" t="s">
        <v>25</v>
      </c>
      <c r="E374" s="11" t="s">
        <v>39</v>
      </c>
      <c r="F374" s="2"/>
      <c r="G374" s="3" t="s">
        <v>25</v>
      </c>
      <c r="H374" s="12"/>
      <c r="I374" s="5"/>
      <c r="J374" s="14"/>
    </row>
    <row r="375" spans="1:10" s="1" customFormat="1" ht="13.5" customHeight="1">
      <c r="A375" s="12" t="s">
        <v>40</v>
      </c>
      <c r="B375" s="5"/>
      <c r="C375" s="5"/>
      <c r="D375" s="3" t="s">
        <v>25</v>
      </c>
      <c r="E375" s="11" t="s">
        <v>41</v>
      </c>
      <c r="F375" s="2"/>
      <c r="G375" s="3" t="s">
        <v>25</v>
      </c>
      <c r="H375" s="12"/>
      <c r="I375" s="5"/>
      <c r="J375" s="13"/>
    </row>
    <row r="376" spans="1:10" s="1" customFormat="1" ht="13.5" customHeight="1">
      <c r="A376" s="44" t="s">
        <v>42</v>
      </c>
      <c r="B376" s="45"/>
      <c r="C376" s="46"/>
      <c r="D376" s="42">
        <f>SUM(D369:D375)</f>
        <v>25000</v>
      </c>
      <c r="E376" s="2" t="s">
        <v>43</v>
      </c>
      <c r="F376" s="2"/>
      <c r="G376" s="3" t="s">
        <v>25</v>
      </c>
      <c r="H376" s="12"/>
      <c r="I376" s="5"/>
      <c r="J376" s="13"/>
    </row>
    <row r="377" spans="1:10" s="1" customFormat="1" ht="13.5" customHeight="1">
      <c r="A377" s="47"/>
      <c r="B377" s="29"/>
      <c r="C377" s="48"/>
      <c r="D377" s="43"/>
      <c r="E377" s="15" t="s">
        <v>21</v>
      </c>
      <c r="F377" s="16"/>
      <c r="G377" s="7">
        <f>SUM(G369:G376)</f>
        <v>100</v>
      </c>
      <c r="H377" s="15" t="s">
        <v>44</v>
      </c>
      <c r="I377" s="16"/>
      <c r="J377" s="7">
        <f>D376-G377</f>
        <v>24900</v>
      </c>
    </row>
    <row r="378" spans="1:10" s="1" customFormat="1" ht="13.5" customHeight="1">
      <c r="A378" s="4" t="s">
        <v>45</v>
      </c>
      <c r="B378" s="4"/>
      <c r="C378" s="4"/>
      <c r="D378" s="4"/>
      <c r="E378" s="4"/>
      <c r="F378" s="4"/>
      <c r="G378" s="4"/>
      <c r="H378" s="4"/>
      <c r="I378" s="4"/>
      <c r="J378" s="4"/>
    </row>
    <row r="379" spans="1:10" s="1" customFormat="1" ht="13.5" customHeight="1"/>
    <row r="380" spans="1:10" ht="13.5" customHeight="1">
      <c r="A380" s="17"/>
      <c r="B380" s="17" t="s">
        <v>46</v>
      </c>
      <c r="C380" s="17"/>
      <c r="D380" s="17"/>
      <c r="E380" s="17" t="s">
        <v>47</v>
      </c>
      <c r="F380" s="17"/>
      <c r="G380" s="17"/>
      <c r="H380" s="17" t="s">
        <v>48</v>
      </c>
      <c r="I380" s="17"/>
      <c r="J380" s="17"/>
    </row>
    <row r="381" spans="1:10" s="1" customFormat="1" ht="13.5" customHeight="1">
      <c r="A381" s="49" t="s">
        <v>0</v>
      </c>
      <c r="B381" s="50"/>
      <c r="C381" s="50"/>
      <c r="D381" s="50"/>
      <c r="E381" s="50"/>
      <c r="F381" s="50"/>
      <c r="G381" s="50"/>
      <c r="H381" s="50"/>
      <c r="I381" s="50"/>
      <c r="J381" s="51"/>
    </row>
    <row r="382" spans="1:10" s="1" customFormat="1" ht="13.5" customHeight="1">
      <c r="A382" s="52" t="s">
        <v>1</v>
      </c>
      <c r="B382" s="53"/>
      <c r="C382" s="53"/>
      <c r="D382" s="53"/>
      <c r="E382" s="53"/>
      <c r="F382" s="53"/>
      <c r="G382" s="53"/>
      <c r="H382" s="53"/>
      <c r="I382" s="53"/>
      <c r="J382" s="54"/>
    </row>
    <row r="383" spans="1:10" s="1" customFormat="1" ht="13.5" customHeight="1">
      <c r="A383" s="2" t="s">
        <v>2</v>
      </c>
      <c r="B383" s="2"/>
      <c r="C383" s="55"/>
      <c r="D383" s="55"/>
      <c r="E383" s="3"/>
      <c r="F383" s="4"/>
      <c r="G383" s="2" t="s">
        <v>4</v>
      </c>
      <c r="H383" s="56" t="s">
        <v>5</v>
      </c>
      <c r="I383" s="56"/>
      <c r="J383" s="56"/>
    </row>
    <row r="384" spans="1:10" s="1" customFormat="1" ht="13.5" customHeight="1">
      <c r="A384" s="2" t="s">
        <v>6</v>
      </c>
      <c r="B384" s="2"/>
      <c r="C384" s="18" t="s">
        <v>125</v>
      </c>
      <c r="D384" s="18"/>
      <c r="E384" s="3"/>
      <c r="F384" s="4"/>
      <c r="G384" s="2" t="s">
        <v>8</v>
      </c>
      <c r="H384" s="57" t="s">
        <v>9</v>
      </c>
      <c r="I384" s="57"/>
      <c r="J384" s="57"/>
    </row>
    <row r="385" spans="1:10" s="1" customFormat="1" ht="13.5" customHeight="1">
      <c r="A385" s="5" t="s">
        <v>10</v>
      </c>
      <c r="B385" s="5"/>
      <c r="C385" s="55" t="s">
        <v>124</v>
      </c>
      <c r="D385" s="55"/>
      <c r="E385" s="3"/>
      <c r="F385" s="4"/>
      <c r="G385" s="2" t="s">
        <v>12</v>
      </c>
      <c r="H385" s="58" t="s">
        <v>13</v>
      </c>
      <c r="I385" s="58"/>
      <c r="J385" s="58"/>
    </row>
    <row r="386" spans="1:10" s="1" customFormat="1" ht="13.5" customHeight="1">
      <c r="A386" s="3" t="s">
        <v>14</v>
      </c>
      <c r="B386" s="3"/>
      <c r="C386" s="3" t="s">
        <v>15</v>
      </c>
      <c r="D386" s="3"/>
      <c r="E386" s="3"/>
      <c r="F386" s="4"/>
      <c r="G386" s="2" t="s">
        <v>16</v>
      </c>
      <c r="H386" s="59" t="s">
        <v>106</v>
      </c>
      <c r="I386" s="59"/>
      <c r="J386" s="59"/>
    </row>
    <row r="387" spans="1:10" s="1" customFormat="1" ht="13.5" customHeight="1">
      <c r="A387" s="3">
        <v>30</v>
      </c>
      <c r="B387" s="3"/>
      <c r="C387" s="3">
        <f>A387-H387</f>
        <v>0</v>
      </c>
      <c r="D387" s="3"/>
      <c r="E387" s="3"/>
      <c r="F387" s="4"/>
      <c r="G387" s="6" t="s">
        <v>18</v>
      </c>
      <c r="H387" s="29">
        <v>30</v>
      </c>
      <c r="I387" s="29"/>
      <c r="J387" s="29"/>
    </row>
    <row r="388" spans="1:10" s="1" customFormat="1" ht="13.5" customHeight="1">
      <c r="A388" s="30" t="s">
        <v>19</v>
      </c>
      <c r="B388" s="31"/>
      <c r="C388" s="32"/>
      <c r="D388" s="7" t="s">
        <v>20</v>
      </c>
      <c r="E388" s="8" t="s">
        <v>21</v>
      </c>
      <c r="F388" s="9"/>
      <c r="G388" s="10" t="s">
        <v>20</v>
      </c>
      <c r="H388" s="33" t="s">
        <v>22</v>
      </c>
      <c r="I388" s="34"/>
      <c r="J388" s="35"/>
    </row>
    <row r="389" spans="1:10" s="1" customFormat="1" ht="13.5" customHeight="1">
      <c r="A389" s="11" t="s">
        <v>23</v>
      </c>
      <c r="B389" s="2"/>
      <c r="C389" s="2"/>
      <c r="D389" s="3">
        <v>35000</v>
      </c>
      <c r="E389" s="11" t="s">
        <v>24</v>
      </c>
      <c r="F389" s="2"/>
      <c r="G389" s="3" t="s">
        <v>25</v>
      </c>
      <c r="H389" s="12" t="s">
        <v>26</v>
      </c>
      <c r="I389" s="5"/>
      <c r="J389" s="13"/>
    </row>
    <row r="390" spans="1:10" s="1" customFormat="1" ht="13.5" customHeight="1">
      <c r="A390" s="11" t="s">
        <v>27</v>
      </c>
      <c r="B390" s="36"/>
      <c r="C390" s="36"/>
      <c r="D390" s="3" t="s">
        <v>25</v>
      </c>
      <c r="E390" s="11" t="s">
        <v>29</v>
      </c>
      <c r="F390" s="2"/>
      <c r="G390" s="3" t="s">
        <v>25</v>
      </c>
      <c r="H390" s="12" t="s">
        <v>30</v>
      </c>
      <c r="I390" s="5"/>
      <c r="J390" s="13"/>
    </row>
    <row r="391" spans="1:10" s="1" customFormat="1" ht="13.5" customHeight="1">
      <c r="A391" s="11" t="s">
        <v>31</v>
      </c>
      <c r="B391" s="2"/>
      <c r="C391" s="2"/>
      <c r="D391" s="3" t="s">
        <v>25</v>
      </c>
      <c r="E391" s="11" t="s">
        <v>60</v>
      </c>
      <c r="F391" s="2"/>
      <c r="G391" s="3">
        <v>800</v>
      </c>
      <c r="H391" s="12" t="s">
        <v>33</v>
      </c>
      <c r="I391" s="5"/>
      <c r="J391" s="13"/>
    </row>
    <row r="392" spans="1:10" s="1" customFormat="1" ht="13.5" customHeight="1">
      <c r="A392" s="11" t="s">
        <v>34</v>
      </c>
      <c r="B392" s="2"/>
      <c r="C392" s="2"/>
      <c r="D392" s="3" t="s">
        <v>25</v>
      </c>
      <c r="E392" s="11" t="s">
        <v>35</v>
      </c>
      <c r="F392" s="2"/>
      <c r="G392" s="3" t="s">
        <v>25</v>
      </c>
      <c r="H392" s="12"/>
      <c r="I392" s="5"/>
      <c r="J392" s="13"/>
    </row>
    <row r="393" spans="1:10" s="1" customFormat="1" ht="13.5" customHeight="1">
      <c r="A393" s="11" t="s">
        <v>36</v>
      </c>
      <c r="B393" s="2"/>
      <c r="C393" s="2"/>
      <c r="D393" s="3" t="s">
        <v>25</v>
      </c>
      <c r="E393" s="11" t="s">
        <v>37</v>
      </c>
      <c r="F393" s="2"/>
      <c r="G393" s="3">
        <v>100</v>
      </c>
      <c r="H393" s="12"/>
      <c r="I393" s="5"/>
      <c r="J393" s="14"/>
    </row>
    <row r="394" spans="1:10" s="1" customFormat="1" ht="13.5" customHeight="1">
      <c r="A394" s="11" t="s">
        <v>38</v>
      </c>
      <c r="B394" s="2"/>
      <c r="C394" s="2"/>
      <c r="D394" s="3" t="s">
        <v>25</v>
      </c>
      <c r="E394" s="11" t="s">
        <v>39</v>
      </c>
      <c r="F394" s="2"/>
      <c r="G394" s="3" t="s">
        <v>25</v>
      </c>
      <c r="H394" s="12"/>
      <c r="I394" s="5"/>
      <c r="J394" s="14"/>
    </row>
    <row r="395" spans="1:10" s="1" customFormat="1" ht="13.5" customHeight="1">
      <c r="A395" s="12" t="s">
        <v>40</v>
      </c>
      <c r="B395" s="5"/>
      <c r="C395" s="5"/>
      <c r="D395" s="3" t="s">
        <v>25</v>
      </c>
      <c r="E395" s="11" t="s">
        <v>41</v>
      </c>
      <c r="F395" s="2"/>
      <c r="G395" s="3" t="s">
        <v>25</v>
      </c>
      <c r="H395" s="12"/>
      <c r="I395" s="5"/>
      <c r="J395" s="13"/>
    </row>
    <row r="396" spans="1:10" s="1" customFormat="1" ht="13.5" customHeight="1">
      <c r="A396" s="44" t="s">
        <v>42</v>
      </c>
      <c r="B396" s="45"/>
      <c r="C396" s="46"/>
      <c r="D396" s="42">
        <f>SUM(D389:D395)</f>
        <v>35000</v>
      </c>
      <c r="E396" s="2" t="s">
        <v>43</v>
      </c>
      <c r="F396" s="2"/>
      <c r="G396" s="3" t="s">
        <v>25</v>
      </c>
      <c r="H396" s="12"/>
      <c r="I396" s="5"/>
      <c r="J396" s="13"/>
    </row>
    <row r="397" spans="1:10" s="1" customFormat="1" ht="13.5" customHeight="1">
      <c r="A397" s="47"/>
      <c r="B397" s="29"/>
      <c r="C397" s="48"/>
      <c r="D397" s="43"/>
      <c r="E397" s="15" t="s">
        <v>21</v>
      </c>
      <c r="F397" s="16"/>
      <c r="G397" s="7">
        <f>SUM(G389:G396)</f>
        <v>900</v>
      </c>
      <c r="H397" s="15" t="s">
        <v>44</v>
      </c>
      <c r="I397" s="16"/>
      <c r="J397" s="7">
        <f>D396-G397</f>
        <v>34100</v>
      </c>
    </row>
    <row r="398" spans="1:10" s="1" customFormat="1" ht="13.5" customHeight="1">
      <c r="A398" s="4" t="s">
        <v>45</v>
      </c>
      <c r="B398" s="4"/>
      <c r="C398" s="4"/>
      <c r="D398" s="4"/>
      <c r="E398" s="4"/>
      <c r="F398" s="4"/>
      <c r="G398" s="4"/>
      <c r="H398" s="4"/>
      <c r="I398" s="4"/>
      <c r="J398" s="4"/>
    </row>
    <row r="399" spans="1:10" s="1" customFormat="1" ht="13.5" customHeight="1"/>
    <row r="400" spans="1:10" ht="13.5" customHeight="1">
      <c r="A400" s="17"/>
      <c r="B400" s="17" t="s">
        <v>46</v>
      </c>
      <c r="C400" s="17"/>
      <c r="D400" s="17"/>
      <c r="E400" s="17" t="s">
        <v>47</v>
      </c>
      <c r="F400" s="17"/>
      <c r="G400" s="17"/>
      <c r="H400" s="17" t="s">
        <v>48</v>
      </c>
      <c r="I400" s="17"/>
      <c r="J400" s="17"/>
    </row>
    <row r="401" spans="1:10" s="1" customFormat="1" ht="13.5" customHeight="1">
      <c r="A401" s="49" t="s">
        <v>0</v>
      </c>
      <c r="B401" s="50"/>
      <c r="C401" s="50"/>
      <c r="D401" s="50"/>
      <c r="E401" s="50"/>
      <c r="F401" s="50"/>
      <c r="G401" s="50"/>
      <c r="H401" s="50"/>
      <c r="I401" s="50"/>
      <c r="J401" s="51"/>
    </row>
    <row r="402" spans="1:10" s="1" customFormat="1" ht="13.5" customHeight="1">
      <c r="A402" s="52" t="s">
        <v>1</v>
      </c>
      <c r="B402" s="53"/>
      <c r="C402" s="53"/>
      <c r="D402" s="53"/>
      <c r="E402" s="53"/>
      <c r="F402" s="53"/>
      <c r="G402" s="53"/>
      <c r="H402" s="53"/>
      <c r="I402" s="53"/>
      <c r="J402" s="54"/>
    </row>
    <row r="403" spans="1:10" s="1" customFormat="1" ht="13.5" customHeight="1">
      <c r="A403" s="2" t="s">
        <v>2</v>
      </c>
      <c r="B403" s="2"/>
      <c r="C403" s="55" t="s">
        <v>126</v>
      </c>
      <c r="D403" s="55"/>
      <c r="E403" s="3"/>
      <c r="F403" s="4"/>
      <c r="G403" s="2" t="s">
        <v>4</v>
      </c>
      <c r="H403" s="56" t="s">
        <v>5</v>
      </c>
      <c r="I403" s="56"/>
      <c r="J403" s="56"/>
    </row>
    <row r="404" spans="1:10" s="1" customFormat="1" ht="13.5" customHeight="1">
      <c r="A404" s="2" t="s">
        <v>6</v>
      </c>
      <c r="B404" s="2"/>
      <c r="C404" s="18" t="s">
        <v>127</v>
      </c>
      <c r="D404" s="18"/>
      <c r="E404" s="3"/>
      <c r="F404" s="4"/>
      <c r="G404" s="2" t="s">
        <v>8</v>
      </c>
      <c r="H404" s="57" t="s">
        <v>9</v>
      </c>
      <c r="I404" s="57"/>
      <c r="J404" s="57"/>
    </row>
    <row r="405" spans="1:10" s="1" customFormat="1" ht="13.5" customHeight="1">
      <c r="A405" s="5" t="s">
        <v>10</v>
      </c>
      <c r="B405" s="5"/>
      <c r="C405" s="55" t="s">
        <v>128</v>
      </c>
      <c r="D405" s="55"/>
      <c r="E405" s="3"/>
      <c r="F405" s="4"/>
      <c r="G405" s="2" t="s">
        <v>12</v>
      </c>
      <c r="H405" s="58" t="s">
        <v>13</v>
      </c>
      <c r="I405" s="58"/>
      <c r="J405" s="58"/>
    </row>
    <row r="406" spans="1:10" s="1" customFormat="1" ht="13.5" customHeight="1">
      <c r="A406" s="3" t="s">
        <v>14</v>
      </c>
      <c r="B406" s="3"/>
      <c r="C406" s="3" t="s">
        <v>15</v>
      </c>
      <c r="D406" s="3"/>
      <c r="E406" s="3"/>
      <c r="F406" s="4"/>
      <c r="G406" s="2" t="s">
        <v>16</v>
      </c>
      <c r="H406" s="59" t="s">
        <v>106</v>
      </c>
      <c r="I406" s="59"/>
      <c r="J406" s="59"/>
    </row>
    <row r="407" spans="1:10" s="1" customFormat="1" ht="13.5" customHeight="1">
      <c r="A407" s="3">
        <v>30</v>
      </c>
      <c r="B407" s="3"/>
      <c r="C407" s="3">
        <f>A407-H407</f>
        <v>0</v>
      </c>
      <c r="D407" s="3"/>
      <c r="E407" s="3"/>
      <c r="F407" s="4"/>
      <c r="G407" s="6" t="s">
        <v>18</v>
      </c>
      <c r="H407" s="29">
        <v>30</v>
      </c>
      <c r="I407" s="29"/>
      <c r="J407" s="29"/>
    </row>
    <row r="408" spans="1:10" s="1" customFormat="1" ht="13.5" customHeight="1">
      <c r="A408" s="30" t="s">
        <v>19</v>
      </c>
      <c r="B408" s="31"/>
      <c r="C408" s="32"/>
      <c r="D408" s="7" t="s">
        <v>20</v>
      </c>
      <c r="E408" s="8" t="s">
        <v>21</v>
      </c>
      <c r="F408" s="9"/>
      <c r="G408" s="10" t="s">
        <v>20</v>
      </c>
      <c r="H408" s="33" t="s">
        <v>22</v>
      </c>
      <c r="I408" s="34"/>
      <c r="J408" s="35"/>
    </row>
    <row r="409" spans="1:10" s="1" customFormat="1" ht="13.5" customHeight="1">
      <c r="A409" s="11" t="s">
        <v>23</v>
      </c>
      <c r="B409" s="2"/>
      <c r="C409" s="2"/>
      <c r="D409" s="3">
        <v>20000</v>
      </c>
      <c r="E409" s="11" t="s">
        <v>24</v>
      </c>
      <c r="F409" s="2"/>
      <c r="G409" s="3" t="s">
        <v>25</v>
      </c>
      <c r="H409" s="12" t="s">
        <v>26</v>
      </c>
      <c r="I409" s="5"/>
      <c r="J409" s="13"/>
    </row>
    <row r="410" spans="1:10" s="1" customFormat="1" ht="13.5" customHeight="1">
      <c r="A410" s="11" t="s">
        <v>27</v>
      </c>
      <c r="B410" s="36" t="s">
        <v>107</v>
      </c>
      <c r="C410" s="36"/>
      <c r="D410" s="3">
        <v>666</v>
      </c>
      <c r="E410" s="11" t="s">
        <v>29</v>
      </c>
      <c r="F410" s="2"/>
      <c r="G410" s="3" t="s">
        <v>25</v>
      </c>
      <c r="H410" s="12" t="s">
        <v>30</v>
      </c>
      <c r="I410" s="5"/>
      <c r="J410" s="13"/>
    </row>
    <row r="411" spans="1:10" s="1" customFormat="1" ht="13.5" customHeight="1">
      <c r="A411" s="11" t="s">
        <v>31</v>
      </c>
      <c r="B411" s="2"/>
      <c r="C411" s="2"/>
      <c r="D411" s="3" t="s">
        <v>25</v>
      </c>
      <c r="E411" s="11" t="s">
        <v>32</v>
      </c>
      <c r="F411" s="2"/>
      <c r="G411" s="3">
        <v>5000</v>
      </c>
      <c r="H411" s="12" t="s">
        <v>33</v>
      </c>
      <c r="I411" s="5"/>
      <c r="J411" s="13"/>
    </row>
    <row r="412" spans="1:10" s="1" customFormat="1" ht="13.5" customHeight="1">
      <c r="A412" s="11" t="s">
        <v>129</v>
      </c>
      <c r="B412" s="2"/>
      <c r="C412" s="2"/>
      <c r="D412" s="3">
        <v>5000</v>
      </c>
      <c r="E412" s="11" t="s">
        <v>35</v>
      </c>
      <c r="F412" s="2"/>
      <c r="G412" s="3" t="s">
        <v>25</v>
      </c>
      <c r="H412" s="12"/>
      <c r="I412" s="5"/>
      <c r="J412" s="13"/>
    </row>
    <row r="413" spans="1:10" s="1" customFormat="1" ht="13.5" customHeight="1">
      <c r="A413" s="11" t="s">
        <v>36</v>
      </c>
      <c r="B413" s="2"/>
      <c r="C413" s="2"/>
      <c r="D413" s="3" t="s">
        <v>25</v>
      </c>
      <c r="E413" s="11" t="s">
        <v>37</v>
      </c>
      <c r="F413" s="2"/>
      <c r="G413" s="3">
        <v>100</v>
      </c>
      <c r="H413" s="12" t="s">
        <v>130</v>
      </c>
      <c r="I413" s="5"/>
      <c r="J413" s="14"/>
    </row>
    <row r="414" spans="1:10" s="1" customFormat="1" ht="13.5" customHeight="1">
      <c r="A414" s="11" t="s">
        <v>38</v>
      </c>
      <c r="B414" s="2"/>
      <c r="C414" s="2"/>
      <c r="D414" s="3" t="s">
        <v>25</v>
      </c>
      <c r="E414" s="11" t="s">
        <v>39</v>
      </c>
      <c r="F414" s="2"/>
      <c r="G414" s="3" t="s">
        <v>25</v>
      </c>
      <c r="H414" s="12"/>
      <c r="I414" s="5"/>
      <c r="J414" s="14"/>
    </row>
    <row r="415" spans="1:10" s="1" customFormat="1" ht="13.5" customHeight="1">
      <c r="A415" s="12" t="s">
        <v>40</v>
      </c>
      <c r="B415" s="5"/>
      <c r="C415" s="5"/>
      <c r="D415" s="3" t="s">
        <v>25</v>
      </c>
      <c r="E415" s="11" t="s">
        <v>41</v>
      </c>
      <c r="F415" s="2"/>
      <c r="G415" s="3" t="s">
        <v>25</v>
      </c>
      <c r="H415" s="12"/>
      <c r="I415" s="5"/>
      <c r="J415" s="13"/>
    </row>
    <row r="416" spans="1:10" s="1" customFormat="1" ht="13.5" customHeight="1">
      <c r="A416" s="44" t="s">
        <v>42</v>
      </c>
      <c r="B416" s="45"/>
      <c r="C416" s="46"/>
      <c r="D416" s="42">
        <f>SUM(D409:D415)</f>
        <v>25666</v>
      </c>
      <c r="E416" s="2" t="s">
        <v>43</v>
      </c>
      <c r="F416" s="2"/>
      <c r="G416" s="3" t="s">
        <v>25</v>
      </c>
      <c r="H416" s="12"/>
      <c r="I416" s="5"/>
      <c r="J416" s="13"/>
    </row>
    <row r="417" spans="1:10" s="1" customFormat="1" ht="13.5" customHeight="1">
      <c r="A417" s="47"/>
      <c r="B417" s="29"/>
      <c r="C417" s="48"/>
      <c r="D417" s="43"/>
      <c r="E417" s="15" t="s">
        <v>21</v>
      </c>
      <c r="F417" s="16"/>
      <c r="G417" s="7">
        <f>SUM(G409:G416)</f>
        <v>5100</v>
      </c>
      <c r="H417" s="15" t="s">
        <v>44</v>
      </c>
      <c r="I417" s="16"/>
      <c r="J417" s="7">
        <f>D416-G417</f>
        <v>20566</v>
      </c>
    </row>
    <row r="418" spans="1:10" s="1" customFormat="1" ht="13.5" customHeight="1">
      <c r="A418" s="4" t="s">
        <v>45</v>
      </c>
      <c r="B418" s="4"/>
      <c r="C418" s="4"/>
      <c r="D418" s="4"/>
      <c r="E418" s="4"/>
      <c r="F418" s="4"/>
      <c r="G418" s="4"/>
      <c r="H418" s="4"/>
      <c r="I418" s="4"/>
      <c r="J418" s="4"/>
    </row>
    <row r="419" spans="1:10" s="1" customFormat="1" ht="13.5" customHeight="1"/>
    <row r="420" spans="1:10" ht="13.5" customHeight="1">
      <c r="A420" s="17"/>
      <c r="B420" s="17" t="s">
        <v>46</v>
      </c>
      <c r="C420" s="17"/>
      <c r="D420" s="17"/>
      <c r="E420" s="17" t="s">
        <v>47</v>
      </c>
      <c r="F420" s="17"/>
      <c r="G420" s="17"/>
      <c r="H420" s="17" t="s">
        <v>48</v>
      </c>
      <c r="I420" s="17"/>
      <c r="J420" s="17"/>
    </row>
    <row r="421" spans="1:10" s="1" customFormat="1" ht="13.5" customHeight="1">
      <c r="A421" s="49" t="s">
        <v>0</v>
      </c>
      <c r="B421" s="50"/>
      <c r="C421" s="50"/>
      <c r="D421" s="50"/>
      <c r="E421" s="50"/>
      <c r="F421" s="50"/>
      <c r="G421" s="50"/>
      <c r="H421" s="50"/>
      <c r="I421" s="50"/>
      <c r="J421" s="51"/>
    </row>
    <row r="422" spans="1:10" s="1" customFormat="1" ht="13.5" customHeight="1">
      <c r="A422" s="52" t="s">
        <v>1</v>
      </c>
      <c r="B422" s="53"/>
      <c r="C422" s="53"/>
      <c r="D422" s="53"/>
      <c r="E422" s="53"/>
      <c r="F422" s="53"/>
      <c r="G422" s="53"/>
      <c r="H422" s="53"/>
      <c r="I422" s="53"/>
      <c r="J422" s="54"/>
    </row>
    <row r="423" spans="1:10" s="1" customFormat="1" ht="13.5" customHeight="1">
      <c r="A423" s="2" t="s">
        <v>2</v>
      </c>
      <c r="B423" s="2"/>
      <c r="C423" s="55" t="s">
        <v>126</v>
      </c>
      <c r="D423" s="55"/>
      <c r="E423" s="3"/>
      <c r="F423" s="4"/>
      <c r="G423" s="2" t="s">
        <v>4</v>
      </c>
      <c r="H423" s="56" t="s">
        <v>5</v>
      </c>
      <c r="I423" s="56"/>
      <c r="J423" s="56"/>
    </row>
    <row r="424" spans="1:10" s="1" customFormat="1" ht="13.5" customHeight="1">
      <c r="A424" s="2" t="s">
        <v>6</v>
      </c>
      <c r="B424" s="2"/>
      <c r="C424" s="18" t="s">
        <v>131</v>
      </c>
      <c r="D424" s="18"/>
      <c r="E424" s="3"/>
      <c r="F424" s="4"/>
      <c r="G424" s="2" t="s">
        <v>8</v>
      </c>
      <c r="H424" s="57" t="s">
        <v>9</v>
      </c>
      <c r="I424" s="57"/>
      <c r="J424" s="57"/>
    </row>
    <row r="425" spans="1:10" s="1" customFormat="1" ht="13.5" customHeight="1">
      <c r="A425" s="5" t="s">
        <v>10</v>
      </c>
      <c r="B425" s="5"/>
      <c r="C425" s="55" t="s">
        <v>132</v>
      </c>
      <c r="D425" s="55"/>
      <c r="E425" s="3"/>
      <c r="F425" s="4"/>
      <c r="G425" s="2" t="s">
        <v>12</v>
      </c>
      <c r="H425" s="58" t="s">
        <v>13</v>
      </c>
      <c r="I425" s="58"/>
      <c r="J425" s="58"/>
    </row>
    <row r="426" spans="1:10" s="1" customFormat="1" ht="13.5" customHeight="1">
      <c r="A426" s="3" t="s">
        <v>14</v>
      </c>
      <c r="B426" s="3"/>
      <c r="C426" s="3" t="s">
        <v>15</v>
      </c>
      <c r="D426" s="3"/>
      <c r="E426" s="3"/>
      <c r="F426" s="4"/>
      <c r="G426" s="2" t="s">
        <v>16</v>
      </c>
      <c r="H426" s="59" t="s">
        <v>106</v>
      </c>
      <c r="I426" s="59"/>
      <c r="J426" s="59"/>
    </row>
    <row r="427" spans="1:10" s="1" customFormat="1" ht="13.5" customHeight="1">
      <c r="A427" s="3">
        <v>30</v>
      </c>
      <c r="B427" s="3"/>
      <c r="C427" s="3">
        <f>A427-H427</f>
        <v>0</v>
      </c>
      <c r="D427" s="3"/>
      <c r="E427" s="3"/>
      <c r="F427" s="4"/>
      <c r="G427" s="6" t="s">
        <v>18</v>
      </c>
      <c r="H427" s="29">
        <v>30</v>
      </c>
      <c r="I427" s="29"/>
      <c r="J427" s="29"/>
    </row>
    <row r="428" spans="1:10" s="1" customFormat="1" ht="13.5" customHeight="1">
      <c r="A428" s="30" t="s">
        <v>19</v>
      </c>
      <c r="B428" s="31"/>
      <c r="C428" s="32"/>
      <c r="D428" s="7" t="s">
        <v>20</v>
      </c>
      <c r="E428" s="8" t="s">
        <v>21</v>
      </c>
      <c r="F428" s="9"/>
      <c r="G428" s="10" t="s">
        <v>20</v>
      </c>
      <c r="H428" s="33" t="s">
        <v>22</v>
      </c>
      <c r="I428" s="34"/>
      <c r="J428" s="35"/>
    </row>
    <row r="429" spans="1:10" s="1" customFormat="1" ht="13.5" customHeight="1">
      <c r="A429" s="11" t="s">
        <v>23</v>
      </c>
      <c r="B429" s="2"/>
      <c r="C429" s="2"/>
      <c r="D429" s="3">
        <v>18000</v>
      </c>
      <c r="E429" s="11" t="s">
        <v>24</v>
      </c>
      <c r="F429" s="2"/>
      <c r="G429" s="3" t="s">
        <v>25</v>
      </c>
      <c r="H429" s="12" t="s">
        <v>26</v>
      </c>
      <c r="I429" s="5"/>
      <c r="J429" s="13"/>
    </row>
    <row r="430" spans="1:10" s="1" customFormat="1" ht="13.5" customHeight="1">
      <c r="A430" s="11" t="s">
        <v>27</v>
      </c>
      <c r="B430" s="36"/>
      <c r="C430" s="36"/>
      <c r="D430" s="3" t="s">
        <v>25</v>
      </c>
      <c r="E430" s="11" t="s">
        <v>29</v>
      </c>
      <c r="F430" s="2"/>
      <c r="G430" s="3" t="s">
        <v>25</v>
      </c>
      <c r="H430" s="12" t="s">
        <v>30</v>
      </c>
      <c r="I430" s="5"/>
      <c r="J430" s="13"/>
    </row>
    <row r="431" spans="1:10" s="1" customFormat="1" ht="13.5" customHeight="1">
      <c r="A431" s="11" t="s">
        <v>31</v>
      </c>
      <c r="B431" s="2"/>
      <c r="C431" s="2"/>
      <c r="D431" s="3" t="s">
        <v>25</v>
      </c>
      <c r="E431" s="11" t="s">
        <v>32</v>
      </c>
      <c r="F431" s="2"/>
      <c r="G431" s="3" t="s">
        <v>25</v>
      </c>
      <c r="H431" s="12" t="s">
        <v>33</v>
      </c>
      <c r="I431" s="5"/>
      <c r="J431" s="13"/>
    </row>
    <row r="432" spans="1:10" s="1" customFormat="1" ht="13.5" customHeight="1">
      <c r="A432" s="11" t="s">
        <v>34</v>
      </c>
      <c r="B432" s="2"/>
      <c r="C432" s="2"/>
      <c r="D432" s="3" t="s">
        <v>25</v>
      </c>
      <c r="E432" s="11" t="s">
        <v>35</v>
      </c>
      <c r="F432" s="2"/>
      <c r="G432" s="3" t="s">
        <v>25</v>
      </c>
      <c r="H432" s="12"/>
      <c r="I432" s="5"/>
      <c r="J432" s="13"/>
    </row>
    <row r="433" spans="1:10" s="1" customFormat="1" ht="13.5" customHeight="1">
      <c r="A433" s="11" t="s">
        <v>36</v>
      </c>
      <c r="B433" s="2"/>
      <c r="C433" s="2"/>
      <c r="D433" s="3" t="s">
        <v>25</v>
      </c>
      <c r="E433" s="11" t="s">
        <v>37</v>
      </c>
      <c r="F433" s="2"/>
      <c r="G433" s="3">
        <v>100</v>
      </c>
      <c r="H433" s="12"/>
      <c r="I433" s="5"/>
      <c r="J433" s="14"/>
    </row>
    <row r="434" spans="1:10" s="1" customFormat="1" ht="13.5" customHeight="1">
      <c r="A434" s="11" t="s">
        <v>38</v>
      </c>
      <c r="B434" s="2"/>
      <c r="C434" s="2"/>
      <c r="D434" s="3" t="s">
        <v>25</v>
      </c>
      <c r="E434" s="11" t="s">
        <v>39</v>
      </c>
      <c r="F434" s="2"/>
      <c r="G434" s="3" t="s">
        <v>25</v>
      </c>
      <c r="H434" s="12"/>
      <c r="I434" s="5"/>
      <c r="J434" s="14"/>
    </row>
    <row r="435" spans="1:10" s="1" customFormat="1" ht="13.5" customHeight="1">
      <c r="A435" s="12" t="s">
        <v>40</v>
      </c>
      <c r="B435" s="5"/>
      <c r="C435" s="5"/>
      <c r="D435" s="3" t="s">
        <v>25</v>
      </c>
      <c r="E435" s="11" t="s">
        <v>41</v>
      </c>
      <c r="F435" s="2"/>
      <c r="G435" s="3" t="s">
        <v>25</v>
      </c>
      <c r="H435" s="12"/>
      <c r="I435" s="5"/>
      <c r="J435" s="13"/>
    </row>
    <row r="436" spans="1:10" s="1" customFormat="1" ht="13.5" customHeight="1">
      <c r="A436" s="44" t="s">
        <v>42</v>
      </c>
      <c r="B436" s="45"/>
      <c r="C436" s="46"/>
      <c r="D436" s="42">
        <f>SUM(D429:D435)</f>
        <v>18000</v>
      </c>
      <c r="E436" s="2" t="s">
        <v>43</v>
      </c>
      <c r="F436" s="2"/>
      <c r="G436" s="3" t="s">
        <v>25</v>
      </c>
      <c r="H436" s="12"/>
      <c r="I436" s="5"/>
      <c r="J436" s="13"/>
    </row>
    <row r="437" spans="1:10" s="1" customFormat="1" ht="13.5" customHeight="1">
      <c r="A437" s="47"/>
      <c r="B437" s="29"/>
      <c r="C437" s="48"/>
      <c r="D437" s="43"/>
      <c r="E437" s="15" t="s">
        <v>21</v>
      </c>
      <c r="F437" s="16"/>
      <c r="G437" s="7">
        <f>SUM(G429:G436)</f>
        <v>100</v>
      </c>
      <c r="H437" s="15" t="s">
        <v>44</v>
      </c>
      <c r="I437" s="16"/>
      <c r="J437" s="7">
        <f>D436-G437</f>
        <v>17900</v>
      </c>
    </row>
    <row r="438" spans="1:10" s="1" customFormat="1" ht="13.5" customHeight="1">
      <c r="A438" s="4" t="s">
        <v>45</v>
      </c>
      <c r="B438" s="4"/>
      <c r="C438" s="4"/>
      <c r="D438" s="4"/>
      <c r="E438" s="4"/>
      <c r="F438" s="4"/>
      <c r="G438" s="4"/>
      <c r="H438" s="4"/>
      <c r="I438" s="4"/>
      <c r="J438" s="4"/>
    </row>
    <row r="439" spans="1:10" s="1" customFormat="1" ht="13.5" customHeight="1"/>
    <row r="440" spans="1:10" ht="13.5" customHeight="1">
      <c r="A440" s="17"/>
      <c r="B440" s="17" t="s">
        <v>46</v>
      </c>
      <c r="C440" s="17"/>
      <c r="D440" s="17"/>
      <c r="E440" s="17" t="s">
        <v>47</v>
      </c>
      <c r="F440" s="17"/>
      <c r="G440" s="17"/>
      <c r="H440" s="17" t="s">
        <v>48</v>
      </c>
      <c r="I440" s="17"/>
      <c r="J440" s="17"/>
    </row>
    <row r="441" spans="1:10" s="1" customFormat="1" ht="13.5" customHeight="1">
      <c r="A441" s="49" t="s">
        <v>0</v>
      </c>
      <c r="B441" s="50"/>
      <c r="C441" s="50"/>
      <c r="D441" s="50"/>
      <c r="E441" s="50"/>
      <c r="F441" s="50"/>
      <c r="G441" s="50"/>
      <c r="H441" s="50"/>
      <c r="I441" s="50"/>
      <c r="J441" s="51"/>
    </row>
    <row r="442" spans="1:10" s="1" customFormat="1" ht="13.5" customHeight="1">
      <c r="A442" s="52" t="s">
        <v>1</v>
      </c>
      <c r="B442" s="53"/>
      <c r="C442" s="53"/>
      <c r="D442" s="53"/>
      <c r="E442" s="53"/>
      <c r="F442" s="53"/>
      <c r="G442" s="53"/>
      <c r="H442" s="53"/>
      <c r="I442" s="53"/>
      <c r="J442" s="54"/>
    </row>
    <row r="443" spans="1:10" s="1" customFormat="1" ht="13.5" customHeight="1">
      <c r="A443" s="2" t="s">
        <v>2</v>
      </c>
      <c r="B443" s="2"/>
      <c r="C443" s="55"/>
      <c r="D443" s="55"/>
      <c r="E443" s="3"/>
      <c r="F443" s="4"/>
      <c r="G443" s="2" t="s">
        <v>4</v>
      </c>
      <c r="H443" s="56" t="s">
        <v>5</v>
      </c>
      <c r="I443" s="56"/>
      <c r="J443" s="56"/>
    </row>
    <row r="444" spans="1:10" s="1" customFormat="1" ht="13.5" customHeight="1">
      <c r="A444" s="2" t="s">
        <v>6</v>
      </c>
      <c r="B444" s="2"/>
      <c r="C444" s="18" t="s">
        <v>133</v>
      </c>
      <c r="D444" s="18"/>
      <c r="E444" s="3"/>
      <c r="F444" s="4"/>
      <c r="G444" s="2" t="s">
        <v>8</v>
      </c>
      <c r="H444" s="57" t="s">
        <v>9</v>
      </c>
      <c r="I444" s="57"/>
      <c r="J444" s="57"/>
    </row>
    <row r="445" spans="1:10" s="1" customFormat="1" ht="13.5" customHeight="1">
      <c r="A445" s="5" t="s">
        <v>10</v>
      </c>
      <c r="B445" s="5"/>
      <c r="C445" s="55" t="s">
        <v>134</v>
      </c>
      <c r="D445" s="55"/>
      <c r="E445" s="3"/>
      <c r="F445" s="4"/>
      <c r="G445" s="2" t="s">
        <v>12</v>
      </c>
      <c r="H445" s="58" t="s">
        <v>13</v>
      </c>
      <c r="I445" s="58"/>
      <c r="J445" s="58"/>
    </row>
    <row r="446" spans="1:10" s="1" customFormat="1" ht="13.5" customHeight="1">
      <c r="A446" s="3" t="s">
        <v>14</v>
      </c>
      <c r="B446" s="3"/>
      <c r="C446" s="3" t="s">
        <v>15</v>
      </c>
      <c r="D446" s="3"/>
      <c r="E446" s="3"/>
      <c r="F446" s="4"/>
      <c r="G446" s="2" t="s">
        <v>16</v>
      </c>
      <c r="H446" s="59" t="s">
        <v>106</v>
      </c>
      <c r="I446" s="59"/>
      <c r="J446" s="59"/>
    </row>
    <row r="447" spans="1:10" s="1" customFormat="1" ht="13.5" customHeight="1">
      <c r="A447" s="3">
        <v>30</v>
      </c>
      <c r="B447" s="3"/>
      <c r="C447" s="3">
        <f>A447-H447</f>
        <v>0</v>
      </c>
      <c r="D447" s="3"/>
      <c r="E447" s="3"/>
      <c r="F447" s="4"/>
      <c r="G447" s="6" t="s">
        <v>18</v>
      </c>
      <c r="H447" s="29">
        <v>30</v>
      </c>
      <c r="I447" s="29"/>
      <c r="J447" s="29"/>
    </row>
    <row r="448" spans="1:10" s="1" customFormat="1" ht="13.5" customHeight="1">
      <c r="A448" s="30" t="s">
        <v>19</v>
      </c>
      <c r="B448" s="31"/>
      <c r="C448" s="32"/>
      <c r="D448" s="7" t="s">
        <v>20</v>
      </c>
      <c r="E448" s="8" t="s">
        <v>21</v>
      </c>
      <c r="F448" s="9"/>
      <c r="G448" s="10" t="s">
        <v>20</v>
      </c>
      <c r="H448" s="33" t="s">
        <v>22</v>
      </c>
      <c r="I448" s="34"/>
      <c r="J448" s="35"/>
    </row>
    <row r="449" spans="1:10" s="1" customFormat="1" ht="13.5" customHeight="1">
      <c r="A449" s="11" t="s">
        <v>23</v>
      </c>
      <c r="B449" s="2"/>
      <c r="C449" s="2"/>
      <c r="D449" s="3">
        <v>20000</v>
      </c>
      <c r="E449" s="11" t="s">
        <v>24</v>
      </c>
      <c r="F449" s="2"/>
      <c r="G449" s="3" t="s">
        <v>25</v>
      </c>
      <c r="H449" s="12" t="s">
        <v>26</v>
      </c>
      <c r="I449" s="5"/>
      <c r="J449" s="13"/>
    </row>
    <row r="450" spans="1:10" s="1" customFormat="1" ht="13.5" customHeight="1">
      <c r="A450" s="11" t="s">
        <v>27</v>
      </c>
      <c r="B450" s="36" t="s">
        <v>72</v>
      </c>
      <c r="C450" s="36"/>
      <c r="D450" s="3">
        <v>2000</v>
      </c>
      <c r="E450" s="11" t="s">
        <v>29</v>
      </c>
      <c r="F450" s="2"/>
      <c r="G450" s="3" t="s">
        <v>25</v>
      </c>
      <c r="H450" s="12" t="s">
        <v>30</v>
      </c>
      <c r="I450" s="5"/>
      <c r="J450" s="13"/>
    </row>
    <row r="451" spans="1:10" s="1" customFormat="1" ht="13.5" customHeight="1">
      <c r="A451" s="11" t="s">
        <v>31</v>
      </c>
      <c r="B451" s="2"/>
      <c r="C451" s="2"/>
      <c r="D451" s="3" t="s">
        <v>25</v>
      </c>
      <c r="E451" s="11" t="s">
        <v>32</v>
      </c>
      <c r="F451" s="2"/>
      <c r="G451" s="3">
        <v>5000</v>
      </c>
      <c r="H451" s="12" t="s">
        <v>33</v>
      </c>
      <c r="I451" s="5"/>
      <c r="J451" s="13"/>
    </row>
    <row r="452" spans="1:10" s="1" customFormat="1" ht="13.5" customHeight="1">
      <c r="A452" s="11" t="s">
        <v>34</v>
      </c>
      <c r="B452" s="2"/>
      <c r="C452" s="2"/>
      <c r="D452" s="3" t="s">
        <v>25</v>
      </c>
      <c r="E452" s="11" t="s">
        <v>35</v>
      </c>
      <c r="F452" s="2"/>
      <c r="G452" s="3" t="s">
        <v>25</v>
      </c>
      <c r="H452" s="12"/>
      <c r="I452" s="5"/>
      <c r="J452" s="13"/>
    </row>
    <row r="453" spans="1:10" s="1" customFormat="1" ht="13.5" customHeight="1">
      <c r="A453" s="11" t="s">
        <v>36</v>
      </c>
      <c r="B453" s="2"/>
      <c r="C453" s="2"/>
      <c r="D453" s="3" t="s">
        <v>25</v>
      </c>
      <c r="E453" s="11" t="s">
        <v>37</v>
      </c>
      <c r="F453" s="2"/>
      <c r="G453" s="3">
        <v>100</v>
      </c>
      <c r="H453" s="12" t="s">
        <v>135</v>
      </c>
      <c r="I453" s="5"/>
      <c r="J453" s="14"/>
    </row>
    <row r="454" spans="1:10" s="1" customFormat="1" ht="13.5" customHeight="1">
      <c r="A454" s="11" t="s">
        <v>38</v>
      </c>
      <c r="B454" s="2"/>
      <c r="C454" s="2"/>
      <c r="D454" s="3" t="s">
        <v>25</v>
      </c>
      <c r="E454" s="11" t="s">
        <v>39</v>
      </c>
      <c r="F454" s="2"/>
      <c r="G454" s="3" t="s">
        <v>25</v>
      </c>
      <c r="H454" s="12" t="s">
        <v>118</v>
      </c>
      <c r="I454" s="5"/>
      <c r="J454" s="14"/>
    </row>
    <row r="455" spans="1:10" s="1" customFormat="1" ht="13.5" customHeight="1">
      <c r="A455" s="12" t="s">
        <v>40</v>
      </c>
      <c r="B455" s="5"/>
      <c r="C455" s="5"/>
      <c r="D455" s="3" t="s">
        <v>25</v>
      </c>
      <c r="E455" s="11" t="s">
        <v>41</v>
      </c>
      <c r="F455" s="2"/>
      <c r="G455" s="3" t="s">
        <v>25</v>
      </c>
      <c r="H455" s="12" t="s">
        <v>136</v>
      </c>
      <c r="I455" s="5"/>
      <c r="J455" s="13"/>
    </row>
    <row r="456" spans="1:10" s="1" customFormat="1" ht="13.5" customHeight="1">
      <c r="A456" s="44" t="s">
        <v>42</v>
      </c>
      <c r="B456" s="45"/>
      <c r="C456" s="46"/>
      <c r="D456" s="42">
        <f>SUM(D449:D455)</f>
        <v>22000</v>
      </c>
      <c r="E456" s="2" t="s">
        <v>43</v>
      </c>
      <c r="F456" s="2"/>
      <c r="G456" s="3" t="s">
        <v>25</v>
      </c>
      <c r="H456" s="12"/>
      <c r="I456" s="5"/>
      <c r="J456" s="13"/>
    </row>
    <row r="457" spans="1:10" s="1" customFormat="1" ht="13.5" customHeight="1">
      <c r="A457" s="47"/>
      <c r="B457" s="29"/>
      <c r="C457" s="48"/>
      <c r="D457" s="43"/>
      <c r="E457" s="15" t="s">
        <v>21</v>
      </c>
      <c r="F457" s="16"/>
      <c r="G457" s="7">
        <f>SUM(G449:G456)</f>
        <v>5100</v>
      </c>
      <c r="H457" s="15" t="s">
        <v>44</v>
      </c>
      <c r="I457" s="16"/>
      <c r="J457" s="7">
        <f>D456-G457</f>
        <v>16900</v>
      </c>
    </row>
    <row r="458" spans="1:10" s="1" customFormat="1" ht="13.5" customHeight="1">
      <c r="A458" s="4" t="s">
        <v>45</v>
      </c>
      <c r="B458" s="4"/>
      <c r="C458" s="4"/>
      <c r="D458" s="4"/>
      <c r="E458" s="4"/>
      <c r="F458" s="4"/>
      <c r="G458" s="4"/>
      <c r="H458" s="4"/>
      <c r="I458" s="4"/>
      <c r="J458" s="4"/>
    </row>
    <row r="459" spans="1:10" s="1" customFormat="1" ht="13.5" customHeight="1"/>
    <row r="460" spans="1:10" ht="13.5" customHeight="1">
      <c r="A460" s="17"/>
      <c r="B460" s="17" t="s">
        <v>46</v>
      </c>
      <c r="C460" s="17"/>
      <c r="D460" s="17"/>
      <c r="E460" s="17" t="s">
        <v>47</v>
      </c>
      <c r="F460" s="17"/>
      <c r="G460" s="17"/>
      <c r="H460" s="17" t="s">
        <v>48</v>
      </c>
      <c r="I460" s="17"/>
      <c r="J460" s="17"/>
    </row>
    <row r="461" spans="1:10" s="1" customFormat="1" ht="13.5" customHeight="1">
      <c r="A461" s="49" t="s">
        <v>0</v>
      </c>
      <c r="B461" s="50"/>
      <c r="C461" s="50"/>
      <c r="D461" s="50"/>
      <c r="E461" s="50"/>
      <c r="F461" s="50"/>
      <c r="G461" s="50"/>
      <c r="H461" s="50"/>
      <c r="I461" s="50"/>
      <c r="J461" s="51"/>
    </row>
    <row r="462" spans="1:10" s="1" customFormat="1" ht="13.5" customHeight="1">
      <c r="A462" s="52" t="s">
        <v>1</v>
      </c>
      <c r="B462" s="53"/>
      <c r="C462" s="53"/>
      <c r="D462" s="53"/>
      <c r="E462" s="53"/>
      <c r="F462" s="53"/>
      <c r="G462" s="53"/>
      <c r="H462" s="53"/>
      <c r="I462" s="53"/>
      <c r="J462" s="54"/>
    </row>
    <row r="463" spans="1:10" s="1" customFormat="1" ht="13.5" customHeight="1">
      <c r="A463" s="2" t="s">
        <v>2</v>
      </c>
      <c r="B463" s="2"/>
      <c r="C463" s="55"/>
      <c r="D463" s="55"/>
      <c r="E463" s="3"/>
      <c r="F463" s="4"/>
      <c r="G463" s="2" t="s">
        <v>4</v>
      </c>
      <c r="H463" s="56" t="s">
        <v>5</v>
      </c>
      <c r="I463" s="56"/>
      <c r="J463" s="56"/>
    </row>
    <row r="464" spans="1:10" s="1" customFormat="1" ht="13.5" customHeight="1">
      <c r="A464" s="2" t="s">
        <v>6</v>
      </c>
      <c r="B464" s="2"/>
      <c r="C464" s="18" t="s">
        <v>137</v>
      </c>
      <c r="D464" s="18"/>
      <c r="E464" s="3"/>
      <c r="F464" s="4"/>
      <c r="G464" s="2" t="s">
        <v>8</v>
      </c>
      <c r="H464" s="57" t="s">
        <v>9</v>
      </c>
      <c r="I464" s="57"/>
      <c r="J464" s="57"/>
    </row>
    <row r="465" spans="1:10" s="1" customFormat="1" ht="13.5" customHeight="1">
      <c r="A465" s="5" t="s">
        <v>10</v>
      </c>
      <c r="B465" s="5"/>
      <c r="C465" s="55" t="s">
        <v>138</v>
      </c>
      <c r="D465" s="55"/>
      <c r="E465" s="3"/>
      <c r="F465" s="4"/>
      <c r="G465" s="2" t="s">
        <v>12</v>
      </c>
      <c r="H465" s="58" t="s">
        <v>13</v>
      </c>
      <c r="I465" s="58"/>
      <c r="J465" s="58"/>
    </row>
    <row r="466" spans="1:10" s="1" customFormat="1" ht="13.5" customHeight="1">
      <c r="A466" s="3" t="s">
        <v>14</v>
      </c>
      <c r="B466" s="3"/>
      <c r="C466" s="3" t="s">
        <v>15</v>
      </c>
      <c r="D466" s="3"/>
      <c r="E466" s="3"/>
      <c r="F466" s="4"/>
      <c r="G466" s="2" t="s">
        <v>16</v>
      </c>
      <c r="H466" s="59" t="s">
        <v>71</v>
      </c>
      <c r="I466" s="59"/>
      <c r="J466" s="59"/>
    </row>
    <row r="467" spans="1:10" s="1" customFormat="1" ht="13.5" customHeight="1">
      <c r="A467" s="3">
        <v>30</v>
      </c>
      <c r="B467" s="3"/>
      <c r="C467" s="3">
        <f>A467-H467</f>
        <v>0</v>
      </c>
      <c r="D467" s="3"/>
      <c r="E467" s="3"/>
      <c r="F467" s="4"/>
      <c r="G467" s="6" t="s">
        <v>18</v>
      </c>
      <c r="H467" s="29">
        <v>30</v>
      </c>
      <c r="I467" s="29"/>
      <c r="J467" s="29"/>
    </row>
    <row r="468" spans="1:10" s="1" customFormat="1" ht="13.5" customHeight="1">
      <c r="A468" s="30" t="s">
        <v>19</v>
      </c>
      <c r="B468" s="31"/>
      <c r="C468" s="32"/>
      <c r="D468" s="7" t="s">
        <v>20</v>
      </c>
      <c r="E468" s="8" t="s">
        <v>21</v>
      </c>
      <c r="F468" s="9"/>
      <c r="G468" s="10" t="s">
        <v>20</v>
      </c>
      <c r="H468" s="33" t="s">
        <v>22</v>
      </c>
      <c r="I468" s="34"/>
      <c r="J468" s="35"/>
    </row>
    <row r="469" spans="1:10" s="1" customFormat="1" ht="13.5" customHeight="1">
      <c r="A469" s="11" t="s">
        <v>23</v>
      </c>
      <c r="B469" s="2"/>
      <c r="C469" s="2"/>
      <c r="D469" s="3">
        <v>15000</v>
      </c>
      <c r="E469" s="11" t="s">
        <v>24</v>
      </c>
      <c r="F469" s="2"/>
      <c r="G469" s="3" t="s">
        <v>25</v>
      </c>
      <c r="H469" s="12" t="s">
        <v>26</v>
      </c>
      <c r="I469" s="5"/>
      <c r="J469" s="13"/>
    </row>
    <row r="470" spans="1:10" s="1" customFormat="1" ht="13.5" customHeight="1">
      <c r="A470" s="11" t="s">
        <v>27</v>
      </c>
      <c r="B470" s="36"/>
      <c r="C470" s="36"/>
      <c r="D470" s="3" t="s">
        <v>25</v>
      </c>
      <c r="E470" s="11" t="s">
        <v>29</v>
      </c>
      <c r="F470" s="2"/>
      <c r="G470" s="3" t="s">
        <v>25</v>
      </c>
      <c r="H470" s="12" t="s">
        <v>30</v>
      </c>
      <c r="I470" s="5"/>
      <c r="J470" s="13"/>
    </row>
    <row r="471" spans="1:10" s="1" customFormat="1" ht="13.5" customHeight="1">
      <c r="A471" s="11" t="s">
        <v>31</v>
      </c>
      <c r="B471" s="2"/>
      <c r="C471" s="2"/>
      <c r="D471" s="3" t="s">
        <v>25</v>
      </c>
      <c r="E471" s="11" t="s">
        <v>32</v>
      </c>
      <c r="F471" s="2"/>
      <c r="G471" s="3" t="s">
        <v>25</v>
      </c>
      <c r="H471" s="12" t="s">
        <v>33</v>
      </c>
      <c r="I471" s="5"/>
      <c r="J471" s="13"/>
    </row>
    <row r="472" spans="1:10" s="1" customFormat="1" ht="13.5" customHeight="1">
      <c r="A472" s="11" t="s">
        <v>34</v>
      </c>
      <c r="B472" s="2"/>
      <c r="C472" s="2"/>
      <c r="D472" s="3" t="s">
        <v>25</v>
      </c>
      <c r="E472" s="11" t="s">
        <v>35</v>
      </c>
      <c r="F472" s="2"/>
      <c r="G472" s="3" t="s">
        <v>25</v>
      </c>
      <c r="H472" s="12"/>
      <c r="I472" s="5"/>
      <c r="J472" s="13"/>
    </row>
    <row r="473" spans="1:10" s="1" customFormat="1" ht="13.5" customHeight="1">
      <c r="A473" s="11" t="s">
        <v>36</v>
      </c>
      <c r="B473" s="2"/>
      <c r="C473" s="2"/>
      <c r="D473" s="3" t="s">
        <v>25</v>
      </c>
      <c r="E473" s="11" t="s">
        <v>37</v>
      </c>
      <c r="F473" s="2"/>
      <c r="G473" s="3">
        <v>100</v>
      </c>
      <c r="H473" s="12"/>
      <c r="I473" s="5"/>
      <c r="J473" s="14"/>
    </row>
    <row r="474" spans="1:10" s="1" customFormat="1" ht="13.5" customHeight="1">
      <c r="A474" s="11" t="s">
        <v>38</v>
      </c>
      <c r="B474" s="2"/>
      <c r="C474" s="2"/>
      <c r="D474" s="3" t="s">
        <v>25</v>
      </c>
      <c r="E474" s="11" t="s">
        <v>39</v>
      </c>
      <c r="F474" s="2"/>
      <c r="G474" s="3" t="s">
        <v>25</v>
      </c>
      <c r="H474" s="12"/>
      <c r="I474" s="5"/>
      <c r="J474" s="14"/>
    </row>
    <row r="475" spans="1:10" s="1" customFormat="1" ht="13.5" customHeight="1">
      <c r="A475" s="12" t="s">
        <v>40</v>
      </c>
      <c r="B475" s="5"/>
      <c r="C475" s="5"/>
      <c r="D475" s="3" t="s">
        <v>25</v>
      </c>
      <c r="E475" s="11" t="s">
        <v>41</v>
      </c>
      <c r="F475" s="2"/>
      <c r="G475" s="3" t="s">
        <v>25</v>
      </c>
      <c r="H475" s="12"/>
      <c r="I475" s="5"/>
      <c r="J475" s="13"/>
    </row>
    <row r="476" spans="1:10" s="1" customFormat="1" ht="13.5" customHeight="1">
      <c r="A476" s="44" t="s">
        <v>42</v>
      </c>
      <c r="B476" s="45"/>
      <c r="C476" s="46"/>
      <c r="D476" s="42">
        <f>SUM(D469:D475)</f>
        <v>15000</v>
      </c>
      <c r="E476" s="2" t="s">
        <v>43</v>
      </c>
      <c r="F476" s="2"/>
      <c r="G476" s="3" t="s">
        <v>25</v>
      </c>
      <c r="H476" s="12"/>
      <c r="I476" s="5"/>
      <c r="J476" s="13"/>
    </row>
    <row r="477" spans="1:10" s="1" customFormat="1" ht="13.5" customHeight="1">
      <c r="A477" s="47"/>
      <c r="B477" s="29"/>
      <c r="C477" s="48"/>
      <c r="D477" s="43"/>
      <c r="E477" s="15" t="s">
        <v>21</v>
      </c>
      <c r="F477" s="16"/>
      <c r="G477" s="7">
        <f>SUM(G469:G476)</f>
        <v>100</v>
      </c>
      <c r="H477" s="15" t="s">
        <v>44</v>
      </c>
      <c r="I477" s="16"/>
      <c r="J477" s="7">
        <f>D476-G477</f>
        <v>14900</v>
      </c>
    </row>
    <row r="478" spans="1:10" s="1" customFormat="1" ht="13.5" customHeight="1">
      <c r="A478" s="4" t="s">
        <v>45</v>
      </c>
      <c r="B478" s="4"/>
      <c r="C478" s="4"/>
      <c r="D478" s="4"/>
      <c r="E478" s="4"/>
      <c r="F478" s="4"/>
      <c r="G478" s="4"/>
      <c r="H478" s="4"/>
      <c r="I478" s="4"/>
      <c r="J478" s="4"/>
    </row>
    <row r="479" spans="1:10" s="1" customFormat="1" ht="13.5" customHeight="1"/>
    <row r="480" spans="1:10" ht="13.5" customHeight="1">
      <c r="A480" s="17"/>
      <c r="B480" s="17" t="s">
        <v>46</v>
      </c>
      <c r="C480" s="17"/>
      <c r="D480" s="17"/>
      <c r="E480" s="17" t="s">
        <v>47</v>
      </c>
      <c r="F480" s="17"/>
      <c r="G480" s="17"/>
      <c r="H480" s="17" t="s">
        <v>48</v>
      </c>
      <c r="I480" s="17"/>
      <c r="J480" s="17"/>
    </row>
    <row r="481" spans="1:10" s="1" customFormat="1" ht="13.5" customHeight="1">
      <c r="A481" s="49" t="s">
        <v>0</v>
      </c>
      <c r="B481" s="50"/>
      <c r="C481" s="50"/>
      <c r="D481" s="50"/>
      <c r="E481" s="50"/>
      <c r="F481" s="50"/>
      <c r="G481" s="50"/>
      <c r="H481" s="50"/>
      <c r="I481" s="50"/>
      <c r="J481" s="51"/>
    </row>
    <row r="482" spans="1:10" s="1" customFormat="1" ht="13.5" customHeight="1">
      <c r="A482" s="52" t="s">
        <v>1</v>
      </c>
      <c r="B482" s="53"/>
      <c r="C482" s="53"/>
      <c r="D482" s="53"/>
      <c r="E482" s="53"/>
      <c r="F482" s="53"/>
      <c r="G482" s="53"/>
      <c r="H482" s="53"/>
      <c r="I482" s="53"/>
      <c r="J482" s="54"/>
    </row>
    <row r="483" spans="1:10" s="1" customFormat="1" ht="13.5" customHeight="1">
      <c r="A483" s="2" t="s">
        <v>2</v>
      </c>
      <c r="B483" s="2"/>
      <c r="C483" s="55"/>
      <c r="D483" s="55"/>
      <c r="E483" s="3"/>
      <c r="F483" s="4"/>
      <c r="G483" s="2" t="s">
        <v>4</v>
      </c>
      <c r="H483" s="56" t="s">
        <v>5</v>
      </c>
      <c r="I483" s="56"/>
      <c r="J483" s="56"/>
    </row>
    <row r="484" spans="1:10" s="1" customFormat="1" ht="13.5" customHeight="1">
      <c r="A484" s="2" t="s">
        <v>6</v>
      </c>
      <c r="B484" s="2"/>
      <c r="C484" s="18" t="s">
        <v>139</v>
      </c>
      <c r="D484" s="18"/>
      <c r="E484" s="3"/>
      <c r="F484" s="4"/>
      <c r="G484" s="2" t="s">
        <v>8</v>
      </c>
      <c r="H484" s="57" t="s">
        <v>9</v>
      </c>
      <c r="I484" s="57"/>
      <c r="J484" s="57"/>
    </row>
    <row r="485" spans="1:10" s="1" customFormat="1" ht="13.5" customHeight="1">
      <c r="A485" s="5" t="s">
        <v>10</v>
      </c>
      <c r="B485" s="5"/>
      <c r="C485" s="55" t="s">
        <v>140</v>
      </c>
      <c r="D485" s="55"/>
      <c r="E485" s="3"/>
      <c r="F485" s="4"/>
      <c r="G485" s="2" t="s">
        <v>12</v>
      </c>
      <c r="H485" s="58" t="s">
        <v>13</v>
      </c>
      <c r="I485" s="58"/>
      <c r="J485" s="58"/>
    </row>
    <row r="486" spans="1:10" s="1" customFormat="1" ht="13.5" customHeight="1">
      <c r="A486" s="3" t="s">
        <v>14</v>
      </c>
      <c r="B486" s="3"/>
      <c r="C486" s="3" t="s">
        <v>15</v>
      </c>
      <c r="D486" s="3"/>
      <c r="E486" s="3"/>
      <c r="F486" s="4"/>
      <c r="G486" s="2" t="s">
        <v>16</v>
      </c>
      <c r="H486" s="59" t="s">
        <v>141</v>
      </c>
      <c r="I486" s="59"/>
      <c r="J486" s="59"/>
    </row>
    <row r="487" spans="1:10" s="1" customFormat="1" ht="13.5" customHeight="1">
      <c r="A487" s="3">
        <v>30</v>
      </c>
      <c r="B487" s="3"/>
      <c r="C487" s="3">
        <f>A487-H487</f>
        <v>5</v>
      </c>
      <c r="D487" s="3"/>
      <c r="E487" s="3"/>
      <c r="F487" s="4"/>
      <c r="G487" s="6" t="s">
        <v>18</v>
      </c>
      <c r="H487" s="29">
        <v>25</v>
      </c>
      <c r="I487" s="29"/>
      <c r="J487" s="29"/>
    </row>
    <row r="488" spans="1:10" s="1" customFormat="1" ht="13.5" customHeight="1">
      <c r="A488" s="30" t="s">
        <v>19</v>
      </c>
      <c r="B488" s="31"/>
      <c r="C488" s="32"/>
      <c r="D488" s="7" t="s">
        <v>20</v>
      </c>
      <c r="E488" s="8" t="s">
        <v>21</v>
      </c>
      <c r="F488" s="9"/>
      <c r="G488" s="10" t="s">
        <v>20</v>
      </c>
      <c r="H488" s="33" t="s">
        <v>22</v>
      </c>
      <c r="I488" s="34"/>
      <c r="J488" s="35"/>
    </row>
    <row r="489" spans="1:10" s="1" customFormat="1" ht="13.5" customHeight="1">
      <c r="A489" s="11" t="s">
        <v>23</v>
      </c>
      <c r="B489" s="2"/>
      <c r="C489" s="2"/>
      <c r="D489" s="3">
        <v>18000</v>
      </c>
      <c r="E489" s="11" t="s">
        <v>24</v>
      </c>
      <c r="F489" s="2"/>
      <c r="G489" s="3" t="s">
        <v>25</v>
      </c>
      <c r="H489" s="12" t="s">
        <v>26</v>
      </c>
      <c r="I489" s="5"/>
      <c r="J489" s="13"/>
    </row>
    <row r="490" spans="1:10" s="1" customFormat="1" ht="13.5" customHeight="1">
      <c r="A490" s="11" t="s">
        <v>27</v>
      </c>
      <c r="B490" s="36"/>
      <c r="C490" s="36"/>
      <c r="D490" s="3" t="s">
        <v>25</v>
      </c>
      <c r="E490" s="11" t="s">
        <v>29</v>
      </c>
      <c r="F490" s="2"/>
      <c r="G490" s="3" t="s">
        <v>25</v>
      </c>
      <c r="H490" s="12" t="s">
        <v>30</v>
      </c>
      <c r="I490" s="5"/>
      <c r="J490" s="13"/>
    </row>
    <row r="491" spans="1:10" s="1" customFormat="1" ht="13.5" customHeight="1">
      <c r="A491" s="11" t="s">
        <v>31</v>
      </c>
      <c r="B491" s="2"/>
      <c r="C491" s="2"/>
      <c r="D491" s="3" t="s">
        <v>25</v>
      </c>
      <c r="E491" s="11" t="s">
        <v>32</v>
      </c>
      <c r="F491" s="2"/>
      <c r="G491" s="3" t="s">
        <v>25</v>
      </c>
      <c r="H491" s="12" t="s">
        <v>33</v>
      </c>
      <c r="I491" s="5"/>
      <c r="J491" s="13"/>
    </row>
    <row r="492" spans="1:10" s="1" customFormat="1" ht="13.5" customHeight="1">
      <c r="A492" s="11" t="s">
        <v>34</v>
      </c>
      <c r="B492" s="2"/>
      <c r="C492" s="2"/>
      <c r="D492" s="3" t="s">
        <v>25</v>
      </c>
      <c r="E492" s="11" t="s">
        <v>35</v>
      </c>
      <c r="F492" s="2"/>
      <c r="G492" s="3">
        <v>3000</v>
      </c>
      <c r="H492" s="12"/>
      <c r="I492" s="5"/>
      <c r="J492" s="13"/>
    </row>
    <row r="493" spans="1:10" s="1" customFormat="1" ht="13.5" customHeight="1">
      <c r="A493" s="11" t="s">
        <v>36</v>
      </c>
      <c r="B493" s="2"/>
      <c r="C493" s="2"/>
      <c r="D493" s="3" t="s">
        <v>25</v>
      </c>
      <c r="E493" s="11" t="s">
        <v>37</v>
      </c>
      <c r="F493" s="2"/>
      <c r="G493" s="3">
        <v>100</v>
      </c>
      <c r="H493" s="12"/>
      <c r="I493" s="5"/>
      <c r="J493" s="14"/>
    </row>
    <row r="494" spans="1:10" s="1" customFormat="1" ht="13.5" customHeight="1">
      <c r="A494" s="11" t="s">
        <v>38</v>
      </c>
      <c r="B494" s="2"/>
      <c r="C494" s="2"/>
      <c r="D494" s="3" t="s">
        <v>25</v>
      </c>
      <c r="E494" s="11" t="s">
        <v>39</v>
      </c>
      <c r="F494" s="2"/>
      <c r="G494" s="3" t="s">
        <v>25</v>
      </c>
      <c r="H494" s="12"/>
      <c r="I494" s="5"/>
      <c r="J494" s="14"/>
    </row>
    <row r="495" spans="1:10" s="1" customFormat="1" ht="13.5" customHeight="1">
      <c r="A495" s="12" t="s">
        <v>40</v>
      </c>
      <c r="B495" s="5"/>
      <c r="C495" s="5"/>
      <c r="D495" s="3" t="s">
        <v>25</v>
      </c>
      <c r="E495" s="11" t="s">
        <v>41</v>
      </c>
      <c r="F495" s="2"/>
      <c r="G495" s="3" t="s">
        <v>25</v>
      </c>
      <c r="H495" s="12"/>
      <c r="I495" s="5"/>
      <c r="J495" s="13"/>
    </row>
    <row r="496" spans="1:10" s="1" customFormat="1" ht="13.5" customHeight="1">
      <c r="A496" s="44" t="s">
        <v>42</v>
      </c>
      <c r="B496" s="45"/>
      <c r="C496" s="46"/>
      <c r="D496" s="42">
        <f>SUM(D489:D495)</f>
        <v>18000</v>
      </c>
      <c r="E496" s="2" t="s">
        <v>43</v>
      </c>
      <c r="F496" s="2"/>
      <c r="G496" s="3" t="s">
        <v>25</v>
      </c>
      <c r="H496" s="12"/>
      <c r="I496" s="5"/>
      <c r="J496" s="13"/>
    </row>
    <row r="497" spans="1:10" s="1" customFormat="1" ht="13.5" customHeight="1">
      <c r="A497" s="47"/>
      <c r="B497" s="29"/>
      <c r="C497" s="48"/>
      <c r="D497" s="43"/>
      <c r="E497" s="15" t="s">
        <v>21</v>
      </c>
      <c r="F497" s="16"/>
      <c r="G497" s="7">
        <f>SUM(G489:G496)</f>
        <v>3100</v>
      </c>
      <c r="H497" s="15" t="s">
        <v>44</v>
      </c>
      <c r="I497" s="16"/>
      <c r="J497" s="7">
        <f>D496-G497</f>
        <v>14900</v>
      </c>
    </row>
    <row r="498" spans="1:10" s="1" customFormat="1" ht="13.5" customHeight="1">
      <c r="A498" s="4" t="s">
        <v>45</v>
      </c>
      <c r="B498" s="4"/>
      <c r="C498" s="4"/>
      <c r="D498" s="4"/>
      <c r="E498" s="4"/>
      <c r="F498" s="4"/>
      <c r="G498" s="4"/>
      <c r="H498" s="4"/>
      <c r="I498" s="4"/>
      <c r="J498" s="4"/>
    </row>
    <row r="499" spans="1:10" s="1" customFormat="1" ht="13.5" customHeight="1"/>
    <row r="500" spans="1:10" ht="13.5" customHeight="1">
      <c r="A500" s="17"/>
      <c r="B500" s="17" t="s">
        <v>46</v>
      </c>
      <c r="C500" s="17"/>
      <c r="D500" s="17"/>
      <c r="E500" s="17" t="s">
        <v>47</v>
      </c>
      <c r="F500" s="17"/>
      <c r="G500" s="17"/>
      <c r="H500" s="17" t="s">
        <v>48</v>
      </c>
      <c r="I500" s="17"/>
      <c r="J500" s="17"/>
    </row>
    <row r="501" spans="1:10" s="1" customFormat="1" ht="13.5" customHeight="1">
      <c r="A501" s="49" t="s">
        <v>0</v>
      </c>
      <c r="B501" s="50"/>
      <c r="C501" s="50"/>
      <c r="D501" s="50"/>
      <c r="E501" s="50"/>
      <c r="F501" s="50"/>
      <c r="G501" s="50"/>
      <c r="H501" s="50"/>
      <c r="I501" s="50"/>
      <c r="J501" s="51"/>
    </row>
    <row r="502" spans="1:10" s="1" customFormat="1" ht="13.5" customHeight="1">
      <c r="A502" s="52" t="s">
        <v>1</v>
      </c>
      <c r="B502" s="53"/>
      <c r="C502" s="53"/>
      <c r="D502" s="53"/>
      <c r="E502" s="53"/>
      <c r="F502" s="53"/>
      <c r="G502" s="53"/>
      <c r="H502" s="53"/>
      <c r="I502" s="53"/>
      <c r="J502" s="54"/>
    </row>
    <row r="503" spans="1:10" s="1" customFormat="1" ht="13.5" customHeight="1">
      <c r="A503" s="2" t="s">
        <v>2</v>
      </c>
      <c r="B503" s="2"/>
      <c r="C503" s="55"/>
      <c r="D503" s="55"/>
      <c r="E503" s="3"/>
      <c r="F503" s="4"/>
      <c r="G503" s="2" t="s">
        <v>4</v>
      </c>
      <c r="H503" s="56" t="s">
        <v>5</v>
      </c>
      <c r="I503" s="56"/>
      <c r="J503" s="56"/>
    </row>
    <row r="504" spans="1:10" s="1" customFormat="1" ht="13.5" customHeight="1">
      <c r="A504" s="2" t="s">
        <v>6</v>
      </c>
      <c r="B504" s="2"/>
      <c r="C504" s="18" t="s">
        <v>142</v>
      </c>
      <c r="D504" s="18"/>
      <c r="E504" s="3"/>
      <c r="F504" s="4"/>
      <c r="G504" s="2" t="s">
        <v>8</v>
      </c>
      <c r="H504" s="57" t="s">
        <v>9</v>
      </c>
      <c r="I504" s="57"/>
      <c r="J504" s="57"/>
    </row>
    <row r="505" spans="1:10" s="1" customFormat="1" ht="13.5" customHeight="1">
      <c r="A505" s="5" t="s">
        <v>10</v>
      </c>
      <c r="B505" s="5"/>
      <c r="C505" s="55" t="s">
        <v>140</v>
      </c>
      <c r="D505" s="55"/>
      <c r="E505" s="3"/>
      <c r="F505" s="4"/>
      <c r="G505" s="2" t="s">
        <v>12</v>
      </c>
      <c r="H505" s="58" t="s">
        <v>13</v>
      </c>
      <c r="I505" s="58"/>
      <c r="J505" s="58"/>
    </row>
    <row r="506" spans="1:10" s="1" customFormat="1" ht="13.5" customHeight="1">
      <c r="A506" s="3" t="s">
        <v>14</v>
      </c>
      <c r="B506" s="3"/>
      <c r="C506" s="3" t="s">
        <v>15</v>
      </c>
      <c r="D506" s="3"/>
      <c r="E506" s="3"/>
      <c r="F506" s="4"/>
      <c r="G506" s="2" t="s">
        <v>16</v>
      </c>
      <c r="H506" s="59" t="s">
        <v>143</v>
      </c>
      <c r="I506" s="59"/>
      <c r="J506" s="59"/>
    </row>
    <row r="507" spans="1:10" s="1" customFormat="1" ht="13.5" customHeight="1">
      <c r="A507" s="3">
        <v>30</v>
      </c>
      <c r="B507" s="3"/>
      <c r="C507" s="3">
        <f>A507-H507</f>
        <v>19</v>
      </c>
      <c r="D507" s="3"/>
      <c r="E507" s="3"/>
      <c r="F507" s="4"/>
      <c r="G507" s="6" t="s">
        <v>18</v>
      </c>
      <c r="H507" s="29">
        <v>11</v>
      </c>
      <c r="I507" s="29"/>
      <c r="J507" s="29"/>
    </row>
    <row r="508" spans="1:10" s="1" customFormat="1" ht="13.5" customHeight="1">
      <c r="A508" s="30" t="s">
        <v>19</v>
      </c>
      <c r="B508" s="31"/>
      <c r="C508" s="32"/>
      <c r="D508" s="7" t="s">
        <v>20</v>
      </c>
      <c r="E508" s="8" t="s">
        <v>21</v>
      </c>
      <c r="F508" s="9"/>
      <c r="G508" s="10" t="s">
        <v>20</v>
      </c>
      <c r="H508" s="33" t="s">
        <v>22</v>
      </c>
      <c r="I508" s="34"/>
      <c r="J508" s="35"/>
    </row>
    <row r="509" spans="1:10" s="1" customFormat="1" ht="13.5" customHeight="1">
      <c r="A509" s="11" t="s">
        <v>23</v>
      </c>
      <c r="B509" s="2"/>
      <c r="C509" s="2"/>
      <c r="D509" s="3">
        <v>15000</v>
      </c>
      <c r="E509" s="11" t="s">
        <v>24</v>
      </c>
      <c r="F509" s="2"/>
      <c r="G509" s="3" t="s">
        <v>25</v>
      </c>
      <c r="H509" s="12" t="s">
        <v>26</v>
      </c>
      <c r="I509" s="5"/>
      <c r="J509" s="13"/>
    </row>
    <row r="510" spans="1:10" s="1" customFormat="1" ht="13.5" customHeight="1">
      <c r="A510" s="11" t="s">
        <v>27</v>
      </c>
      <c r="B510" s="36"/>
      <c r="C510" s="36"/>
      <c r="D510" s="3" t="s">
        <v>25</v>
      </c>
      <c r="E510" s="11" t="s">
        <v>29</v>
      </c>
      <c r="F510" s="2"/>
      <c r="G510" s="3" t="s">
        <v>25</v>
      </c>
      <c r="H510" s="12" t="s">
        <v>30</v>
      </c>
      <c r="I510" s="5"/>
      <c r="J510" s="13"/>
    </row>
    <row r="511" spans="1:10" s="1" customFormat="1" ht="13.5" customHeight="1">
      <c r="A511" s="11" t="s">
        <v>31</v>
      </c>
      <c r="B511" s="2"/>
      <c r="C511" s="2"/>
      <c r="D511" s="3" t="s">
        <v>25</v>
      </c>
      <c r="E511" s="11" t="s">
        <v>32</v>
      </c>
      <c r="F511" s="2"/>
      <c r="G511" s="3" t="s">
        <v>25</v>
      </c>
      <c r="H511" s="12" t="s">
        <v>33</v>
      </c>
      <c r="I511" s="5"/>
      <c r="J511" s="13"/>
    </row>
    <row r="512" spans="1:10" s="1" customFormat="1" ht="13.5" customHeight="1">
      <c r="A512" s="11" t="s">
        <v>34</v>
      </c>
      <c r="B512" s="2"/>
      <c r="C512" s="2"/>
      <c r="D512" s="3" t="s">
        <v>25</v>
      </c>
      <c r="E512" s="11" t="s">
        <v>35</v>
      </c>
      <c r="F512" s="2"/>
      <c r="G512" s="3">
        <v>9500</v>
      </c>
      <c r="H512" s="12"/>
      <c r="I512" s="5"/>
      <c r="J512" s="13"/>
    </row>
    <row r="513" spans="1:10" s="1" customFormat="1" ht="13.5" customHeight="1">
      <c r="A513" s="11" t="s">
        <v>36</v>
      </c>
      <c r="B513" s="2"/>
      <c r="C513" s="2"/>
      <c r="D513" s="3" t="s">
        <v>25</v>
      </c>
      <c r="E513" s="11" t="s">
        <v>37</v>
      </c>
      <c r="F513" s="2"/>
      <c r="G513" s="3">
        <v>100</v>
      </c>
      <c r="H513" s="12"/>
      <c r="I513" s="5"/>
      <c r="J513" s="14"/>
    </row>
    <row r="514" spans="1:10" s="1" customFormat="1" ht="13.5" customHeight="1">
      <c r="A514" s="11" t="s">
        <v>38</v>
      </c>
      <c r="B514" s="2"/>
      <c r="C514" s="2"/>
      <c r="D514" s="3" t="s">
        <v>25</v>
      </c>
      <c r="E514" s="11" t="s">
        <v>39</v>
      </c>
      <c r="F514" s="2"/>
      <c r="G514" s="3" t="s">
        <v>25</v>
      </c>
      <c r="H514" s="12"/>
      <c r="I514" s="5"/>
      <c r="J514" s="14"/>
    </row>
    <row r="515" spans="1:10" s="1" customFormat="1" ht="13.5" customHeight="1">
      <c r="A515" s="12" t="s">
        <v>40</v>
      </c>
      <c r="B515" s="5"/>
      <c r="C515" s="5"/>
      <c r="D515" s="3" t="s">
        <v>25</v>
      </c>
      <c r="E515" s="11" t="s">
        <v>41</v>
      </c>
      <c r="F515" s="2"/>
      <c r="G515" s="3" t="s">
        <v>25</v>
      </c>
      <c r="H515" s="12"/>
      <c r="I515" s="5"/>
      <c r="J515" s="13"/>
    </row>
    <row r="516" spans="1:10" s="1" customFormat="1" ht="13.5" customHeight="1">
      <c r="A516" s="44" t="s">
        <v>42</v>
      </c>
      <c r="B516" s="45"/>
      <c r="C516" s="46"/>
      <c r="D516" s="42">
        <f>SUM(D509:D515)</f>
        <v>15000</v>
      </c>
      <c r="E516" s="2" t="s">
        <v>43</v>
      </c>
      <c r="F516" s="2"/>
      <c r="G516" s="3" t="s">
        <v>25</v>
      </c>
      <c r="H516" s="12"/>
      <c r="I516" s="5"/>
      <c r="J516" s="13"/>
    </row>
    <row r="517" spans="1:10" s="1" customFormat="1" ht="13.5" customHeight="1">
      <c r="A517" s="47"/>
      <c r="B517" s="29"/>
      <c r="C517" s="48"/>
      <c r="D517" s="43"/>
      <c r="E517" s="15" t="s">
        <v>21</v>
      </c>
      <c r="F517" s="16"/>
      <c r="G517" s="7">
        <f>SUM(G509:G516)</f>
        <v>9600</v>
      </c>
      <c r="H517" s="15" t="s">
        <v>44</v>
      </c>
      <c r="I517" s="16"/>
      <c r="J517" s="7">
        <f>D516-G517</f>
        <v>5400</v>
      </c>
    </row>
    <row r="518" spans="1:10" s="1" customFormat="1" ht="13.5" customHeight="1">
      <c r="A518" s="4" t="s">
        <v>45</v>
      </c>
      <c r="B518" s="4"/>
      <c r="C518" s="4"/>
      <c r="D518" s="4"/>
      <c r="E518" s="4"/>
      <c r="F518" s="4"/>
      <c r="G518" s="4"/>
      <c r="H518" s="4"/>
      <c r="I518" s="4"/>
      <c r="J518" s="4"/>
    </row>
    <row r="519" spans="1:10" s="1" customFormat="1" ht="13.5" customHeight="1"/>
    <row r="520" spans="1:10" ht="13.5" customHeight="1">
      <c r="A520" s="17"/>
      <c r="B520" s="17" t="s">
        <v>46</v>
      </c>
      <c r="C520" s="17"/>
      <c r="D520" s="17"/>
      <c r="E520" s="17" t="s">
        <v>47</v>
      </c>
      <c r="F520" s="17"/>
      <c r="G520" s="17"/>
      <c r="H520" s="17" t="s">
        <v>48</v>
      </c>
      <c r="I520" s="17"/>
      <c r="J520" s="17"/>
    </row>
    <row r="521" spans="1:10" s="1" customFormat="1" ht="13.5" customHeight="1">
      <c r="A521" s="49" t="s">
        <v>0</v>
      </c>
      <c r="B521" s="50"/>
      <c r="C521" s="50"/>
      <c r="D521" s="50"/>
      <c r="E521" s="50"/>
      <c r="F521" s="50"/>
      <c r="G521" s="50"/>
      <c r="H521" s="50"/>
      <c r="I521" s="50"/>
      <c r="J521" s="51"/>
    </row>
    <row r="522" spans="1:10" s="1" customFormat="1" ht="13.5" customHeight="1">
      <c r="A522" s="52" t="s">
        <v>1</v>
      </c>
      <c r="B522" s="53"/>
      <c r="C522" s="53"/>
      <c r="D522" s="53"/>
      <c r="E522" s="53"/>
      <c r="F522" s="53"/>
      <c r="G522" s="53"/>
      <c r="H522" s="53"/>
      <c r="I522" s="53"/>
      <c r="J522" s="54"/>
    </row>
    <row r="523" spans="1:10" s="1" customFormat="1" ht="13.5" customHeight="1">
      <c r="A523" s="2" t="s">
        <v>2</v>
      </c>
      <c r="B523" s="2"/>
      <c r="C523" s="55"/>
      <c r="D523" s="55"/>
      <c r="E523" s="3"/>
      <c r="F523" s="4"/>
      <c r="G523" s="2" t="s">
        <v>4</v>
      </c>
      <c r="H523" s="56" t="s">
        <v>5</v>
      </c>
      <c r="I523" s="56"/>
      <c r="J523" s="56"/>
    </row>
    <row r="524" spans="1:10" s="1" customFormat="1" ht="13.5" customHeight="1">
      <c r="A524" s="2" t="s">
        <v>6</v>
      </c>
      <c r="B524" s="2"/>
      <c r="C524" s="18" t="s">
        <v>144</v>
      </c>
      <c r="D524" s="18"/>
      <c r="E524" s="3"/>
      <c r="F524" s="4"/>
      <c r="G524" s="2" t="s">
        <v>8</v>
      </c>
      <c r="H524" s="57" t="s">
        <v>9</v>
      </c>
      <c r="I524" s="57"/>
      <c r="J524" s="57"/>
    </row>
    <row r="525" spans="1:10" s="1" customFormat="1" ht="13.5" customHeight="1">
      <c r="A525" s="5" t="s">
        <v>10</v>
      </c>
      <c r="B525" s="5"/>
      <c r="C525" s="55" t="s">
        <v>140</v>
      </c>
      <c r="D525" s="55"/>
      <c r="E525" s="3"/>
      <c r="F525" s="4"/>
      <c r="G525" s="2" t="s">
        <v>12</v>
      </c>
      <c r="H525" s="58" t="s">
        <v>13</v>
      </c>
      <c r="I525" s="58"/>
      <c r="J525" s="58"/>
    </row>
    <row r="526" spans="1:10" s="1" customFormat="1" ht="13.5" customHeight="1">
      <c r="A526" s="3" t="s">
        <v>14</v>
      </c>
      <c r="B526" s="3"/>
      <c r="C526" s="3" t="s">
        <v>15</v>
      </c>
      <c r="D526" s="3"/>
      <c r="E526" s="3"/>
      <c r="F526" s="4"/>
      <c r="G526" s="2" t="s">
        <v>16</v>
      </c>
      <c r="H526" s="59" t="s">
        <v>52</v>
      </c>
      <c r="I526" s="59"/>
      <c r="J526" s="59"/>
    </row>
    <row r="527" spans="1:10" s="1" customFormat="1" ht="13.5" customHeight="1">
      <c r="A527" s="3">
        <v>30</v>
      </c>
      <c r="B527" s="3"/>
      <c r="C527" s="3">
        <f>A527-H527</f>
        <v>6</v>
      </c>
      <c r="D527" s="3"/>
      <c r="E527" s="3"/>
      <c r="F527" s="4"/>
      <c r="G527" s="6" t="s">
        <v>18</v>
      </c>
      <c r="H527" s="29">
        <v>24</v>
      </c>
      <c r="I527" s="29"/>
      <c r="J527" s="29"/>
    </row>
    <row r="528" spans="1:10" s="1" customFormat="1" ht="13.5" customHeight="1">
      <c r="A528" s="30" t="s">
        <v>19</v>
      </c>
      <c r="B528" s="31"/>
      <c r="C528" s="32"/>
      <c r="D528" s="7" t="s">
        <v>20</v>
      </c>
      <c r="E528" s="8" t="s">
        <v>21</v>
      </c>
      <c r="F528" s="9"/>
      <c r="G528" s="10" t="s">
        <v>20</v>
      </c>
      <c r="H528" s="33" t="s">
        <v>22</v>
      </c>
      <c r="I528" s="34"/>
      <c r="J528" s="35"/>
    </row>
    <row r="529" spans="1:10" s="1" customFormat="1" ht="13.5" customHeight="1">
      <c r="A529" s="11" t="s">
        <v>23</v>
      </c>
      <c r="B529" s="2"/>
      <c r="C529" s="2"/>
      <c r="D529" s="3">
        <v>16000</v>
      </c>
      <c r="E529" s="11" t="s">
        <v>24</v>
      </c>
      <c r="F529" s="2"/>
      <c r="G529" s="3" t="s">
        <v>25</v>
      </c>
      <c r="H529" s="12" t="s">
        <v>26</v>
      </c>
      <c r="I529" s="5"/>
      <c r="J529" s="13"/>
    </row>
    <row r="530" spans="1:10" s="1" customFormat="1" ht="13.5" customHeight="1">
      <c r="A530" s="11" t="s">
        <v>27</v>
      </c>
      <c r="B530" s="36" t="s">
        <v>145</v>
      </c>
      <c r="C530" s="36"/>
      <c r="D530" s="3" t="s">
        <v>25</v>
      </c>
      <c r="E530" s="11" t="s">
        <v>29</v>
      </c>
      <c r="F530" s="2"/>
      <c r="G530" s="3" t="s">
        <v>25</v>
      </c>
      <c r="H530" s="12" t="s">
        <v>30</v>
      </c>
      <c r="I530" s="5"/>
      <c r="J530" s="13"/>
    </row>
    <row r="531" spans="1:10" s="1" customFormat="1" ht="13.5" customHeight="1">
      <c r="A531" s="11" t="s">
        <v>31</v>
      </c>
      <c r="B531" s="2"/>
      <c r="C531" s="2"/>
      <c r="D531" s="3">
        <v>2489</v>
      </c>
      <c r="E531" s="11" t="s">
        <v>32</v>
      </c>
      <c r="F531" s="2"/>
      <c r="G531" s="3" t="s">
        <v>25</v>
      </c>
      <c r="H531" s="12" t="s">
        <v>33</v>
      </c>
      <c r="I531" s="5"/>
      <c r="J531" s="13"/>
    </row>
    <row r="532" spans="1:10" s="1" customFormat="1" ht="13.5" customHeight="1">
      <c r="A532" s="11" t="s">
        <v>34</v>
      </c>
      <c r="B532" s="2"/>
      <c r="C532" s="2"/>
      <c r="D532" s="3" t="s">
        <v>25</v>
      </c>
      <c r="E532" s="11" t="s">
        <v>35</v>
      </c>
      <c r="F532" s="2"/>
      <c r="G532" s="3">
        <v>3200</v>
      </c>
      <c r="H532" s="12"/>
      <c r="I532" s="5"/>
      <c r="J532" s="13"/>
    </row>
    <row r="533" spans="1:10" s="1" customFormat="1" ht="13.5" customHeight="1">
      <c r="A533" s="11" t="s">
        <v>36</v>
      </c>
      <c r="B533" s="2"/>
      <c r="C533" s="2"/>
      <c r="D533" s="3" t="s">
        <v>25</v>
      </c>
      <c r="E533" s="11" t="s">
        <v>37</v>
      </c>
      <c r="F533" s="2"/>
      <c r="G533" s="3">
        <v>100</v>
      </c>
      <c r="H533" s="12"/>
      <c r="I533" s="5"/>
      <c r="J533" s="14"/>
    </row>
    <row r="534" spans="1:10" s="1" customFormat="1" ht="13.5" customHeight="1">
      <c r="A534" s="11" t="s">
        <v>38</v>
      </c>
      <c r="B534" s="2"/>
      <c r="C534" s="2"/>
      <c r="D534" s="3" t="s">
        <v>25</v>
      </c>
      <c r="E534" s="11" t="s">
        <v>39</v>
      </c>
      <c r="F534" s="2"/>
      <c r="G534" s="3" t="s">
        <v>25</v>
      </c>
      <c r="H534" s="12"/>
      <c r="I534" s="5"/>
      <c r="J534" s="14"/>
    </row>
    <row r="535" spans="1:10" s="1" customFormat="1" ht="13.5" customHeight="1">
      <c r="A535" s="12" t="s">
        <v>40</v>
      </c>
      <c r="B535" s="5"/>
      <c r="C535" s="5"/>
      <c r="D535" s="3" t="s">
        <v>25</v>
      </c>
      <c r="E535" s="11" t="s">
        <v>41</v>
      </c>
      <c r="F535" s="2"/>
      <c r="G535" s="3" t="s">
        <v>25</v>
      </c>
      <c r="H535" s="12"/>
      <c r="I535" s="5"/>
      <c r="J535" s="13"/>
    </row>
    <row r="536" spans="1:10" s="1" customFormat="1" ht="13.5" customHeight="1">
      <c r="A536" s="44" t="s">
        <v>42</v>
      </c>
      <c r="B536" s="45"/>
      <c r="C536" s="46"/>
      <c r="D536" s="42">
        <f>SUM(D529:D535)</f>
        <v>18489</v>
      </c>
      <c r="E536" s="2" t="s">
        <v>43</v>
      </c>
      <c r="F536" s="2"/>
      <c r="G536" s="3" t="s">
        <v>25</v>
      </c>
      <c r="H536" s="12"/>
      <c r="I536" s="5"/>
      <c r="J536" s="13"/>
    </row>
    <row r="537" spans="1:10" s="1" customFormat="1" ht="13.5" customHeight="1">
      <c r="A537" s="47"/>
      <c r="B537" s="29"/>
      <c r="C537" s="48"/>
      <c r="D537" s="43"/>
      <c r="E537" s="15" t="s">
        <v>21</v>
      </c>
      <c r="F537" s="16"/>
      <c r="G537" s="7">
        <f>SUM(G529:G536)</f>
        <v>3300</v>
      </c>
      <c r="H537" s="15" t="s">
        <v>44</v>
      </c>
      <c r="I537" s="16"/>
      <c r="J537" s="7">
        <f>D536-G537</f>
        <v>15189</v>
      </c>
    </row>
    <row r="538" spans="1:10" s="1" customFormat="1" ht="13.5" customHeight="1">
      <c r="A538" s="4" t="s">
        <v>45</v>
      </c>
      <c r="B538" s="4"/>
      <c r="C538" s="4"/>
      <c r="D538" s="4"/>
      <c r="E538" s="4"/>
      <c r="F538" s="4"/>
      <c r="G538" s="4"/>
      <c r="H538" s="4"/>
      <c r="I538" s="4"/>
      <c r="J538" s="4"/>
    </row>
    <row r="539" spans="1:10" s="1" customFormat="1" ht="13.5" customHeight="1"/>
    <row r="540" spans="1:10" ht="13.5" customHeight="1">
      <c r="A540" s="17"/>
      <c r="B540" s="17" t="s">
        <v>46</v>
      </c>
      <c r="C540" s="17"/>
      <c r="D540" s="17"/>
      <c r="E540" s="17" t="s">
        <v>47</v>
      </c>
      <c r="F540" s="17"/>
      <c r="G540" s="17"/>
      <c r="H540" s="17" t="s">
        <v>48</v>
      </c>
      <c r="I540" s="17"/>
      <c r="J540" s="17"/>
    </row>
    <row r="541" spans="1:10" s="1" customFormat="1" ht="13.5" customHeight="1">
      <c r="A541" s="49" t="s">
        <v>0</v>
      </c>
      <c r="B541" s="50"/>
      <c r="C541" s="50"/>
      <c r="D541" s="50"/>
      <c r="E541" s="50"/>
      <c r="F541" s="50"/>
      <c r="G541" s="50"/>
      <c r="H541" s="50"/>
      <c r="I541" s="50"/>
      <c r="J541" s="51"/>
    </row>
    <row r="542" spans="1:10" s="1" customFormat="1" ht="13.5" customHeight="1">
      <c r="A542" s="52" t="s">
        <v>1</v>
      </c>
      <c r="B542" s="53"/>
      <c r="C542" s="53"/>
      <c r="D542" s="53"/>
      <c r="E542" s="53"/>
      <c r="F542" s="53"/>
      <c r="G542" s="53"/>
      <c r="H542" s="53"/>
      <c r="I542" s="53"/>
      <c r="J542" s="54"/>
    </row>
    <row r="543" spans="1:10" s="1" customFormat="1" ht="13.5" customHeight="1">
      <c r="A543" s="2" t="s">
        <v>2</v>
      </c>
      <c r="B543" s="2"/>
      <c r="C543" s="55"/>
      <c r="D543" s="55"/>
      <c r="E543" s="3"/>
      <c r="F543" s="4"/>
      <c r="G543" s="2" t="s">
        <v>4</v>
      </c>
      <c r="H543" s="56" t="s">
        <v>5</v>
      </c>
      <c r="I543" s="56"/>
      <c r="J543" s="56"/>
    </row>
    <row r="544" spans="1:10" s="1" customFormat="1" ht="13.5" customHeight="1">
      <c r="A544" s="2" t="s">
        <v>6</v>
      </c>
      <c r="B544" s="2"/>
      <c r="C544" s="18" t="s">
        <v>146</v>
      </c>
      <c r="D544" s="18"/>
      <c r="E544" s="3"/>
      <c r="F544" s="4"/>
      <c r="G544" s="2" t="s">
        <v>8</v>
      </c>
      <c r="H544" s="57" t="s">
        <v>9</v>
      </c>
      <c r="I544" s="57"/>
      <c r="J544" s="57"/>
    </row>
    <row r="545" spans="1:10" s="1" customFormat="1" ht="13.5" customHeight="1">
      <c r="A545" s="5" t="s">
        <v>10</v>
      </c>
      <c r="B545" s="5"/>
      <c r="C545" s="55" t="s">
        <v>140</v>
      </c>
      <c r="D545" s="55"/>
      <c r="E545" s="3"/>
      <c r="F545" s="4"/>
      <c r="G545" s="2" t="s">
        <v>12</v>
      </c>
      <c r="H545" s="58" t="s">
        <v>13</v>
      </c>
      <c r="I545" s="58"/>
      <c r="J545" s="58"/>
    </row>
    <row r="546" spans="1:10" s="1" customFormat="1" ht="13.5" customHeight="1">
      <c r="A546" s="3" t="s">
        <v>14</v>
      </c>
      <c r="B546" s="3"/>
      <c r="C546" s="3" t="s">
        <v>15</v>
      </c>
      <c r="D546" s="3"/>
      <c r="E546" s="3"/>
      <c r="F546" s="4"/>
      <c r="G546" s="2" t="s">
        <v>16</v>
      </c>
      <c r="H546" s="59" t="s">
        <v>52</v>
      </c>
      <c r="I546" s="59"/>
      <c r="J546" s="59"/>
    </row>
    <row r="547" spans="1:10" s="1" customFormat="1" ht="13.5" customHeight="1">
      <c r="A547" s="3">
        <v>30</v>
      </c>
      <c r="B547" s="3"/>
      <c r="C547" s="3">
        <f>A547-H547</f>
        <v>16</v>
      </c>
      <c r="D547" s="3"/>
      <c r="E547" s="3"/>
      <c r="F547" s="4"/>
      <c r="G547" s="6" t="s">
        <v>18</v>
      </c>
      <c r="H547" s="29">
        <v>14</v>
      </c>
      <c r="I547" s="29"/>
      <c r="J547" s="29"/>
    </row>
    <row r="548" spans="1:10" s="1" customFormat="1" ht="13.5" customHeight="1">
      <c r="A548" s="30" t="s">
        <v>19</v>
      </c>
      <c r="B548" s="31"/>
      <c r="C548" s="32"/>
      <c r="D548" s="7" t="s">
        <v>20</v>
      </c>
      <c r="E548" s="8" t="s">
        <v>21</v>
      </c>
      <c r="F548" s="9"/>
      <c r="G548" s="10" t="s">
        <v>20</v>
      </c>
      <c r="H548" s="33" t="s">
        <v>22</v>
      </c>
      <c r="I548" s="34"/>
      <c r="J548" s="35"/>
    </row>
    <row r="549" spans="1:10" s="1" customFormat="1" ht="13.5" customHeight="1">
      <c r="A549" s="11" t="s">
        <v>23</v>
      </c>
      <c r="B549" s="2"/>
      <c r="C549" s="2"/>
      <c r="D549" s="3">
        <v>16000</v>
      </c>
      <c r="E549" s="11" t="s">
        <v>24</v>
      </c>
      <c r="F549" s="2"/>
      <c r="G549" s="3" t="s">
        <v>25</v>
      </c>
      <c r="H549" s="12" t="s">
        <v>26</v>
      </c>
      <c r="I549" s="5"/>
      <c r="J549" s="13"/>
    </row>
    <row r="550" spans="1:10" s="1" customFormat="1" ht="13.5" customHeight="1">
      <c r="A550" s="11" t="s">
        <v>27</v>
      </c>
      <c r="B550" s="36" t="s">
        <v>147</v>
      </c>
      <c r="C550" s="36"/>
      <c r="D550" s="3">
        <v>889</v>
      </c>
      <c r="E550" s="11" t="s">
        <v>29</v>
      </c>
      <c r="F550" s="2"/>
      <c r="G550" s="3" t="s">
        <v>25</v>
      </c>
      <c r="H550" s="12" t="s">
        <v>30</v>
      </c>
      <c r="I550" s="5"/>
      <c r="J550" s="13"/>
    </row>
    <row r="551" spans="1:10" s="1" customFormat="1" ht="13.5" customHeight="1">
      <c r="A551" s="11" t="s">
        <v>31</v>
      </c>
      <c r="B551" s="2"/>
      <c r="C551" s="2"/>
      <c r="D551" s="3" t="s">
        <v>25</v>
      </c>
      <c r="E551" s="11" t="s">
        <v>32</v>
      </c>
      <c r="F551" s="2"/>
      <c r="G551" s="3" t="s">
        <v>25</v>
      </c>
      <c r="H551" s="12" t="s">
        <v>33</v>
      </c>
      <c r="I551" s="5"/>
      <c r="J551" s="13"/>
    </row>
    <row r="552" spans="1:10" s="1" customFormat="1" ht="13.5" customHeight="1">
      <c r="A552" s="11" t="s">
        <v>34</v>
      </c>
      <c r="B552" s="2"/>
      <c r="C552" s="2"/>
      <c r="D552" s="3" t="s">
        <v>25</v>
      </c>
      <c r="E552" s="11" t="s">
        <v>35</v>
      </c>
      <c r="F552" s="2"/>
      <c r="G552" s="3">
        <v>8533</v>
      </c>
      <c r="H552" s="12"/>
      <c r="I552" s="5"/>
      <c r="J552" s="13"/>
    </row>
    <row r="553" spans="1:10" s="1" customFormat="1" ht="13.5" customHeight="1">
      <c r="A553" s="11" t="s">
        <v>36</v>
      </c>
      <c r="B553" s="2"/>
      <c r="C553" s="2"/>
      <c r="D553" s="3" t="s">
        <v>25</v>
      </c>
      <c r="E553" s="11" t="s">
        <v>37</v>
      </c>
      <c r="F553" s="2"/>
      <c r="G553" s="3">
        <v>100</v>
      </c>
      <c r="H553" s="12"/>
      <c r="I553" s="5"/>
      <c r="J553" s="14"/>
    </row>
    <row r="554" spans="1:10" s="1" customFormat="1" ht="13.5" customHeight="1">
      <c r="A554" s="11" t="s">
        <v>38</v>
      </c>
      <c r="B554" s="2"/>
      <c r="C554" s="2"/>
      <c r="D554" s="3" t="s">
        <v>25</v>
      </c>
      <c r="E554" s="11" t="s">
        <v>39</v>
      </c>
      <c r="F554" s="2"/>
      <c r="G554" s="3" t="s">
        <v>25</v>
      </c>
      <c r="H554" s="12"/>
      <c r="I554" s="5"/>
      <c r="J554" s="14"/>
    </row>
    <row r="555" spans="1:10" s="1" customFormat="1" ht="13.5" customHeight="1">
      <c r="A555" s="12" t="s">
        <v>40</v>
      </c>
      <c r="B555" s="5"/>
      <c r="C555" s="5"/>
      <c r="D555" s="3" t="s">
        <v>25</v>
      </c>
      <c r="E555" s="11" t="s">
        <v>41</v>
      </c>
      <c r="F555" s="2"/>
      <c r="G555" s="3" t="s">
        <v>25</v>
      </c>
      <c r="H555" s="12"/>
      <c r="I555" s="5"/>
      <c r="J555" s="13"/>
    </row>
    <row r="556" spans="1:10" s="1" customFormat="1" ht="13.5" customHeight="1">
      <c r="A556" s="44" t="s">
        <v>42</v>
      </c>
      <c r="B556" s="45"/>
      <c r="C556" s="46"/>
      <c r="D556" s="42">
        <f>SUM(D549:D555)</f>
        <v>16889</v>
      </c>
      <c r="E556" s="2" t="s">
        <v>43</v>
      </c>
      <c r="F556" s="2"/>
      <c r="G556" s="3" t="s">
        <v>25</v>
      </c>
      <c r="H556" s="12"/>
      <c r="I556" s="5"/>
      <c r="J556" s="13"/>
    </row>
    <row r="557" spans="1:10" s="1" customFormat="1" ht="13.5" customHeight="1">
      <c r="A557" s="47"/>
      <c r="B557" s="29"/>
      <c r="C557" s="48"/>
      <c r="D557" s="43"/>
      <c r="E557" s="15" t="s">
        <v>21</v>
      </c>
      <c r="F557" s="16"/>
      <c r="G557" s="7">
        <f>SUM(G549:G556)</f>
        <v>8633</v>
      </c>
      <c r="H557" s="15" t="s">
        <v>44</v>
      </c>
      <c r="I557" s="16"/>
      <c r="J557" s="7">
        <f>D556-G557</f>
        <v>8256</v>
      </c>
    </row>
    <row r="558" spans="1:10" s="1" customFormat="1" ht="13.5" customHeight="1">
      <c r="A558" s="4" t="s">
        <v>45</v>
      </c>
      <c r="B558" s="4"/>
      <c r="C558" s="4"/>
      <c r="D558" s="4"/>
      <c r="E558" s="4"/>
      <c r="F558" s="4"/>
      <c r="G558" s="4"/>
      <c r="H558" s="4"/>
      <c r="I558" s="4"/>
      <c r="J558" s="4"/>
    </row>
    <row r="559" spans="1:10" s="1" customFormat="1" ht="13.5" customHeight="1"/>
    <row r="560" spans="1:10" ht="13.5" customHeight="1">
      <c r="A560" s="17"/>
      <c r="B560" s="17" t="s">
        <v>46</v>
      </c>
      <c r="C560" s="17"/>
      <c r="D560" s="17"/>
      <c r="E560" s="17" t="s">
        <v>47</v>
      </c>
      <c r="F560" s="17"/>
      <c r="G560" s="17"/>
      <c r="H560" s="17" t="s">
        <v>48</v>
      </c>
      <c r="I560" s="17"/>
      <c r="J560" s="17"/>
    </row>
    <row r="561" spans="1:10" s="1" customFormat="1" ht="13.5" customHeight="1">
      <c r="A561" s="49" t="s">
        <v>0</v>
      </c>
      <c r="B561" s="50"/>
      <c r="C561" s="50"/>
      <c r="D561" s="50"/>
      <c r="E561" s="50"/>
      <c r="F561" s="50"/>
      <c r="G561" s="50"/>
      <c r="H561" s="50"/>
      <c r="I561" s="50"/>
      <c r="J561" s="51"/>
    </row>
    <row r="562" spans="1:10" s="1" customFormat="1" ht="13.5" customHeight="1">
      <c r="A562" s="52" t="s">
        <v>1</v>
      </c>
      <c r="B562" s="53"/>
      <c r="C562" s="53"/>
      <c r="D562" s="53"/>
      <c r="E562" s="53"/>
      <c r="F562" s="53"/>
      <c r="G562" s="53"/>
      <c r="H562" s="53"/>
      <c r="I562" s="53"/>
      <c r="J562" s="54"/>
    </row>
    <row r="563" spans="1:10" s="1" customFormat="1" ht="13.5" customHeight="1">
      <c r="A563" s="2" t="s">
        <v>2</v>
      </c>
      <c r="B563" s="2"/>
      <c r="C563" s="55"/>
      <c r="D563" s="55"/>
      <c r="E563" s="3"/>
      <c r="F563" s="4"/>
      <c r="G563" s="2" t="s">
        <v>4</v>
      </c>
      <c r="H563" s="56" t="s">
        <v>5</v>
      </c>
      <c r="I563" s="56"/>
      <c r="J563" s="56"/>
    </row>
    <row r="564" spans="1:10" s="1" customFormat="1" ht="13.5" customHeight="1">
      <c r="A564" s="2" t="s">
        <v>6</v>
      </c>
      <c r="B564" s="2"/>
      <c r="C564" s="18" t="s">
        <v>148</v>
      </c>
      <c r="D564" s="18"/>
      <c r="E564" s="3"/>
      <c r="F564" s="4"/>
      <c r="G564" s="2" t="s">
        <v>8</v>
      </c>
      <c r="H564" s="57" t="s">
        <v>9</v>
      </c>
      <c r="I564" s="57"/>
      <c r="J564" s="57"/>
    </row>
    <row r="565" spans="1:10" s="1" customFormat="1" ht="13.5" customHeight="1">
      <c r="A565" s="5" t="s">
        <v>10</v>
      </c>
      <c r="B565" s="5"/>
      <c r="C565" s="55" t="s">
        <v>140</v>
      </c>
      <c r="D565" s="55"/>
      <c r="E565" s="3"/>
      <c r="F565" s="4"/>
      <c r="G565" s="2" t="s">
        <v>12</v>
      </c>
      <c r="H565" s="58" t="s">
        <v>13</v>
      </c>
      <c r="I565" s="58"/>
      <c r="J565" s="58"/>
    </row>
    <row r="566" spans="1:10" s="1" customFormat="1" ht="13.5" customHeight="1">
      <c r="A566" s="3" t="s">
        <v>14</v>
      </c>
      <c r="B566" s="3"/>
      <c r="C566" s="3" t="s">
        <v>15</v>
      </c>
      <c r="D566" s="3"/>
      <c r="E566" s="3"/>
      <c r="F566" s="4"/>
      <c r="G566" s="2" t="s">
        <v>16</v>
      </c>
      <c r="H566" s="59" t="s">
        <v>149</v>
      </c>
      <c r="I566" s="59"/>
      <c r="J566" s="59"/>
    </row>
    <row r="567" spans="1:10" s="1" customFormat="1" ht="13.5" customHeight="1">
      <c r="A567" s="3">
        <v>30</v>
      </c>
      <c r="B567" s="3"/>
      <c r="C567" s="3">
        <f>A567-H567</f>
        <v>1</v>
      </c>
      <c r="D567" s="3"/>
      <c r="E567" s="3"/>
      <c r="F567" s="4"/>
      <c r="G567" s="6" t="s">
        <v>18</v>
      </c>
      <c r="H567" s="29">
        <v>29</v>
      </c>
      <c r="I567" s="29"/>
      <c r="J567" s="29"/>
    </row>
    <row r="568" spans="1:10" s="1" customFormat="1" ht="13.5" customHeight="1">
      <c r="A568" s="30" t="s">
        <v>19</v>
      </c>
      <c r="B568" s="31"/>
      <c r="C568" s="32"/>
      <c r="D568" s="7" t="s">
        <v>20</v>
      </c>
      <c r="E568" s="8" t="s">
        <v>21</v>
      </c>
      <c r="F568" s="9"/>
      <c r="G568" s="10" t="s">
        <v>20</v>
      </c>
      <c r="H568" s="33" t="s">
        <v>22</v>
      </c>
      <c r="I568" s="34"/>
      <c r="J568" s="35"/>
    </row>
    <row r="569" spans="1:10" s="1" customFormat="1" ht="13.5" customHeight="1">
      <c r="A569" s="11" t="s">
        <v>23</v>
      </c>
      <c r="B569" s="2"/>
      <c r="C569" s="2"/>
      <c r="D569" s="3">
        <v>15000</v>
      </c>
      <c r="E569" s="11" t="s">
        <v>24</v>
      </c>
      <c r="F569" s="2"/>
      <c r="G569" s="3" t="s">
        <v>25</v>
      </c>
      <c r="H569" s="12" t="s">
        <v>26</v>
      </c>
      <c r="I569" s="5"/>
      <c r="J569" s="13"/>
    </row>
    <row r="570" spans="1:10" s="1" customFormat="1" ht="13.5" customHeight="1">
      <c r="A570" s="11" t="s">
        <v>27</v>
      </c>
      <c r="B570" s="36" t="s">
        <v>150</v>
      </c>
      <c r="C570" s="36"/>
      <c r="D570" s="3">
        <v>2625</v>
      </c>
      <c r="E570" s="11" t="s">
        <v>29</v>
      </c>
      <c r="F570" s="2"/>
      <c r="G570" s="3" t="s">
        <v>25</v>
      </c>
      <c r="H570" s="12" t="s">
        <v>30</v>
      </c>
      <c r="I570" s="5"/>
      <c r="J570" s="13"/>
    </row>
    <row r="571" spans="1:10" s="1" customFormat="1" ht="13.5" customHeight="1">
      <c r="A571" s="11" t="s">
        <v>31</v>
      </c>
      <c r="B571" s="2"/>
      <c r="C571" s="2"/>
      <c r="D571" s="3" t="s">
        <v>25</v>
      </c>
      <c r="E571" s="11" t="s">
        <v>32</v>
      </c>
      <c r="F571" s="2"/>
      <c r="G571" s="3" t="s">
        <v>25</v>
      </c>
      <c r="H571" s="12" t="s">
        <v>33</v>
      </c>
      <c r="I571" s="5"/>
      <c r="J571" s="13"/>
    </row>
    <row r="572" spans="1:10" s="1" customFormat="1" ht="13.5" customHeight="1">
      <c r="A572" s="11" t="s">
        <v>34</v>
      </c>
      <c r="B572" s="2"/>
      <c r="C572" s="2"/>
      <c r="D572" s="3" t="s">
        <v>25</v>
      </c>
      <c r="E572" s="11" t="s">
        <v>35</v>
      </c>
      <c r="F572" s="2"/>
      <c r="G572" s="3">
        <v>500</v>
      </c>
      <c r="H572" s="12"/>
      <c r="I572" s="5"/>
      <c r="J572" s="13"/>
    </row>
    <row r="573" spans="1:10" s="1" customFormat="1" ht="13.5" customHeight="1">
      <c r="A573" s="11" t="s">
        <v>36</v>
      </c>
      <c r="B573" s="2"/>
      <c r="C573" s="2"/>
      <c r="D573" s="3" t="s">
        <v>25</v>
      </c>
      <c r="E573" s="11" t="s">
        <v>37</v>
      </c>
      <c r="F573" s="2"/>
      <c r="G573" s="3">
        <v>100</v>
      </c>
      <c r="H573" s="12" t="s">
        <v>151</v>
      </c>
      <c r="I573" s="5"/>
      <c r="J573" s="14"/>
    </row>
    <row r="574" spans="1:10" s="1" customFormat="1" ht="13.5" customHeight="1">
      <c r="A574" s="11" t="s">
        <v>38</v>
      </c>
      <c r="B574" s="2"/>
      <c r="C574" s="2"/>
      <c r="D574" s="3" t="s">
        <v>25</v>
      </c>
      <c r="E574" s="11" t="s">
        <v>39</v>
      </c>
      <c r="F574" s="2"/>
      <c r="G574" s="3" t="s">
        <v>25</v>
      </c>
      <c r="H574" s="12" t="s">
        <v>142</v>
      </c>
      <c r="I574" s="5"/>
      <c r="J574" s="14"/>
    </row>
    <row r="575" spans="1:10" s="1" customFormat="1" ht="13.5" customHeight="1">
      <c r="A575" s="12" t="s">
        <v>40</v>
      </c>
      <c r="B575" s="5"/>
      <c r="C575" s="5"/>
      <c r="D575" s="3" t="s">
        <v>25</v>
      </c>
      <c r="E575" s="11" t="s">
        <v>41</v>
      </c>
      <c r="F575" s="2"/>
      <c r="G575" s="3" t="s">
        <v>25</v>
      </c>
      <c r="H575" s="12"/>
      <c r="I575" s="5"/>
      <c r="J575" s="13"/>
    </row>
    <row r="576" spans="1:10" s="1" customFormat="1" ht="13.5" customHeight="1">
      <c r="A576" s="44" t="s">
        <v>42</v>
      </c>
      <c r="B576" s="45"/>
      <c r="C576" s="46"/>
      <c r="D576" s="42">
        <f>SUM(D569:D575)</f>
        <v>17625</v>
      </c>
      <c r="E576" s="2" t="s">
        <v>43</v>
      </c>
      <c r="F576" s="2"/>
      <c r="G576" s="3" t="s">
        <v>25</v>
      </c>
      <c r="H576" s="12"/>
      <c r="I576" s="5"/>
      <c r="J576" s="13"/>
    </row>
    <row r="577" spans="1:10" s="1" customFormat="1" ht="13.5" customHeight="1">
      <c r="A577" s="47"/>
      <c r="B577" s="29"/>
      <c r="C577" s="48"/>
      <c r="D577" s="43"/>
      <c r="E577" s="15" t="s">
        <v>21</v>
      </c>
      <c r="F577" s="16"/>
      <c r="G577" s="7">
        <f>SUM(G569:G576)</f>
        <v>600</v>
      </c>
      <c r="H577" s="15" t="s">
        <v>44</v>
      </c>
      <c r="I577" s="16"/>
      <c r="J577" s="7">
        <f>D576-G577</f>
        <v>17025</v>
      </c>
    </row>
    <row r="578" spans="1:10" s="1" customFormat="1" ht="13.5" customHeight="1">
      <c r="A578" s="4" t="s">
        <v>45</v>
      </c>
      <c r="B578" s="4"/>
      <c r="C578" s="4"/>
      <c r="D578" s="4"/>
      <c r="E578" s="4"/>
      <c r="F578" s="4"/>
      <c r="G578" s="4"/>
      <c r="H578" s="4"/>
      <c r="I578" s="4"/>
      <c r="J578" s="4"/>
    </row>
    <row r="579" spans="1:10" s="1" customFormat="1" ht="13.5" customHeight="1"/>
    <row r="580" spans="1:10" ht="13.5" customHeight="1">
      <c r="A580" s="17"/>
      <c r="B580" s="17" t="s">
        <v>46</v>
      </c>
      <c r="C580" s="17"/>
      <c r="D580" s="17"/>
      <c r="E580" s="17" t="s">
        <v>47</v>
      </c>
      <c r="F580" s="17"/>
      <c r="G580" s="17"/>
      <c r="H580" s="17" t="s">
        <v>48</v>
      </c>
      <c r="I580" s="17"/>
      <c r="J580" s="17"/>
    </row>
    <row r="581" spans="1:10" ht="28.5" customHeight="1">
      <c r="A581" s="37" t="s">
        <v>152</v>
      </c>
      <c r="B581" s="38"/>
      <c r="C581" s="38"/>
      <c r="D581" s="38"/>
      <c r="E581" s="39"/>
      <c r="F581" s="37">
        <f>J577+J557+J537+J517+J497+J477+J457+J437+J417+J397+J377+J357+J337+J317+J297+J277+J257+J237+J217+J197+J177+J157+J137+J117+J97+J77+J57+J37+J17</f>
        <v>924575</v>
      </c>
      <c r="G581" s="38"/>
      <c r="H581" s="38"/>
      <c r="I581" s="38"/>
      <c r="J581" s="39"/>
    </row>
    <row r="582" spans="1:10">
      <c r="A582" s="19"/>
      <c r="B582" s="19"/>
      <c r="C582" s="19"/>
      <c r="D582" s="19"/>
      <c r="E582" s="19"/>
      <c r="F582" s="19"/>
      <c r="G582" s="19"/>
      <c r="H582" s="19"/>
      <c r="I582" s="19"/>
    </row>
    <row r="583" spans="1:10">
      <c r="A583" s="19"/>
      <c r="B583" s="19"/>
      <c r="C583" s="19"/>
      <c r="D583" s="19"/>
      <c r="E583" s="19"/>
      <c r="F583" s="19"/>
      <c r="G583" s="19"/>
      <c r="H583" s="19"/>
      <c r="I583" s="19"/>
    </row>
    <row r="584" spans="1:10">
      <c r="A584" s="19"/>
      <c r="B584" s="19"/>
      <c r="C584" s="19"/>
      <c r="D584" s="19"/>
      <c r="E584" s="19"/>
      <c r="F584" s="19"/>
      <c r="G584" s="19"/>
      <c r="H584" s="19"/>
      <c r="I584" s="19"/>
    </row>
    <row r="585" spans="1:10">
      <c r="A585" s="20"/>
      <c r="B585" s="20"/>
      <c r="C585" s="20"/>
      <c r="D585" s="20"/>
      <c r="E585" s="20"/>
      <c r="F585" s="21"/>
      <c r="G585" s="21"/>
      <c r="H585" s="21"/>
      <c r="I585" s="21"/>
    </row>
    <row r="586" spans="1:10">
      <c r="A586" s="22"/>
      <c r="B586" s="40" t="s">
        <v>153</v>
      </c>
      <c r="C586" s="40"/>
      <c r="D586" s="40"/>
      <c r="E586" s="24"/>
      <c r="F586" s="41" t="s">
        <v>154</v>
      </c>
      <c r="G586" s="41"/>
      <c r="H586" s="41"/>
      <c r="I586" s="41"/>
    </row>
    <row r="587" spans="1:10">
      <c r="A587" s="22"/>
      <c r="B587" s="25"/>
      <c r="C587" s="25"/>
      <c r="D587" s="25"/>
      <c r="E587" s="24"/>
      <c r="F587" s="26"/>
      <c r="G587" s="26"/>
      <c r="H587" s="26"/>
      <c r="I587" s="26"/>
    </row>
    <row r="588" spans="1:10">
      <c r="A588" s="22"/>
      <c r="B588" s="25"/>
      <c r="C588" s="25"/>
      <c r="D588" s="25"/>
      <c r="E588" s="24"/>
      <c r="F588" s="26"/>
      <c r="G588" s="26"/>
      <c r="H588" s="26"/>
      <c r="I588" s="26"/>
    </row>
    <row r="589" spans="1:10">
      <c r="A589" s="22"/>
      <c r="B589" s="25"/>
      <c r="C589" s="25"/>
      <c r="D589" s="25"/>
      <c r="E589" s="24"/>
      <c r="F589" s="26"/>
      <c r="G589" s="26"/>
      <c r="H589" s="26"/>
      <c r="I589" s="26"/>
    </row>
    <row r="590" spans="1:10">
      <c r="A590" s="22"/>
      <c r="B590" s="25"/>
      <c r="C590" s="25"/>
      <c r="D590" s="25"/>
      <c r="E590" s="24"/>
      <c r="F590" s="26"/>
      <c r="G590" s="26"/>
      <c r="H590" s="26"/>
      <c r="I590" s="26"/>
    </row>
    <row r="591" spans="1:10">
      <c r="A591" s="22"/>
      <c r="B591" s="22"/>
      <c r="C591" s="22"/>
      <c r="D591" s="22"/>
      <c r="E591" s="22"/>
      <c r="F591" s="27"/>
      <c r="G591" s="27"/>
      <c r="H591" s="27"/>
      <c r="I591" s="27"/>
    </row>
    <row r="592" spans="1:10">
      <c r="A592" s="22"/>
      <c r="B592" s="28"/>
      <c r="C592" s="23" t="s">
        <v>155</v>
      </c>
      <c r="D592" s="23"/>
      <c r="E592" s="22"/>
      <c r="F592" s="41" t="s">
        <v>156</v>
      </c>
      <c r="G592" s="41"/>
      <c r="H592" s="41"/>
      <c r="I592" s="41"/>
    </row>
  </sheetData>
  <mergeCells count="411">
    <mergeCell ref="A1:J1"/>
    <mergeCell ref="A2:J2"/>
    <mergeCell ref="C3:D3"/>
    <mergeCell ref="H3:J3"/>
    <mergeCell ref="C4:D4"/>
    <mergeCell ref="H4:J4"/>
    <mergeCell ref="H5:J5"/>
    <mergeCell ref="H6:J6"/>
    <mergeCell ref="H7:J7"/>
    <mergeCell ref="A8:C8"/>
    <mergeCell ref="H8:J8"/>
    <mergeCell ref="B10:C10"/>
    <mergeCell ref="A21:J21"/>
    <mergeCell ref="A22:J22"/>
    <mergeCell ref="C23:D23"/>
    <mergeCell ref="H23:J23"/>
    <mergeCell ref="C24:D24"/>
    <mergeCell ref="H24:J24"/>
    <mergeCell ref="D16:D17"/>
    <mergeCell ref="A16:C17"/>
    <mergeCell ref="H25:J25"/>
    <mergeCell ref="H26:J26"/>
    <mergeCell ref="H27:J27"/>
    <mergeCell ref="A28:C28"/>
    <mergeCell ref="H28:J28"/>
    <mergeCell ref="B30:C30"/>
    <mergeCell ref="A41:J41"/>
    <mergeCell ref="A42:J42"/>
    <mergeCell ref="C43:D43"/>
    <mergeCell ref="H43:J43"/>
    <mergeCell ref="D36:D37"/>
    <mergeCell ref="A36:C37"/>
    <mergeCell ref="C44:D44"/>
    <mergeCell ref="H44:J44"/>
    <mergeCell ref="H45:J45"/>
    <mergeCell ref="H46:J46"/>
    <mergeCell ref="H47:J47"/>
    <mergeCell ref="A48:C48"/>
    <mergeCell ref="H48:J48"/>
    <mergeCell ref="B50:C50"/>
    <mergeCell ref="A61:J61"/>
    <mergeCell ref="D56:D57"/>
    <mergeCell ref="A56:C57"/>
    <mergeCell ref="A62:J62"/>
    <mergeCell ref="C63:D63"/>
    <mergeCell ref="H63:J63"/>
    <mergeCell ref="H64:J64"/>
    <mergeCell ref="C65:D65"/>
    <mergeCell ref="H65:J65"/>
    <mergeCell ref="H66:J66"/>
    <mergeCell ref="H67:J67"/>
    <mergeCell ref="A68:C68"/>
    <mergeCell ref="H68:J68"/>
    <mergeCell ref="B70:C70"/>
    <mergeCell ref="A81:J81"/>
    <mergeCell ref="A82:J82"/>
    <mergeCell ref="C83:D83"/>
    <mergeCell ref="H83:J83"/>
    <mergeCell ref="H84:J84"/>
    <mergeCell ref="C85:D85"/>
    <mergeCell ref="H85:J85"/>
    <mergeCell ref="H86:J86"/>
    <mergeCell ref="D76:D77"/>
    <mergeCell ref="A76:C77"/>
    <mergeCell ref="H87:J87"/>
    <mergeCell ref="A88:C88"/>
    <mergeCell ref="H88:J88"/>
    <mergeCell ref="B90:C90"/>
    <mergeCell ref="A101:J101"/>
    <mergeCell ref="A102:J102"/>
    <mergeCell ref="C103:D103"/>
    <mergeCell ref="H103:J103"/>
    <mergeCell ref="H104:J104"/>
    <mergeCell ref="D96:D97"/>
    <mergeCell ref="A96:C97"/>
    <mergeCell ref="C105:D105"/>
    <mergeCell ref="H105:J105"/>
    <mergeCell ref="H106:J106"/>
    <mergeCell ref="H107:J107"/>
    <mergeCell ref="A108:C108"/>
    <mergeCell ref="H108:J108"/>
    <mergeCell ref="B110:C110"/>
    <mergeCell ref="A121:J121"/>
    <mergeCell ref="A122:J122"/>
    <mergeCell ref="D116:D117"/>
    <mergeCell ref="A116:C117"/>
    <mergeCell ref="C123:D123"/>
    <mergeCell ref="H123:J123"/>
    <mergeCell ref="H124:J124"/>
    <mergeCell ref="C125:D125"/>
    <mergeCell ref="H125:J125"/>
    <mergeCell ref="H126:J126"/>
    <mergeCell ref="H127:J127"/>
    <mergeCell ref="A128:C128"/>
    <mergeCell ref="H128:J128"/>
    <mergeCell ref="B130:C130"/>
    <mergeCell ref="A141:J141"/>
    <mergeCell ref="A142:J142"/>
    <mergeCell ref="C143:D143"/>
    <mergeCell ref="H143:J143"/>
    <mergeCell ref="H144:J144"/>
    <mergeCell ref="C145:D145"/>
    <mergeCell ref="H145:J145"/>
    <mergeCell ref="H146:J146"/>
    <mergeCell ref="D136:D137"/>
    <mergeCell ref="A136:C137"/>
    <mergeCell ref="H147:J147"/>
    <mergeCell ref="A148:C148"/>
    <mergeCell ref="H148:J148"/>
    <mergeCell ref="B150:C150"/>
    <mergeCell ref="A161:J161"/>
    <mergeCell ref="A162:J162"/>
    <mergeCell ref="C163:D163"/>
    <mergeCell ref="H163:J163"/>
    <mergeCell ref="H164:J164"/>
    <mergeCell ref="D156:D157"/>
    <mergeCell ref="A156:C157"/>
    <mergeCell ref="C165:D165"/>
    <mergeCell ref="H165:J165"/>
    <mergeCell ref="H166:J166"/>
    <mergeCell ref="H167:J167"/>
    <mergeCell ref="A168:C168"/>
    <mergeCell ref="H168:J168"/>
    <mergeCell ref="B170:C170"/>
    <mergeCell ref="A181:J181"/>
    <mergeCell ref="A182:J182"/>
    <mergeCell ref="D176:D177"/>
    <mergeCell ref="A176:C177"/>
    <mergeCell ref="C183:D183"/>
    <mergeCell ref="H183:J183"/>
    <mergeCell ref="H184:J184"/>
    <mergeCell ref="C185:D185"/>
    <mergeCell ref="H185:J185"/>
    <mergeCell ref="H186:J186"/>
    <mergeCell ref="H187:J187"/>
    <mergeCell ref="A188:C188"/>
    <mergeCell ref="H188:J188"/>
    <mergeCell ref="B190:C190"/>
    <mergeCell ref="A201:J201"/>
    <mergeCell ref="A202:J202"/>
    <mergeCell ref="C203:D203"/>
    <mergeCell ref="H203:J203"/>
    <mergeCell ref="H204:J204"/>
    <mergeCell ref="C205:D205"/>
    <mergeCell ref="H205:J205"/>
    <mergeCell ref="H206:J206"/>
    <mergeCell ref="D196:D197"/>
    <mergeCell ref="A196:C197"/>
    <mergeCell ref="H207:J207"/>
    <mergeCell ref="A208:C208"/>
    <mergeCell ref="H208:J208"/>
    <mergeCell ref="B210:C210"/>
    <mergeCell ref="A221:J221"/>
    <mergeCell ref="A222:J222"/>
    <mergeCell ref="C223:D223"/>
    <mergeCell ref="H223:J223"/>
    <mergeCell ref="H224:J224"/>
    <mergeCell ref="D216:D217"/>
    <mergeCell ref="A216:C217"/>
    <mergeCell ref="C225:D225"/>
    <mergeCell ref="H225:J225"/>
    <mergeCell ref="H226:J226"/>
    <mergeCell ref="H227:J227"/>
    <mergeCell ref="A228:C228"/>
    <mergeCell ref="H228:J228"/>
    <mergeCell ref="B230:C230"/>
    <mergeCell ref="A241:J241"/>
    <mergeCell ref="A242:J242"/>
    <mergeCell ref="D236:D237"/>
    <mergeCell ref="A236:C237"/>
    <mergeCell ref="C243:D243"/>
    <mergeCell ref="H243:J243"/>
    <mergeCell ref="H244:J244"/>
    <mergeCell ref="C245:D245"/>
    <mergeCell ref="H245:J245"/>
    <mergeCell ref="H246:J246"/>
    <mergeCell ref="H247:J247"/>
    <mergeCell ref="A248:C248"/>
    <mergeCell ref="H248:J248"/>
    <mergeCell ref="B250:C250"/>
    <mergeCell ref="A261:J261"/>
    <mergeCell ref="A262:J262"/>
    <mergeCell ref="C263:D263"/>
    <mergeCell ref="H263:J263"/>
    <mergeCell ref="H264:J264"/>
    <mergeCell ref="C265:D265"/>
    <mergeCell ref="H265:J265"/>
    <mergeCell ref="H266:J266"/>
    <mergeCell ref="D256:D257"/>
    <mergeCell ref="A256:C257"/>
    <mergeCell ref="H267:J267"/>
    <mergeCell ref="A268:C268"/>
    <mergeCell ref="H268:J268"/>
    <mergeCell ref="B270:C270"/>
    <mergeCell ref="A281:J281"/>
    <mergeCell ref="A282:J282"/>
    <mergeCell ref="C283:D283"/>
    <mergeCell ref="H283:J283"/>
    <mergeCell ref="H284:J284"/>
    <mergeCell ref="D276:D277"/>
    <mergeCell ref="A276:C277"/>
    <mergeCell ref="C285:D285"/>
    <mergeCell ref="H285:J285"/>
    <mergeCell ref="H286:J286"/>
    <mergeCell ref="H287:J287"/>
    <mergeCell ref="A288:C288"/>
    <mergeCell ref="H288:J288"/>
    <mergeCell ref="B290:C290"/>
    <mergeCell ref="A301:J301"/>
    <mergeCell ref="A302:J302"/>
    <mergeCell ref="D296:D297"/>
    <mergeCell ref="A296:C297"/>
    <mergeCell ref="C303:D303"/>
    <mergeCell ref="H303:J303"/>
    <mergeCell ref="H304:J304"/>
    <mergeCell ref="C305:D305"/>
    <mergeCell ref="H305:J305"/>
    <mergeCell ref="H306:J306"/>
    <mergeCell ref="H307:J307"/>
    <mergeCell ref="A308:C308"/>
    <mergeCell ref="H308:J308"/>
    <mergeCell ref="B310:C310"/>
    <mergeCell ref="A321:J321"/>
    <mergeCell ref="A322:J322"/>
    <mergeCell ref="C323:D323"/>
    <mergeCell ref="H323:J323"/>
    <mergeCell ref="H324:J324"/>
    <mergeCell ref="C325:D325"/>
    <mergeCell ref="H325:J325"/>
    <mergeCell ref="H326:J326"/>
    <mergeCell ref="D316:D317"/>
    <mergeCell ref="A316:C317"/>
    <mergeCell ref="H327:J327"/>
    <mergeCell ref="A328:C328"/>
    <mergeCell ref="H328:J328"/>
    <mergeCell ref="B330:C330"/>
    <mergeCell ref="A341:J341"/>
    <mergeCell ref="A342:J342"/>
    <mergeCell ref="C343:D343"/>
    <mergeCell ref="H343:J343"/>
    <mergeCell ref="H344:J344"/>
    <mergeCell ref="D336:D337"/>
    <mergeCell ref="A336:C337"/>
    <mergeCell ref="C345:D345"/>
    <mergeCell ref="H345:J345"/>
    <mergeCell ref="H346:J346"/>
    <mergeCell ref="H347:J347"/>
    <mergeCell ref="A348:C348"/>
    <mergeCell ref="H348:J348"/>
    <mergeCell ref="B350:C350"/>
    <mergeCell ref="A361:J361"/>
    <mergeCell ref="A362:J362"/>
    <mergeCell ref="D356:D357"/>
    <mergeCell ref="A356:C357"/>
    <mergeCell ref="C363:D363"/>
    <mergeCell ref="H363:J363"/>
    <mergeCell ref="H364:J364"/>
    <mergeCell ref="C365:D365"/>
    <mergeCell ref="H365:J365"/>
    <mergeCell ref="H366:J366"/>
    <mergeCell ref="H367:J367"/>
    <mergeCell ref="A368:C368"/>
    <mergeCell ref="H368:J368"/>
    <mergeCell ref="B370:C370"/>
    <mergeCell ref="A381:J381"/>
    <mergeCell ref="A382:J382"/>
    <mergeCell ref="C383:D383"/>
    <mergeCell ref="H383:J383"/>
    <mergeCell ref="H384:J384"/>
    <mergeCell ref="C385:D385"/>
    <mergeCell ref="H385:J385"/>
    <mergeCell ref="H386:J386"/>
    <mergeCell ref="D376:D377"/>
    <mergeCell ref="A376:C377"/>
    <mergeCell ref="H387:J387"/>
    <mergeCell ref="A388:C388"/>
    <mergeCell ref="H388:J388"/>
    <mergeCell ref="B390:C390"/>
    <mergeCell ref="A401:J401"/>
    <mergeCell ref="A402:J402"/>
    <mergeCell ref="C403:D403"/>
    <mergeCell ref="H403:J403"/>
    <mergeCell ref="H404:J404"/>
    <mergeCell ref="D396:D397"/>
    <mergeCell ref="A396:C397"/>
    <mergeCell ref="C405:D405"/>
    <mergeCell ref="H405:J405"/>
    <mergeCell ref="H406:J406"/>
    <mergeCell ref="H407:J407"/>
    <mergeCell ref="A408:C408"/>
    <mergeCell ref="H408:J408"/>
    <mergeCell ref="B410:C410"/>
    <mergeCell ref="A421:J421"/>
    <mergeCell ref="A422:J422"/>
    <mergeCell ref="D416:D417"/>
    <mergeCell ref="A416:C417"/>
    <mergeCell ref="C423:D423"/>
    <mergeCell ref="H423:J423"/>
    <mergeCell ref="H424:J424"/>
    <mergeCell ref="C425:D425"/>
    <mergeCell ref="H425:J425"/>
    <mergeCell ref="H426:J426"/>
    <mergeCell ref="H427:J427"/>
    <mergeCell ref="A428:C428"/>
    <mergeCell ref="H428:J428"/>
    <mergeCell ref="B430:C430"/>
    <mergeCell ref="A441:J441"/>
    <mergeCell ref="A442:J442"/>
    <mergeCell ref="C443:D443"/>
    <mergeCell ref="H443:J443"/>
    <mergeCell ref="H444:J444"/>
    <mergeCell ref="C445:D445"/>
    <mergeCell ref="H445:J445"/>
    <mergeCell ref="H446:J446"/>
    <mergeCell ref="D436:D437"/>
    <mergeCell ref="A436:C437"/>
    <mergeCell ref="H447:J447"/>
    <mergeCell ref="A448:C448"/>
    <mergeCell ref="H448:J448"/>
    <mergeCell ref="B450:C450"/>
    <mergeCell ref="A461:J461"/>
    <mergeCell ref="A462:J462"/>
    <mergeCell ref="C463:D463"/>
    <mergeCell ref="H463:J463"/>
    <mergeCell ref="H464:J464"/>
    <mergeCell ref="D456:D457"/>
    <mergeCell ref="A456:C457"/>
    <mergeCell ref="C465:D465"/>
    <mergeCell ref="H465:J465"/>
    <mergeCell ref="H466:J466"/>
    <mergeCell ref="H467:J467"/>
    <mergeCell ref="A468:C468"/>
    <mergeCell ref="H468:J468"/>
    <mergeCell ref="B470:C470"/>
    <mergeCell ref="A481:J481"/>
    <mergeCell ref="A482:J482"/>
    <mergeCell ref="D476:D477"/>
    <mergeCell ref="A476:C477"/>
    <mergeCell ref="C483:D483"/>
    <mergeCell ref="H483:J483"/>
    <mergeCell ref="H484:J484"/>
    <mergeCell ref="C485:D485"/>
    <mergeCell ref="H485:J485"/>
    <mergeCell ref="H486:J486"/>
    <mergeCell ref="H487:J487"/>
    <mergeCell ref="A488:C488"/>
    <mergeCell ref="H488:J488"/>
    <mergeCell ref="B490:C490"/>
    <mergeCell ref="A501:J501"/>
    <mergeCell ref="A502:J502"/>
    <mergeCell ref="C503:D503"/>
    <mergeCell ref="H503:J503"/>
    <mergeCell ref="H504:J504"/>
    <mergeCell ref="C505:D505"/>
    <mergeCell ref="H505:J505"/>
    <mergeCell ref="H506:J506"/>
    <mergeCell ref="D496:D497"/>
    <mergeCell ref="A496:C497"/>
    <mergeCell ref="H507:J507"/>
    <mergeCell ref="A508:C508"/>
    <mergeCell ref="H508:J508"/>
    <mergeCell ref="B510:C510"/>
    <mergeCell ref="A521:J521"/>
    <mergeCell ref="A522:J522"/>
    <mergeCell ref="C523:D523"/>
    <mergeCell ref="H523:J523"/>
    <mergeCell ref="H524:J524"/>
    <mergeCell ref="D516:D517"/>
    <mergeCell ref="A516:C517"/>
    <mergeCell ref="C525:D525"/>
    <mergeCell ref="H525:J525"/>
    <mergeCell ref="H526:J526"/>
    <mergeCell ref="H527:J527"/>
    <mergeCell ref="A528:C528"/>
    <mergeCell ref="H528:J528"/>
    <mergeCell ref="B530:C530"/>
    <mergeCell ref="A541:J541"/>
    <mergeCell ref="A542:J542"/>
    <mergeCell ref="D536:D537"/>
    <mergeCell ref="A536:C537"/>
    <mergeCell ref="C543:D543"/>
    <mergeCell ref="H543:J543"/>
    <mergeCell ref="H544:J544"/>
    <mergeCell ref="C545:D545"/>
    <mergeCell ref="H545:J545"/>
    <mergeCell ref="H546:J546"/>
    <mergeCell ref="H547:J547"/>
    <mergeCell ref="A548:C548"/>
    <mergeCell ref="H548:J548"/>
    <mergeCell ref="B550:C550"/>
    <mergeCell ref="A561:J561"/>
    <mergeCell ref="A562:J562"/>
    <mergeCell ref="C563:D563"/>
    <mergeCell ref="H563:J563"/>
    <mergeCell ref="H564:J564"/>
    <mergeCell ref="C565:D565"/>
    <mergeCell ref="H565:J565"/>
    <mergeCell ref="H566:J566"/>
    <mergeCell ref="D556:D557"/>
    <mergeCell ref="A556:C557"/>
    <mergeCell ref="H567:J567"/>
    <mergeCell ref="A568:C568"/>
    <mergeCell ref="H568:J568"/>
    <mergeCell ref="B570:C570"/>
    <mergeCell ref="A581:E581"/>
    <mergeCell ref="F581:J581"/>
    <mergeCell ref="B586:D586"/>
    <mergeCell ref="F586:I586"/>
    <mergeCell ref="F592:I592"/>
    <mergeCell ref="D576:D577"/>
    <mergeCell ref="A576:C577"/>
  </mergeCells>
  <pageMargins left="0.83" right="0.7" top="0.48" bottom="0.42" header="0.3" footer="0.3"/>
  <pageSetup scale="90" orientation="portrait" r:id="rId1"/>
  <rowBreaks count="9" manualBreakCount="9">
    <brk id="60" max="16383" man="1"/>
    <brk id="120" max="16383" man="1"/>
    <brk id="180" max="16383" man="1"/>
    <brk id="240" max="16383" man="1"/>
    <brk id="300" max="16383" man="1"/>
    <brk id="360" max="16383" man="1"/>
    <brk id="420" max="16383" man="1"/>
    <brk id="480" max="16383" man="1"/>
    <brk id="54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AccountsMS</dc:creator>
  <cp:lastModifiedBy>AccountsMS</cp:lastModifiedBy>
  <cp:lastPrinted>2026-07-09T14:35:46Z</cp:lastPrinted>
  <dcterms:created xsi:type="dcterms:W3CDTF">2025-10-31T06:55:00Z</dcterms:created>
  <dcterms:modified xsi:type="dcterms:W3CDTF">2026-07-09T14:44:20Z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F8CB36E36C1E43F1B96A406E5AC4B8A3_12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