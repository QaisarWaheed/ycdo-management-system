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5600" windowHeight="10905" activeTab="3"/>
  </bookViews>
  <sheets>
    <sheet name="M.Os" sheetId="1" r:id="rId1"/>
    <sheet name="WMO" sheetId="2" r:id="rId2"/>
    <sheet name="Admins" sheetId="3" r:id="rId3"/>
    <sheet name="Lab" sheetId="5" r:id="rId4"/>
    <sheet name="Indoor Emergancy" sheetId="7" r:id="rId5"/>
    <sheet name="Pharmacy Recpinst" sheetId="6" r:id="rId6"/>
    <sheet name="Sweeper" sheetId="10" r:id="rId7"/>
    <sheet name="Drug Hospital" sheetId="13" r:id="rId8"/>
    <sheet name="Executive DRH" sheetId="14" r:id="rId9"/>
    <sheet name="Organization" sheetId="15" r:id="rId10"/>
    <sheet name="Social Media" sheetId="17" r:id="rId11"/>
    <sheet name="Kitchen" sheetId="16" r:id="rId12"/>
    <sheet name="VTI" sheetId="18" r:id="rId13"/>
    <sheet name="Suspended" sheetId="20" r:id="rId14"/>
    <sheet name="Remaining Salary May 2026" sheetId="19" r:id="rId15"/>
  </sheets>
  <definedNames>
    <definedName name="_xlnm.Print_Area" localSheetId="4">'Indoor Emergancy'!$A$1:$J$1360</definedName>
    <definedName name="_xlnm.Print_Area" localSheetId="0">M.Os!$A$1:$J$909</definedName>
    <definedName name="_xlnm.Print_Area" localSheetId="6">Sweeper!$A$1:$J$725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/>
  <c r="D16"/>
  <c r="C7"/>
  <c r="F221" i="16"/>
  <c r="F897" i="1"/>
  <c r="J17" i="2" l="1"/>
  <c r="G157" i="19"/>
  <c r="D156"/>
  <c r="J157" s="1"/>
  <c r="C147"/>
  <c r="G137"/>
  <c r="D136"/>
  <c r="J137" s="1"/>
  <c r="D130"/>
  <c r="C127"/>
  <c r="G117"/>
  <c r="J117" s="1"/>
  <c r="D116"/>
  <c r="C107"/>
  <c r="G97"/>
  <c r="J97" s="1"/>
  <c r="D96"/>
  <c r="C87"/>
  <c r="G77"/>
  <c r="D76"/>
  <c r="C67"/>
  <c r="G57"/>
  <c r="D56"/>
  <c r="J57" s="1"/>
  <c r="C47"/>
  <c r="G37"/>
  <c r="D36"/>
  <c r="J37" s="1"/>
  <c r="C27"/>
  <c r="G17"/>
  <c r="D16"/>
  <c r="J17" s="1"/>
  <c r="C7"/>
  <c r="G57" i="20"/>
  <c r="J57" s="1"/>
  <c r="D56"/>
  <c r="C47"/>
  <c r="G37"/>
  <c r="J37" s="1"/>
  <c r="D36"/>
  <c r="C27"/>
  <c r="G17"/>
  <c r="J17" s="1"/>
  <c r="D16"/>
  <c r="C7"/>
  <c r="G157" i="18"/>
  <c r="J157" s="1"/>
  <c r="D156"/>
  <c r="C147"/>
  <c r="G137"/>
  <c r="J137" s="1"/>
  <c r="D136"/>
  <c r="C127"/>
  <c r="G117"/>
  <c r="J117" s="1"/>
  <c r="D116"/>
  <c r="C107"/>
  <c r="G97"/>
  <c r="J97" s="1"/>
  <c r="D96"/>
  <c r="C87"/>
  <c r="G77"/>
  <c r="J77" s="1"/>
  <c r="D76"/>
  <c r="C67"/>
  <c r="G57"/>
  <c r="D56"/>
  <c r="J57" s="1"/>
  <c r="C47"/>
  <c r="G37"/>
  <c r="D36"/>
  <c r="J37" s="1"/>
  <c r="C27"/>
  <c r="G17"/>
  <c r="D16"/>
  <c r="J17" s="1"/>
  <c r="C7"/>
  <c r="G217" i="16"/>
  <c r="D216"/>
  <c r="J217" s="1"/>
  <c r="C207"/>
  <c r="G197"/>
  <c r="D196"/>
  <c r="J197" s="1"/>
  <c r="C187"/>
  <c r="G177"/>
  <c r="D176"/>
  <c r="J177" s="1"/>
  <c r="C167"/>
  <c r="G157"/>
  <c r="D156"/>
  <c r="J157" s="1"/>
  <c r="C147"/>
  <c r="G137"/>
  <c r="D136"/>
  <c r="J137" s="1"/>
  <c r="C127"/>
  <c r="G117"/>
  <c r="D116"/>
  <c r="J117" s="1"/>
  <c r="C107"/>
  <c r="G97"/>
  <c r="D96"/>
  <c r="J97" s="1"/>
  <c r="C87"/>
  <c r="G77"/>
  <c r="D76"/>
  <c r="J77" s="1"/>
  <c r="C67"/>
  <c r="G57"/>
  <c r="D56"/>
  <c r="J57" s="1"/>
  <c r="C47"/>
  <c r="G37"/>
  <c r="D36"/>
  <c r="C27"/>
  <c r="G17"/>
  <c r="D16"/>
  <c r="J17" s="1"/>
  <c r="C7"/>
  <c r="G57" i="17"/>
  <c r="D56"/>
  <c r="J57" s="1"/>
  <c r="C47"/>
  <c r="G37"/>
  <c r="D36"/>
  <c r="J37" s="1"/>
  <c r="C27"/>
  <c r="G17"/>
  <c r="D16"/>
  <c r="J17" s="1"/>
  <c r="C7"/>
  <c r="G736" i="15"/>
  <c r="D735"/>
  <c r="J736" s="1"/>
  <c r="C726"/>
  <c r="G717"/>
  <c r="D716"/>
  <c r="J717" s="1"/>
  <c r="C707"/>
  <c r="G697"/>
  <c r="D696"/>
  <c r="J697" s="1"/>
  <c r="C687"/>
  <c r="G677"/>
  <c r="D676"/>
  <c r="C667"/>
  <c r="G657"/>
  <c r="D656"/>
  <c r="J657" s="1"/>
  <c r="C647"/>
  <c r="G637"/>
  <c r="D636"/>
  <c r="J637" s="1"/>
  <c r="C627"/>
  <c r="G617"/>
  <c r="D616"/>
  <c r="J617" s="1"/>
  <c r="C607"/>
  <c r="G597"/>
  <c r="D596"/>
  <c r="J597" s="1"/>
  <c r="C587"/>
  <c r="G577"/>
  <c r="D576"/>
  <c r="J577" s="1"/>
  <c r="C567"/>
  <c r="G557"/>
  <c r="D556"/>
  <c r="J557" s="1"/>
  <c r="C547"/>
  <c r="G537"/>
  <c r="D536"/>
  <c r="J537" s="1"/>
  <c r="C527"/>
  <c r="G517"/>
  <c r="D516"/>
  <c r="J517" s="1"/>
  <c r="C507"/>
  <c r="G497"/>
  <c r="D496"/>
  <c r="J497" s="1"/>
  <c r="C487"/>
  <c r="G477"/>
  <c r="D476"/>
  <c r="J477" s="1"/>
  <c r="C467"/>
  <c r="G457"/>
  <c r="D456"/>
  <c r="J457" s="1"/>
  <c r="C447"/>
  <c r="G437"/>
  <c r="D436"/>
  <c r="J437" s="1"/>
  <c r="C427"/>
  <c r="G417"/>
  <c r="D416"/>
  <c r="J417" s="1"/>
  <c r="C407"/>
  <c r="G397"/>
  <c r="D396"/>
  <c r="J397" s="1"/>
  <c r="C387"/>
  <c r="G377"/>
  <c r="D376"/>
  <c r="J377" s="1"/>
  <c r="C367"/>
  <c r="G357"/>
  <c r="D356"/>
  <c r="J357" s="1"/>
  <c r="C347"/>
  <c r="G337"/>
  <c r="D336"/>
  <c r="J337" s="1"/>
  <c r="C327"/>
  <c r="G317"/>
  <c r="D316"/>
  <c r="J317" s="1"/>
  <c r="C307"/>
  <c r="G297"/>
  <c r="D296"/>
  <c r="J297" s="1"/>
  <c r="C287"/>
  <c r="G277"/>
  <c r="D276"/>
  <c r="J277" s="1"/>
  <c r="C267"/>
  <c r="G257"/>
  <c r="D256"/>
  <c r="J257" s="1"/>
  <c r="C247"/>
  <c r="G237"/>
  <c r="D236"/>
  <c r="J237" s="1"/>
  <c r="C227"/>
  <c r="G217"/>
  <c r="D216"/>
  <c r="J217" s="1"/>
  <c r="C207"/>
  <c r="G197"/>
  <c r="D196"/>
  <c r="J197" s="1"/>
  <c r="C187"/>
  <c r="G177"/>
  <c r="D176"/>
  <c r="J177" s="1"/>
  <c r="C167"/>
  <c r="G157"/>
  <c r="D156"/>
  <c r="J157" s="1"/>
  <c r="C147"/>
  <c r="G137"/>
  <c r="D136"/>
  <c r="J137" s="1"/>
  <c r="C127"/>
  <c r="G117"/>
  <c r="D116"/>
  <c r="C107"/>
  <c r="J97"/>
  <c r="G97"/>
  <c r="D96"/>
  <c r="C87"/>
  <c r="J77"/>
  <c r="G77"/>
  <c r="D76"/>
  <c r="C67"/>
  <c r="J57"/>
  <c r="G57"/>
  <c r="D56"/>
  <c r="J53"/>
  <c r="C47"/>
  <c r="G37"/>
  <c r="D36"/>
  <c r="J37" s="1"/>
  <c r="C27"/>
  <c r="G17"/>
  <c r="D16"/>
  <c r="J17" s="1"/>
  <c r="C7"/>
  <c r="G117" i="14"/>
  <c r="D116"/>
  <c r="J117" s="1"/>
  <c r="C107"/>
  <c r="G97"/>
  <c r="D96"/>
  <c r="J97" s="1"/>
  <c r="C87"/>
  <c r="J77"/>
  <c r="G77"/>
  <c r="D76"/>
  <c r="C67"/>
  <c r="J57"/>
  <c r="G57"/>
  <c r="D56"/>
  <c r="C47"/>
  <c r="J37"/>
  <c r="G37"/>
  <c r="D36"/>
  <c r="C27"/>
  <c r="J17"/>
  <c r="G17"/>
  <c r="D16"/>
  <c r="C7"/>
  <c r="J117" i="13"/>
  <c r="G117"/>
  <c r="D116"/>
  <c r="C107"/>
  <c r="J97"/>
  <c r="G97"/>
  <c r="D96"/>
  <c r="C87"/>
  <c r="G77"/>
  <c r="J77" s="1"/>
  <c r="D76"/>
  <c r="C67"/>
  <c r="G57"/>
  <c r="D56"/>
  <c r="J57" s="1"/>
  <c r="C47"/>
  <c r="G37"/>
  <c r="D36"/>
  <c r="C27"/>
  <c r="G17"/>
  <c r="D16"/>
  <c r="J17" s="1"/>
  <c r="C7"/>
  <c r="G709" i="10"/>
  <c r="D708"/>
  <c r="C699"/>
  <c r="G689"/>
  <c r="D688"/>
  <c r="C679"/>
  <c r="G670"/>
  <c r="D669"/>
  <c r="C660"/>
  <c r="G650"/>
  <c r="D649"/>
  <c r="C640"/>
  <c r="G630"/>
  <c r="D629"/>
  <c r="C620"/>
  <c r="G610"/>
  <c r="D609"/>
  <c r="C600"/>
  <c r="G590"/>
  <c r="D589"/>
  <c r="C580"/>
  <c r="G571"/>
  <c r="D570"/>
  <c r="C561"/>
  <c r="G552"/>
  <c r="D551"/>
  <c r="C542"/>
  <c r="G533"/>
  <c r="D532"/>
  <c r="C523"/>
  <c r="G514"/>
  <c r="D513"/>
  <c r="C504"/>
  <c r="G495"/>
  <c r="D494"/>
  <c r="C485"/>
  <c r="G476"/>
  <c r="D475"/>
  <c r="C466"/>
  <c r="G456"/>
  <c r="D455"/>
  <c r="C446"/>
  <c r="G436"/>
  <c r="D435"/>
  <c r="C426"/>
  <c r="G416"/>
  <c r="D415"/>
  <c r="C406"/>
  <c r="G396"/>
  <c r="D395"/>
  <c r="C386"/>
  <c r="G376"/>
  <c r="D375"/>
  <c r="C366"/>
  <c r="G356"/>
  <c r="D355"/>
  <c r="C346"/>
  <c r="G336"/>
  <c r="D335"/>
  <c r="C326"/>
  <c r="G316"/>
  <c r="D315"/>
  <c r="C306"/>
  <c r="G296"/>
  <c r="D295"/>
  <c r="C286"/>
  <c r="G276"/>
  <c r="D275"/>
  <c r="C266"/>
  <c r="G256"/>
  <c r="D255"/>
  <c r="C246"/>
  <c r="G236"/>
  <c r="D235"/>
  <c r="C226"/>
  <c r="G216"/>
  <c r="D215"/>
  <c r="C206"/>
  <c r="G196"/>
  <c r="D195"/>
  <c r="C186"/>
  <c r="G176"/>
  <c r="D175"/>
  <c r="C166"/>
  <c r="G156"/>
  <c r="D155"/>
  <c r="C146"/>
  <c r="G136"/>
  <c r="D135"/>
  <c r="C126"/>
  <c r="G116"/>
  <c r="D115"/>
  <c r="C106"/>
  <c r="G96"/>
  <c r="D95"/>
  <c r="C86"/>
  <c r="G76"/>
  <c r="D75"/>
  <c r="C66"/>
  <c r="G57"/>
  <c r="D56"/>
  <c r="C47"/>
  <c r="G37"/>
  <c r="D36"/>
  <c r="C27"/>
  <c r="G17"/>
  <c r="D16"/>
  <c r="C7"/>
  <c r="G788" i="6"/>
  <c r="J788" s="1"/>
  <c r="D787"/>
  <c r="C778"/>
  <c r="G769"/>
  <c r="D768"/>
  <c r="C759"/>
  <c r="G750"/>
  <c r="D749"/>
  <c r="C740"/>
  <c r="G730"/>
  <c r="D729"/>
  <c r="C720"/>
  <c r="G710"/>
  <c r="D709"/>
  <c r="C700"/>
  <c r="G690"/>
  <c r="D689"/>
  <c r="C680"/>
  <c r="G670"/>
  <c r="D669"/>
  <c r="C660"/>
  <c r="G650"/>
  <c r="J650" s="1"/>
  <c r="D649"/>
  <c r="C640"/>
  <c r="G630"/>
  <c r="D629"/>
  <c r="C620"/>
  <c r="G610"/>
  <c r="D609"/>
  <c r="C600"/>
  <c r="G590"/>
  <c r="D589"/>
  <c r="C580"/>
  <c r="G570"/>
  <c r="D569"/>
  <c r="C560"/>
  <c r="G550"/>
  <c r="D549"/>
  <c r="C540"/>
  <c r="G531"/>
  <c r="D530"/>
  <c r="C521"/>
  <c r="G512"/>
  <c r="D511"/>
  <c r="C502"/>
  <c r="G492"/>
  <c r="J492" s="1"/>
  <c r="D491"/>
  <c r="C482"/>
  <c r="G472"/>
  <c r="D471"/>
  <c r="C462"/>
  <c r="G452"/>
  <c r="D451"/>
  <c r="C442"/>
  <c r="G433"/>
  <c r="D432"/>
  <c r="J433" s="1"/>
  <c r="C423"/>
  <c r="G414"/>
  <c r="D413"/>
  <c r="C404"/>
  <c r="G395"/>
  <c r="D394"/>
  <c r="C385"/>
  <c r="G375"/>
  <c r="D374"/>
  <c r="C365"/>
  <c r="G355"/>
  <c r="D354"/>
  <c r="C345"/>
  <c r="G335"/>
  <c r="J335" s="1"/>
  <c r="D334"/>
  <c r="C325"/>
  <c r="G315"/>
  <c r="D314"/>
  <c r="C305"/>
  <c r="G275"/>
  <c r="D274"/>
  <c r="C265"/>
  <c r="G295"/>
  <c r="D294"/>
  <c r="C285"/>
  <c r="G255"/>
  <c r="D254"/>
  <c r="C245"/>
  <c r="G236"/>
  <c r="D235"/>
  <c r="C226"/>
  <c r="G216"/>
  <c r="D215"/>
  <c r="C206"/>
  <c r="G196"/>
  <c r="D195"/>
  <c r="J196" s="1"/>
  <c r="C186"/>
  <c r="G176"/>
  <c r="D175"/>
  <c r="C166"/>
  <c r="G156"/>
  <c r="D155"/>
  <c r="C146"/>
  <c r="G136"/>
  <c r="D135"/>
  <c r="C126"/>
  <c r="G116"/>
  <c r="D115"/>
  <c r="C106"/>
  <c r="G96"/>
  <c r="D95"/>
  <c r="C86"/>
  <c r="G76"/>
  <c r="D75"/>
  <c r="C66"/>
  <c r="G56"/>
  <c r="D55"/>
  <c r="C46"/>
  <c r="G36"/>
  <c r="D35"/>
  <c r="C26"/>
  <c r="G17"/>
  <c r="J17" s="1"/>
  <c r="D16"/>
  <c r="C7"/>
  <c r="G1344" i="7"/>
  <c r="D1343"/>
  <c r="J1344" s="1"/>
  <c r="C1334"/>
  <c r="G1324"/>
  <c r="D1323"/>
  <c r="J1324" s="1"/>
  <c r="C1314"/>
  <c r="G1304"/>
  <c r="D1303"/>
  <c r="J1304" s="1"/>
  <c r="C1294"/>
  <c r="G1284"/>
  <c r="D1283"/>
  <c r="J1284" s="1"/>
  <c r="C1274"/>
  <c r="G1264"/>
  <c r="D1263"/>
  <c r="J1264" s="1"/>
  <c r="C1254"/>
  <c r="G1244"/>
  <c r="D1243"/>
  <c r="J1244" s="1"/>
  <c r="C1234"/>
  <c r="G1224"/>
  <c r="D1223"/>
  <c r="J1224" s="1"/>
  <c r="C1214"/>
  <c r="G1204"/>
  <c r="D1203"/>
  <c r="J1204" s="1"/>
  <c r="C1194"/>
  <c r="G1184"/>
  <c r="J1184" s="1"/>
  <c r="D1183"/>
  <c r="C1174"/>
  <c r="G1164"/>
  <c r="D1163"/>
  <c r="C1154"/>
  <c r="G1144"/>
  <c r="D1143"/>
  <c r="C1134"/>
  <c r="G1124"/>
  <c r="D1123"/>
  <c r="C1114"/>
  <c r="G1105"/>
  <c r="D1104"/>
  <c r="C1095"/>
  <c r="G1086"/>
  <c r="D1085"/>
  <c r="C1076"/>
  <c r="G1067"/>
  <c r="D1066"/>
  <c r="C1057"/>
  <c r="G1047"/>
  <c r="D1046"/>
  <c r="C1037"/>
  <c r="G1027"/>
  <c r="D1026"/>
  <c r="J1027" s="1"/>
  <c r="C1017"/>
  <c r="G1007"/>
  <c r="D1006"/>
  <c r="C997"/>
  <c r="G987"/>
  <c r="D986"/>
  <c r="J987" s="1"/>
  <c r="C977"/>
  <c r="G967"/>
  <c r="D966"/>
  <c r="J967" s="1"/>
  <c r="C957"/>
  <c r="G947"/>
  <c r="D946"/>
  <c r="J947" s="1"/>
  <c r="C937"/>
  <c r="G927"/>
  <c r="D926"/>
  <c r="C917"/>
  <c r="G907"/>
  <c r="D906"/>
  <c r="J907" s="1"/>
  <c r="C897"/>
  <c r="G887"/>
  <c r="D886"/>
  <c r="J887" s="1"/>
  <c r="C877"/>
  <c r="G868"/>
  <c r="D867"/>
  <c r="J868" s="1"/>
  <c r="C858"/>
  <c r="G849"/>
  <c r="D848"/>
  <c r="C839"/>
  <c r="G830"/>
  <c r="D829"/>
  <c r="J830" s="1"/>
  <c r="C820"/>
  <c r="G810"/>
  <c r="D809"/>
  <c r="C800"/>
  <c r="G790"/>
  <c r="D789"/>
  <c r="J790" s="1"/>
  <c r="C780"/>
  <c r="G770"/>
  <c r="D769"/>
  <c r="J770" s="1"/>
  <c r="C760"/>
  <c r="G750"/>
  <c r="D749"/>
  <c r="J750" s="1"/>
  <c r="C740"/>
  <c r="G730"/>
  <c r="D729"/>
  <c r="J730" s="1"/>
  <c r="C720"/>
  <c r="G710"/>
  <c r="D709"/>
  <c r="J710" s="1"/>
  <c r="C700"/>
  <c r="G690"/>
  <c r="D689"/>
  <c r="J690" s="1"/>
  <c r="C680"/>
  <c r="G670"/>
  <c r="D669"/>
  <c r="J670" s="1"/>
  <c r="C660"/>
  <c r="G650"/>
  <c r="D649"/>
  <c r="J650" s="1"/>
  <c r="C640"/>
  <c r="G630"/>
  <c r="D629"/>
  <c r="J630" s="1"/>
  <c r="C620"/>
  <c r="G610"/>
  <c r="D609"/>
  <c r="J610" s="1"/>
  <c r="C600"/>
  <c r="G590"/>
  <c r="D589"/>
  <c r="C580"/>
  <c r="G570"/>
  <c r="D569"/>
  <c r="J570" s="1"/>
  <c r="C560"/>
  <c r="J552"/>
  <c r="G552"/>
  <c r="D551"/>
  <c r="C542"/>
  <c r="G533"/>
  <c r="D532"/>
  <c r="C523"/>
  <c r="G514"/>
  <c r="D513"/>
  <c r="C504"/>
  <c r="G494"/>
  <c r="J494" s="1"/>
  <c r="D493"/>
  <c r="C484"/>
  <c r="G474"/>
  <c r="D473"/>
  <c r="C464"/>
  <c r="G454"/>
  <c r="J454" s="1"/>
  <c r="D453"/>
  <c r="C444"/>
  <c r="G434"/>
  <c r="D433"/>
  <c r="C424"/>
  <c r="G414"/>
  <c r="J414" s="1"/>
  <c r="D413"/>
  <c r="C404"/>
  <c r="G394"/>
  <c r="D393"/>
  <c r="C384"/>
  <c r="G374"/>
  <c r="D373"/>
  <c r="C364"/>
  <c r="G356"/>
  <c r="D355"/>
  <c r="C346"/>
  <c r="G336"/>
  <c r="D335"/>
  <c r="C326"/>
  <c r="G316"/>
  <c r="D315"/>
  <c r="J316" s="1"/>
  <c r="C306"/>
  <c r="G296"/>
  <c r="D295"/>
  <c r="J296" s="1"/>
  <c r="C286"/>
  <c r="G276"/>
  <c r="D275"/>
  <c r="J276" s="1"/>
  <c r="C266"/>
  <c r="G256"/>
  <c r="D255"/>
  <c r="C246"/>
  <c r="G236"/>
  <c r="D235"/>
  <c r="J236" s="1"/>
  <c r="C226"/>
  <c r="G216"/>
  <c r="D215"/>
  <c r="C206"/>
  <c r="G196"/>
  <c r="D195"/>
  <c r="J196" s="1"/>
  <c r="C186"/>
  <c r="G176"/>
  <c r="D175"/>
  <c r="C166"/>
  <c r="G157"/>
  <c r="D156"/>
  <c r="J157" s="1"/>
  <c r="C147"/>
  <c r="G137"/>
  <c r="D136"/>
  <c r="J137" s="1"/>
  <c r="C127"/>
  <c r="G117"/>
  <c r="D116"/>
  <c r="C107"/>
  <c r="G97"/>
  <c r="J97" s="1"/>
  <c r="D96"/>
  <c r="C87"/>
  <c r="G77"/>
  <c r="D76"/>
  <c r="C67"/>
  <c r="G57"/>
  <c r="J57" s="1"/>
  <c r="D56"/>
  <c r="C47"/>
  <c r="G37"/>
  <c r="D36"/>
  <c r="C27"/>
  <c r="G17"/>
  <c r="J17" s="1"/>
  <c r="D16"/>
  <c r="C7"/>
  <c r="G516" i="5"/>
  <c r="J516" s="1"/>
  <c r="D515"/>
  <c r="C506"/>
  <c r="G496"/>
  <c r="D495"/>
  <c r="C486"/>
  <c r="G476"/>
  <c r="D475"/>
  <c r="J476" s="1"/>
  <c r="C466"/>
  <c r="G456"/>
  <c r="D455"/>
  <c r="C446"/>
  <c r="G436"/>
  <c r="D435"/>
  <c r="C426"/>
  <c r="G416"/>
  <c r="J416" s="1"/>
  <c r="D415"/>
  <c r="C406"/>
  <c r="G396"/>
  <c r="J396" s="1"/>
  <c r="D395"/>
  <c r="C386"/>
  <c r="G376"/>
  <c r="J376" s="1"/>
  <c r="D375"/>
  <c r="C366"/>
  <c r="G356"/>
  <c r="D355"/>
  <c r="C346"/>
  <c r="G336"/>
  <c r="D335"/>
  <c r="J336" s="1"/>
  <c r="C326"/>
  <c r="G316"/>
  <c r="D315"/>
  <c r="J316" s="1"/>
  <c r="C306"/>
  <c r="G296"/>
  <c r="D295"/>
  <c r="C286"/>
  <c r="G277"/>
  <c r="D276"/>
  <c r="J277" s="1"/>
  <c r="C267"/>
  <c r="G257"/>
  <c r="D256"/>
  <c r="C247"/>
  <c r="G237"/>
  <c r="D236"/>
  <c r="J237" s="1"/>
  <c r="C227"/>
  <c r="G217"/>
  <c r="D216"/>
  <c r="J217" s="1"/>
  <c r="C207"/>
  <c r="G197"/>
  <c r="D196"/>
  <c r="J197" s="1"/>
  <c r="C187"/>
  <c r="G177"/>
  <c r="D176"/>
  <c r="C167"/>
  <c r="G157"/>
  <c r="D156"/>
  <c r="J157" s="1"/>
  <c r="C147"/>
  <c r="G137"/>
  <c r="D136"/>
  <c r="J137" s="1"/>
  <c r="C127"/>
  <c r="G117"/>
  <c r="D116"/>
  <c r="J117" s="1"/>
  <c r="C107"/>
  <c r="G97"/>
  <c r="D96"/>
  <c r="C87"/>
  <c r="G77"/>
  <c r="D76"/>
  <c r="J77" s="1"/>
  <c r="C67"/>
  <c r="G57"/>
  <c r="D56"/>
  <c r="J57" s="1"/>
  <c r="C47"/>
  <c r="G37"/>
  <c r="D36"/>
  <c r="C27"/>
  <c r="G17"/>
  <c r="J17" s="1"/>
  <c r="D16"/>
  <c r="C7"/>
  <c r="G413" i="3"/>
  <c r="J413" s="1"/>
  <c r="D412"/>
  <c r="C403"/>
  <c r="G393"/>
  <c r="J393" s="1"/>
  <c r="D392"/>
  <c r="C383"/>
  <c r="G373"/>
  <c r="J373" s="1"/>
  <c r="D372"/>
  <c r="C363"/>
  <c r="G353"/>
  <c r="J353" s="1"/>
  <c r="D352"/>
  <c r="C343"/>
  <c r="G333"/>
  <c r="D332"/>
  <c r="C323"/>
  <c r="G313"/>
  <c r="J313" s="1"/>
  <c r="D312"/>
  <c r="C303"/>
  <c r="G293"/>
  <c r="J293" s="1"/>
  <c r="D292"/>
  <c r="C283"/>
  <c r="G273"/>
  <c r="J273" s="1"/>
  <c r="D272"/>
  <c r="C263"/>
  <c r="G253"/>
  <c r="J253" s="1"/>
  <c r="D252"/>
  <c r="C243"/>
  <c r="G233"/>
  <c r="D232"/>
  <c r="C223"/>
  <c r="G213"/>
  <c r="D212"/>
  <c r="J213" s="1"/>
  <c r="C203"/>
  <c r="G193"/>
  <c r="D192"/>
  <c r="C183"/>
  <c r="G174"/>
  <c r="D173"/>
  <c r="J172"/>
  <c r="C164"/>
  <c r="G155"/>
  <c r="D154"/>
  <c r="C145"/>
  <c r="G135"/>
  <c r="D134"/>
  <c r="J135" s="1"/>
  <c r="C125"/>
  <c r="G115"/>
  <c r="D114"/>
  <c r="C105"/>
  <c r="G95"/>
  <c r="D94"/>
  <c r="C85"/>
  <c r="G75"/>
  <c r="D74"/>
  <c r="C65"/>
  <c r="G56"/>
  <c r="J56" s="1"/>
  <c r="D55"/>
  <c r="C46"/>
  <c r="G36"/>
  <c r="D35"/>
  <c r="C26"/>
  <c r="G17"/>
  <c r="D16"/>
  <c r="C7"/>
  <c r="G632" i="2"/>
  <c r="D631"/>
  <c r="J632" s="1"/>
  <c r="C622"/>
  <c r="G613"/>
  <c r="D612"/>
  <c r="J613" s="1"/>
  <c r="C603"/>
  <c r="G594"/>
  <c r="D593"/>
  <c r="C584"/>
  <c r="G575"/>
  <c r="D574"/>
  <c r="J575" s="1"/>
  <c r="C565"/>
  <c r="G556"/>
  <c r="D555"/>
  <c r="J556" s="1"/>
  <c r="C546"/>
  <c r="G536"/>
  <c r="D535"/>
  <c r="C526"/>
  <c r="G516"/>
  <c r="D515"/>
  <c r="C506"/>
  <c r="G496"/>
  <c r="D495"/>
  <c r="C486"/>
  <c r="G476"/>
  <c r="D475"/>
  <c r="C466"/>
  <c r="G455"/>
  <c r="D454"/>
  <c r="C445"/>
  <c r="G435"/>
  <c r="D434"/>
  <c r="C425"/>
  <c r="G415"/>
  <c r="J415" s="1"/>
  <c r="D414"/>
  <c r="C405"/>
  <c r="G395"/>
  <c r="D394"/>
  <c r="C385"/>
  <c r="G375"/>
  <c r="J375" s="1"/>
  <c r="D374"/>
  <c r="C365"/>
  <c r="G355"/>
  <c r="D354"/>
  <c r="C345"/>
  <c r="G335"/>
  <c r="J335" s="1"/>
  <c r="D334"/>
  <c r="C325"/>
  <c r="G315"/>
  <c r="D314"/>
  <c r="C305"/>
  <c r="G296"/>
  <c r="J296" s="1"/>
  <c r="D295"/>
  <c r="C286"/>
  <c r="G276"/>
  <c r="D275"/>
  <c r="C266"/>
  <c r="G257"/>
  <c r="D256"/>
  <c r="C247"/>
  <c r="G237"/>
  <c r="D236"/>
  <c r="C227"/>
  <c r="G217"/>
  <c r="J217" s="1"/>
  <c r="D216"/>
  <c r="C207"/>
  <c r="G197"/>
  <c r="D196"/>
  <c r="C187"/>
  <c r="G177"/>
  <c r="J177" s="1"/>
  <c r="D176"/>
  <c r="C167"/>
  <c r="G157"/>
  <c r="D156"/>
  <c r="C147"/>
  <c r="G137"/>
  <c r="J137" s="1"/>
  <c r="D136"/>
  <c r="C127"/>
  <c r="G117"/>
  <c r="D116"/>
  <c r="C107"/>
  <c r="G97"/>
  <c r="J97" s="1"/>
  <c r="D96"/>
  <c r="C87"/>
  <c r="G77"/>
  <c r="D76"/>
  <c r="C67"/>
  <c r="G57"/>
  <c r="D56"/>
  <c r="C47"/>
  <c r="G37"/>
  <c r="D36"/>
  <c r="C27"/>
  <c r="G893" i="1"/>
  <c r="D892"/>
  <c r="C883"/>
  <c r="G873"/>
  <c r="D872"/>
  <c r="C863"/>
  <c r="G853"/>
  <c r="D852"/>
  <c r="C843"/>
  <c r="G835"/>
  <c r="D834"/>
  <c r="C825"/>
  <c r="G816"/>
  <c r="D815"/>
  <c r="C806"/>
  <c r="G796"/>
  <c r="D795"/>
  <c r="C786"/>
  <c r="G776"/>
  <c r="D775"/>
  <c r="C766"/>
  <c r="G756"/>
  <c r="D755"/>
  <c r="C746"/>
  <c r="G736"/>
  <c r="D735"/>
  <c r="C726"/>
  <c r="G716"/>
  <c r="D715"/>
  <c r="C706"/>
  <c r="G696"/>
  <c r="D695"/>
  <c r="C686"/>
  <c r="G676"/>
  <c r="D675"/>
  <c r="C666"/>
  <c r="G656"/>
  <c r="D655"/>
  <c r="C646"/>
  <c r="G636"/>
  <c r="D635"/>
  <c r="C626"/>
  <c r="G616"/>
  <c r="D615"/>
  <c r="C606"/>
  <c r="G596"/>
  <c r="D595"/>
  <c r="C586"/>
  <c r="G576"/>
  <c r="D575"/>
  <c r="C566"/>
  <c r="G556"/>
  <c r="D555"/>
  <c r="C546"/>
  <c r="G536"/>
  <c r="D535"/>
  <c r="C526"/>
  <c r="G516"/>
  <c r="D515"/>
  <c r="C506"/>
  <c r="G495"/>
  <c r="D494"/>
  <c r="C485"/>
  <c r="G474"/>
  <c r="D473"/>
  <c r="C464"/>
  <c r="G454"/>
  <c r="D453"/>
  <c r="C444"/>
  <c r="G434"/>
  <c r="D433"/>
  <c r="C424"/>
  <c r="G414"/>
  <c r="D413"/>
  <c r="C404"/>
  <c r="G394"/>
  <c r="D393"/>
  <c r="C384"/>
  <c r="G374"/>
  <c r="D373"/>
  <c r="C364"/>
  <c r="G354"/>
  <c r="D353"/>
  <c r="C344"/>
  <c r="G334"/>
  <c r="D333"/>
  <c r="C324"/>
  <c r="G314"/>
  <c r="D313"/>
  <c r="C304"/>
  <c r="G294"/>
  <c r="D293"/>
  <c r="C284"/>
  <c r="G274"/>
  <c r="D273"/>
  <c r="C264"/>
  <c r="G254"/>
  <c r="D253"/>
  <c r="C244"/>
  <c r="G234"/>
  <c r="D233"/>
  <c r="C224"/>
  <c r="G214"/>
  <c r="D213"/>
  <c r="C204"/>
  <c r="G194"/>
  <c r="D193"/>
  <c r="C184"/>
  <c r="G174"/>
  <c r="D173"/>
  <c r="C164"/>
  <c r="G155"/>
  <c r="D154"/>
  <c r="C145"/>
  <c r="G135"/>
  <c r="D134"/>
  <c r="C125"/>
  <c r="G116"/>
  <c r="D115"/>
  <c r="C106"/>
  <c r="G97"/>
  <c r="D96"/>
  <c r="C87"/>
  <c r="G77"/>
  <c r="D76"/>
  <c r="C67"/>
  <c r="G57"/>
  <c r="D56"/>
  <c r="C47"/>
  <c r="G37"/>
  <c r="D36"/>
  <c r="C27"/>
  <c r="G17"/>
  <c r="D16"/>
  <c r="C7"/>
  <c r="J37" i="16" l="1"/>
  <c r="J96" i="10"/>
  <c r="F713" s="1"/>
  <c r="P711" s="1"/>
  <c r="J176"/>
  <c r="J256"/>
  <c r="J336"/>
  <c r="J416"/>
  <c r="J495"/>
  <c r="J571"/>
  <c r="J650"/>
  <c r="J37"/>
  <c r="J17"/>
  <c r="J76"/>
  <c r="J156"/>
  <c r="J136"/>
  <c r="J376"/>
  <c r="J456"/>
  <c r="J533"/>
  <c r="J610"/>
  <c r="J689"/>
  <c r="J57"/>
  <c r="J116"/>
  <c r="J276"/>
  <c r="J356"/>
  <c r="J236"/>
  <c r="J316"/>
  <c r="J396"/>
  <c r="J476"/>
  <c r="J552"/>
  <c r="J630"/>
  <c r="J709"/>
  <c r="J216"/>
  <c r="J296"/>
  <c r="J436"/>
  <c r="J514"/>
  <c r="J590"/>
  <c r="J670"/>
  <c r="J472" i="6"/>
  <c r="J315"/>
  <c r="J156"/>
  <c r="J1144" i="7"/>
  <c r="J1164"/>
  <c r="J1124"/>
  <c r="J1105"/>
  <c r="J1067"/>
  <c r="J514"/>
  <c r="J474"/>
  <c r="J434"/>
  <c r="J394"/>
  <c r="J374"/>
  <c r="J117"/>
  <c r="J77"/>
  <c r="J37"/>
  <c r="J333" i="3"/>
  <c r="J155"/>
  <c r="J95"/>
  <c r="J75"/>
  <c r="J36"/>
  <c r="J496" i="2"/>
  <c r="J476"/>
  <c r="J455"/>
  <c r="J435"/>
  <c r="J395"/>
  <c r="J355"/>
  <c r="J315"/>
  <c r="J276"/>
  <c r="J257"/>
  <c r="J237"/>
  <c r="J197"/>
  <c r="J157"/>
  <c r="J117"/>
  <c r="J77"/>
  <c r="J57"/>
  <c r="J37"/>
  <c r="J776" i="1"/>
  <c r="J77"/>
  <c r="J155"/>
  <c r="J234"/>
  <c r="J314"/>
  <c r="J394"/>
  <c r="J474"/>
  <c r="J556"/>
  <c r="J636"/>
  <c r="J116"/>
  <c r="J194"/>
  <c r="J274"/>
  <c r="J516"/>
  <c r="J596"/>
  <c r="J57"/>
  <c r="J135"/>
  <c r="J374"/>
  <c r="J454"/>
  <c r="J536"/>
  <c r="J354"/>
  <c r="J214"/>
  <c r="J294"/>
  <c r="J616"/>
  <c r="J676"/>
  <c r="J873"/>
  <c r="J37"/>
  <c r="J434"/>
  <c r="J736"/>
  <c r="J816"/>
  <c r="J17"/>
  <c r="J97"/>
  <c r="J174"/>
  <c r="J254"/>
  <c r="J334"/>
  <c r="J414"/>
  <c r="J495"/>
  <c r="J656"/>
  <c r="J716"/>
  <c r="J853"/>
  <c r="J796"/>
  <c r="J756"/>
  <c r="J893"/>
  <c r="J17" i="3"/>
  <c r="F161" i="18"/>
  <c r="J233" i="3"/>
  <c r="J356" i="5"/>
  <c r="J1047" i="7"/>
  <c r="J136" i="6"/>
  <c r="F119" i="13"/>
  <c r="F61" i="20"/>
  <c r="F161" i="19"/>
  <c r="J516" i="2"/>
  <c r="J594"/>
  <c r="J174" i="3"/>
  <c r="J193"/>
  <c r="J256" i="7"/>
  <c r="J336"/>
  <c r="J356"/>
  <c r="J849"/>
  <c r="J927"/>
  <c r="J1007"/>
  <c r="F61" i="17"/>
  <c r="J275" i="6"/>
  <c r="J531"/>
  <c r="J216" i="7"/>
  <c r="J810"/>
  <c r="F121" i="14"/>
  <c r="J677" i="15"/>
  <c r="F740" s="1"/>
  <c r="J536" i="2"/>
  <c r="J115" i="3"/>
  <c r="J97" i="5"/>
  <c r="J177"/>
  <c r="J176" i="7"/>
  <c r="J590"/>
  <c r="J196" i="10"/>
  <c r="J496" i="5"/>
  <c r="J456"/>
  <c r="J436"/>
  <c r="F520" s="1"/>
  <c r="J296"/>
  <c r="J257"/>
  <c r="J37"/>
  <c r="J36" i="6"/>
  <c r="J96"/>
  <c r="J116"/>
  <c r="J176"/>
  <c r="J295"/>
  <c r="J512"/>
  <c r="J670"/>
  <c r="J769"/>
  <c r="J216"/>
  <c r="J690"/>
  <c r="J576" i="1"/>
  <c r="J750" i="6"/>
  <c r="J630"/>
  <c r="J570"/>
  <c r="J550"/>
  <c r="J395"/>
  <c r="J375"/>
  <c r="J76"/>
  <c r="J236"/>
  <c r="J355"/>
  <c r="J590"/>
  <c r="J710"/>
  <c r="J255"/>
  <c r="J414"/>
  <c r="F792" s="1"/>
  <c r="J610"/>
  <c r="J730"/>
  <c r="J452"/>
  <c r="J56"/>
  <c r="J533" i="7"/>
  <c r="F1348" l="1"/>
  <c r="F417" i="3"/>
  <c r="F635" i="2"/>
  <c r="P897" i="1"/>
</calcChain>
</file>

<file path=xl/sharedStrings.xml><?xml version="1.0" encoding="utf-8"?>
<sst xmlns="http://schemas.openxmlformats.org/spreadsheetml/2006/main" count="21091" uniqueCount="1117">
  <si>
    <t>Youth Community Development Organization</t>
  </si>
  <si>
    <t>Stipend Slip Month Of June 2026</t>
  </si>
  <si>
    <t>CNIC</t>
  </si>
  <si>
    <t>36302-5045766-7</t>
  </si>
  <si>
    <t>Hospital</t>
  </si>
  <si>
    <t>Masoom Shah</t>
  </si>
  <si>
    <t>Name</t>
  </si>
  <si>
    <t>Dr.Effat Pasha</t>
  </si>
  <si>
    <t>Work Place</t>
  </si>
  <si>
    <t>YCDO Multan Pakistan</t>
  </si>
  <si>
    <t>Designation</t>
  </si>
  <si>
    <t>Sonologist</t>
  </si>
  <si>
    <t>Period</t>
  </si>
  <si>
    <t>01/06/2026 To 30/06/2026</t>
  </si>
  <si>
    <t xml:space="preserve">Total Day </t>
  </si>
  <si>
    <t xml:space="preserve">Leave </t>
  </si>
  <si>
    <t xml:space="preserve">Time </t>
  </si>
  <si>
    <t>02:30 PM To 06:30 PM</t>
  </si>
  <si>
    <t>Presence</t>
  </si>
  <si>
    <t>Pay &amp; Allowances</t>
  </si>
  <si>
    <t>Amount</t>
  </si>
  <si>
    <t>Deduction</t>
  </si>
  <si>
    <t>Paid Through</t>
  </si>
  <si>
    <t>Stipend</t>
  </si>
  <si>
    <t>Advance</t>
  </si>
  <si>
    <t>Nil</t>
  </si>
  <si>
    <t>United Bank Ltd</t>
  </si>
  <si>
    <t>Previous Month</t>
  </si>
  <si>
    <t>Loan</t>
  </si>
  <si>
    <t>General Bus Stand Branch</t>
  </si>
  <si>
    <t>Reward On Progresss</t>
  </si>
  <si>
    <t>MobileLoad</t>
  </si>
  <si>
    <t>Multan</t>
  </si>
  <si>
    <t xml:space="preserve">  </t>
  </si>
  <si>
    <t>Rewards</t>
  </si>
  <si>
    <t>Absence</t>
  </si>
  <si>
    <t>Other Allowance</t>
  </si>
  <si>
    <t>Fine</t>
  </si>
  <si>
    <t>Fuel</t>
  </si>
  <si>
    <t>Health</t>
  </si>
  <si>
    <t>Mobile Load</t>
  </si>
  <si>
    <t>Provident Fund</t>
  </si>
  <si>
    <t>Stipend &amp; Other Allowances</t>
  </si>
  <si>
    <t>Tex</t>
  </si>
  <si>
    <t>Net Pay</t>
  </si>
  <si>
    <t>Bank Charges (if any) will be deducted from Stipend by the bank</t>
  </si>
  <si>
    <t>e</t>
  </si>
  <si>
    <t xml:space="preserve">President YCDO </t>
  </si>
  <si>
    <t>Chairman Admin YCDO</t>
  </si>
  <si>
    <t>Chairman Finance YCDO</t>
  </si>
  <si>
    <t>Dr. Faisal Rasheed</t>
  </si>
  <si>
    <t>Orthopedic Surgeon</t>
  </si>
  <si>
    <t>Kitchen Exp</t>
  </si>
  <si>
    <t>Dr. Haris Khan</t>
  </si>
  <si>
    <t>M.D</t>
  </si>
  <si>
    <t>08:00 AM To 08:00 PM</t>
  </si>
  <si>
    <t xml:space="preserve">Stipend </t>
  </si>
  <si>
    <t>Extra Day</t>
  </si>
  <si>
    <t>Staff Pending Med</t>
  </si>
  <si>
    <t>Allowance</t>
  </si>
  <si>
    <t>Best-I Allowance</t>
  </si>
  <si>
    <t xml:space="preserve">Fine </t>
  </si>
  <si>
    <t>Less Hrs</t>
  </si>
  <si>
    <t>Stipend &amp; Other Allowance</t>
  </si>
  <si>
    <t>Operate Pending</t>
  </si>
  <si>
    <t>36602-9131955-9</t>
  </si>
  <si>
    <t>Dr. Muhammad Yousaf</t>
  </si>
  <si>
    <t>Medical Officer</t>
  </si>
  <si>
    <t>08:00 AM To 04:00 PM</t>
  </si>
  <si>
    <t xml:space="preserve">Extra Duty </t>
  </si>
  <si>
    <t>Internet Expenses</t>
  </si>
  <si>
    <t xml:space="preserve">Absence </t>
  </si>
  <si>
    <t xml:space="preserve">Previous Month </t>
  </si>
  <si>
    <t xml:space="preserve"> </t>
  </si>
  <si>
    <t>36302-7796670-9</t>
  </si>
  <si>
    <t>Dr. Subhan Ahmed</t>
  </si>
  <si>
    <t>04:00 PM To 12:00 AM</t>
  </si>
  <si>
    <t>Extra Days</t>
  </si>
  <si>
    <t>Rashan</t>
  </si>
  <si>
    <t>Less Hours</t>
  </si>
  <si>
    <t>32201-6843537-7</t>
  </si>
  <si>
    <t>Dr. Shah Rukh Khan</t>
  </si>
  <si>
    <t>16 Hours</t>
  </si>
  <si>
    <t>Audit Difference</t>
  </si>
  <si>
    <t>Sunday Duty</t>
  </si>
  <si>
    <t>36202-3620777-5</t>
  </si>
  <si>
    <t>Dr. Muhammad Waqas</t>
  </si>
  <si>
    <t>09:00 AM To 05:00 PM</t>
  </si>
  <si>
    <t>30 Hours</t>
  </si>
  <si>
    <t>Excess Mobile Bill</t>
  </si>
  <si>
    <t>Reliever Duty</t>
  </si>
  <si>
    <t>Dr. M. Shamraiz Furqaz Aslam</t>
  </si>
  <si>
    <t>36302-9490478-1</t>
  </si>
  <si>
    <t>M.Sohail Anjum</t>
  </si>
  <si>
    <t>OPD Staff</t>
  </si>
  <si>
    <t>9.00 AM to 4:00 PM</t>
  </si>
  <si>
    <t>previous Month</t>
  </si>
  <si>
    <t>Best-II Allowance</t>
  </si>
  <si>
    <t>Lesss Hrs</t>
  </si>
  <si>
    <t>Dr. Imsal Zaheer</t>
  </si>
  <si>
    <t>Dental Surgeon</t>
  </si>
  <si>
    <t>03:00 PM To 10:00 PM</t>
  </si>
  <si>
    <t>20 Hours</t>
  </si>
  <si>
    <t xml:space="preserve">previous Month </t>
  </si>
  <si>
    <t>Extra Duty In Place Of</t>
  </si>
  <si>
    <t>Dr. Ali Raza</t>
  </si>
  <si>
    <t>36302-8424179-2</t>
  </si>
  <si>
    <t>Consultant Floor</t>
  </si>
  <si>
    <t>08:00 AM To 03:00 PM</t>
  </si>
  <si>
    <t>Extra Hour</t>
  </si>
  <si>
    <t>Other Allowances</t>
  </si>
  <si>
    <t xml:space="preserve">Less Hours  </t>
  </si>
  <si>
    <t>Consultant</t>
  </si>
  <si>
    <t>Dr. Zoya Baloch</t>
  </si>
  <si>
    <t>Physiotheropist</t>
  </si>
  <si>
    <t>09:00 PM To 04:00 PM</t>
  </si>
  <si>
    <t xml:space="preserve">Short Hours </t>
  </si>
  <si>
    <t>Dr. Khadija Ejaz</t>
  </si>
  <si>
    <t>Physiotherapist</t>
  </si>
  <si>
    <t>04:00 PM To 10:00 PM</t>
  </si>
  <si>
    <t>01 Day</t>
  </si>
  <si>
    <t xml:space="preserve">Reward On Progresss </t>
  </si>
  <si>
    <t>Extra Duty In Place Dr. Zoya</t>
  </si>
  <si>
    <t>Dr. Sana Jamshed</t>
  </si>
  <si>
    <t xml:space="preserve">Consultant </t>
  </si>
  <si>
    <t>01:00 PM To 09:00 PM</t>
  </si>
  <si>
    <t>Kitxhen Exp</t>
  </si>
  <si>
    <t>M. D Allowance</t>
  </si>
  <si>
    <t>36301-1961850-0</t>
  </si>
  <si>
    <t>Dr. Iqra Malik</t>
  </si>
  <si>
    <t>Opthalomogist</t>
  </si>
  <si>
    <t>03 Days+ 08 Hrs</t>
  </si>
  <si>
    <t>Extra Duty In Place Ali Raza</t>
  </si>
  <si>
    <t>Ali Raza</t>
  </si>
  <si>
    <t>Eye OPD</t>
  </si>
  <si>
    <t>Extra Duty In Place Dr. Iqra</t>
  </si>
  <si>
    <t>Petrol</t>
  </si>
  <si>
    <t>36302-0878633-0</t>
  </si>
  <si>
    <t>Miss Unzila</t>
  </si>
  <si>
    <t>USG</t>
  </si>
  <si>
    <t>08:00 PM To 08:00 AM</t>
  </si>
  <si>
    <t>Electricity Bill</t>
  </si>
  <si>
    <t>36302-3794979-9</t>
  </si>
  <si>
    <t>YCDO Executive Hospital-1</t>
  </si>
  <si>
    <t>Dr. Zobaib</t>
  </si>
  <si>
    <t>Sr. Medical Officer</t>
  </si>
  <si>
    <t>Internet Exp</t>
  </si>
  <si>
    <t>Reward</t>
  </si>
  <si>
    <t>Surgery Management Allowace</t>
  </si>
  <si>
    <t>Dr. Amir Malik</t>
  </si>
  <si>
    <t>Consultant Physician</t>
  </si>
  <si>
    <t>09:00 AM To 03:00 PM</t>
  </si>
  <si>
    <t>36102-5695035-9</t>
  </si>
  <si>
    <t>Dr. Hassan Raza Bukhari</t>
  </si>
  <si>
    <t>04:00 PM To 10 PM</t>
  </si>
  <si>
    <t>25 Hours</t>
  </si>
  <si>
    <t>Kitchen Expenses</t>
  </si>
  <si>
    <t>Did 7 Hours Duty</t>
  </si>
  <si>
    <t>36103-0418234-6</t>
  </si>
  <si>
    <t>Dr. Laraib Gul</t>
  </si>
  <si>
    <t>Dermatologist</t>
  </si>
  <si>
    <t>Late Hour</t>
  </si>
  <si>
    <t>36302-5100246-6</t>
  </si>
  <si>
    <t>Dr. Syeda Nisha Chishti</t>
  </si>
  <si>
    <t>Dentist</t>
  </si>
  <si>
    <t>36302-4988336-3</t>
  </si>
  <si>
    <t>Dr. Taha Ejaz</t>
  </si>
  <si>
    <t>Dr. Mehwish</t>
  </si>
  <si>
    <t>Best-1 Allowance</t>
  </si>
  <si>
    <t>36302-7000898-6</t>
  </si>
  <si>
    <t>Dr. Mahnoor Sarfraz</t>
  </si>
  <si>
    <t>03:00 PM To 11:00 PM</t>
  </si>
  <si>
    <t>08 Hours</t>
  </si>
  <si>
    <t>36102-7927520-1</t>
  </si>
  <si>
    <t>Hussain Badshah</t>
  </si>
  <si>
    <t>Skin Aesthetic</t>
  </si>
  <si>
    <t>01:00 PM To 10:00 PM</t>
  </si>
  <si>
    <t>15% Stipend Hold</t>
  </si>
  <si>
    <t>32103-6527478-9</t>
  </si>
  <si>
    <t>Dr. Umair Atta</t>
  </si>
  <si>
    <t>Senior Medical Officer</t>
  </si>
  <si>
    <t>32203-1909499-2</t>
  </si>
  <si>
    <t>YCDO Executive Hospital-2</t>
  </si>
  <si>
    <t>Dr. Binish Naeem</t>
  </si>
  <si>
    <t>Pediatric Surgeon</t>
  </si>
  <si>
    <t>08:00 AM To 02:00 PM</t>
  </si>
  <si>
    <t>36302-0915681-0</t>
  </si>
  <si>
    <t>Dr. Ramsha Jamshed</t>
  </si>
  <si>
    <t>Pediatrician</t>
  </si>
  <si>
    <t>02:00 PM To 08:00 PM</t>
  </si>
  <si>
    <t>32302-9870835-3</t>
  </si>
  <si>
    <t>Rangeel Pur</t>
  </si>
  <si>
    <t>Dr. Nadeem Akram</t>
  </si>
  <si>
    <t>43102-5099057-3</t>
  </si>
  <si>
    <t>Dr. Muhammad Bilal</t>
  </si>
  <si>
    <t>M.O</t>
  </si>
  <si>
    <t>03 Days</t>
  </si>
  <si>
    <t>Extra Duty In Place Dr. Iqra +</t>
  </si>
  <si>
    <t>Dr. Najeeb</t>
  </si>
  <si>
    <t>32304-2796405-9</t>
  </si>
  <si>
    <t>Dr. Muhammad Mubashir</t>
  </si>
  <si>
    <t>Radiologist</t>
  </si>
  <si>
    <t>09:00 AM To 09:00 PM</t>
  </si>
  <si>
    <t>StaffPending Med</t>
  </si>
  <si>
    <t>32304-4679600-5</t>
  </si>
  <si>
    <t>Qasim Pur</t>
  </si>
  <si>
    <t>Dr. Muhammad Zubair Akhtar</t>
  </si>
  <si>
    <t>10:00 PM To 08:00 AM</t>
  </si>
  <si>
    <t>36301-6190903-9</t>
  </si>
  <si>
    <t>Dr. Adil Farooq</t>
  </si>
  <si>
    <t>36102-1011489-1</t>
  </si>
  <si>
    <t>YCDO Hospital Bilawal Pur</t>
  </si>
  <si>
    <t>Dr. Faheem Kamran</t>
  </si>
  <si>
    <t>Extra Duty In Place Dr. Rimsha</t>
  </si>
  <si>
    <t xml:space="preserve">kitchen exp </t>
  </si>
  <si>
    <t>Sikandar Abad</t>
  </si>
  <si>
    <t>07 Days</t>
  </si>
  <si>
    <t>Dr. Rashid</t>
  </si>
  <si>
    <t>Physio</t>
  </si>
  <si>
    <t>Collection</t>
  </si>
  <si>
    <t>32302-2567078-5</t>
  </si>
  <si>
    <t>Abdul Hakeem</t>
  </si>
  <si>
    <t>Dr. Ilyas Rasheed</t>
  </si>
  <si>
    <t>12 Hours</t>
  </si>
  <si>
    <t>Gas bill</t>
  </si>
  <si>
    <t>12 Hours Duty</t>
  </si>
  <si>
    <t xml:space="preserve">12 Hours In Place Of </t>
  </si>
  <si>
    <t>Hassan Abad</t>
  </si>
  <si>
    <t>Dr. Farooq Ahmed</t>
  </si>
  <si>
    <t>04 Hours</t>
  </si>
  <si>
    <t>Best-III Allowance</t>
  </si>
  <si>
    <t>10th Moharam Duty</t>
  </si>
  <si>
    <t>32203-3061856-6</t>
  </si>
  <si>
    <t>Dr. Almas Khan</t>
  </si>
  <si>
    <t>03:00 PM To 10:00 AM</t>
  </si>
  <si>
    <t>36303-0168632-0</t>
  </si>
  <si>
    <t>YCDO Hospital Budhla</t>
  </si>
  <si>
    <t>Dr. Zaka-Ullah</t>
  </si>
  <si>
    <t>Electricity</t>
  </si>
  <si>
    <t xml:space="preserve">Prev. Month </t>
  </si>
  <si>
    <t>Hassan Parwana</t>
  </si>
  <si>
    <t>Dr. Afzal Hussain</t>
  </si>
  <si>
    <t>04:00 PM To 09:00 PM</t>
  </si>
  <si>
    <t>.</t>
  </si>
  <si>
    <t>Previous Momth</t>
  </si>
  <si>
    <t>36302-8689928-0</t>
  </si>
  <si>
    <t>Dr. Fasiha Fatima</t>
  </si>
  <si>
    <t>Extra Hours</t>
  </si>
  <si>
    <t>07 Hours</t>
  </si>
  <si>
    <t>Kitchen Expe</t>
  </si>
  <si>
    <t>Total Collection</t>
  </si>
  <si>
    <t>Routine Pending</t>
  </si>
  <si>
    <t>Dr. Laiba</t>
  </si>
  <si>
    <t>09:00 AM To 04:00 PM</t>
  </si>
  <si>
    <t>Rested</t>
  </si>
  <si>
    <t>Jumma Wala</t>
  </si>
  <si>
    <t>Nazar Abbas</t>
  </si>
  <si>
    <t>Petrol Allowances</t>
  </si>
  <si>
    <t>32103-7530386-0</t>
  </si>
  <si>
    <t>Allah Dad YCDO Hospital</t>
  </si>
  <si>
    <t>Dr. Ishrat-Ul-Ain</t>
  </si>
  <si>
    <t>WMO</t>
  </si>
  <si>
    <t>Mr. Khizar Hayat</t>
  </si>
  <si>
    <t>08:00 AM to 08:00 PM</t>
  </si>
  <si>
    <t xml:space="preserve">Grand total </t>
  </si>
  <si>
    <t>Prepared By</t>
  </si>
  <si>
    <t>Chairman Executive Council</t>
  </si>
  <si>
    <t>Founder/Head Of Organization</t>
  </si>
  <si>
    <t>General Secertary</t>
  </si>
  <si>
    <t>36101-2993986-4</t>
  </si>
  <si>
    <t>Dr. Saba Shabir</t>
  </si>
  <si>
    <t>Gynacologist</t>
  </si>
  <si>
    <t>2 Hrs</t>
  </si>
  <si>
    <t>36302-2461609-8</t>
  </si>
  <si>
    <t>Dr. Ayesha Farooq</t>
  </si>
  <si>
    <t>36303-3807390-2</t>
  </si>
  <si>
    <t>Dr. Sania Subhani</t>
  </si>
  <si>
    <t>Sr. WMO</t>
  </si>
  <si>
    <t>36302-1165728-6</t>
  </si>
  <si>
    <t>Madam Gulzar Begum</t>
  </si>
  <si>
    <t>LHV Staff</t>
  </si>
  <si>
    <t>09:00 AM to 09:00 PM</t>
  </si>
  <si>
    <t>Extra day</t>
  </si>
  <si>
    <t>Tax</t>
  </si>
  <si>
    <t>38302-8552607-6</t>
  </si>
  <si>
    <t>Dr. Shah Bano</t>
  </si>
  <si>
    <t xml:space="preserve">Fine  </t>
  </si>
  <si>
    <t>36302-5275453-2</t>
  </si>
  <si>
    <t>Dr. Saima Gul Khan</t>
  </si>
  <si>
    <t>02:00 PM To 10:00 PM</t>
  </si>
  <si>
    <t>Resigned</t>
  </si>
  <si>
    <t>32102-7773817-8</t>
  </si>
  <si>
    <t>Dr. Mahpara Zahid</t>
  </si>
  <si>
    <t>36301-4946963-2</t>
  </si>
  <si>
    <t>Dr. Iram Mushtaq</t>
  </si>
  <si>
    <t>04Days + 04 Hours</t>
  </si>
  <si>
    <t>Sunday + Extra Duty In Place Of</t>
  </si>
  <si>
    <t>Dr. Samia Saeed</t>
  </si>
  <si>
    <t>Allied Bank Ltd.</t>
  </si>
  <si>
    <t xml:space="preserve">Branch:Masoom shah road </t>
  </si>
  <si>
    <t>Dr. Yusra</t>
  </si>
  <si>
    <t>36302-5597254-4</t>
  </si>
  <si>
    <t>Dr. Shahana Yasmeen</t>
  </si>
  <si>
    <t>Dr. Fozia</t>
  </si>
  <si>
    <t>Previous Month Reward</t>
  </si>
  <si>
    <t>36303-044206-4</t>
  </si>
  <si>
    <t>Dr. Muqadas Zahra</t>
  </si>
  <si>
    <t>36302-6016825-0</t>
  </si>
  <si>
    <t>Dr.  Iqra</t>
  </si>
  <si>
    <t>03:00 PM to 10:00 PM</t>
  </si>
  <si>
    <t>108 Hrs</t>
  </si>
  <si>
    <t>32304-152914-0</t>
  </si>
  <si>
    <t>Dr. Fareeha Anum</t>
  </si>
  <si>
    <t>10:00 AM To 08:00 AM</t>
  </si>
  <si>
    <t>04 Days+41 Hrs</t>
  </si>
  <si>
    <t>Electricty Bill</t>
  </si>
  <si>
    <t>J/Wala Allowance</t>
  </si>
  <si>
    <t>Miss Hina</t>
  </si>
  <si>
    <t>32102-1601524-5</t>
  </si>
  <si>
    <t>Dr. Aqsa Soban</t>
  </si>
  <si>
    <t>02 Days</t>
  </si>
  <si>
    <t>Fine Return</t>
  </si>
  <si>
    <t>36302-7988200-6</t>
  </si>
  <si>
    <t>Dr. Hareem Hussain</t>
  </si>
  <si>
    <t>14 Hours</t>
  </si>
  <si>
    <t>Extra Duty In Place Dr. Aqsa +</t>
  </si>
  <si>
    <t>Miss Yushfa</t>
  </si>
  <si>
    <t>36102-2424860-8</t>
  </si>
  <si>
    <t>LHV</t>
  </si>
  <si>
    <t>04;00 PM To 08:00 AM</t>
  </si>
  <si>
    <t>46 Hours</t>
  </si>
  <si>
    <t xml:space="preserve">Admin Allowance </t>
  </si>
  <si>
    <t>Extra Duty In Place Dr. Aqsa</t>
  </si>
  <si>
    <t>Recovery</t>
  </si>
  <si>
    <t>Miss Sana</t>
  </si>
  <si>
    <t>Dr. Ramsha Zafar</t>
  </si>
  <si>
    <t>09:00 PM To 01:00 PM</t>
  </si>
  <si>
    <t>26 Hours</t>
  </si>
  <si>
    <t>16 Hours Duty</t>
  </si>
  <si>
    <t>Dr. Toor-Un-Nisa</t>
  </si>
  <si>
    <t>Dr. Sabahat Fatima</t>
  </si>
  <si>
    <t>Extra Duty In Place Dr. Kamran</t>
  </si>
  <si>
    <t>36302-1825298-6</t>
  </si>
  <si>
    <t>Miss Mubashira Rehman</t>
  </si>
  <si>
    <t>08:00 PM To 12:00 AM</t>
  </si>
  <si>
    <t>Admin Allowance</t>
  </si>
  <si>
    <t>Fine Bio Metric</t>
  </si>
  <si>
    <t>Dr.Amna Noor</t>
  </si>
  <si>
    <t>24 Hours</t>
  </si>
  <si>
    <t>Extra Duty In Place Naheeda</t>
  </si>
  <si>
    <t>Miss Naheeda Nasir</t>
  </si>
  <si>
    <t>Miss Fazeela Manzoor</t>
  </si>
  <si>
    <t>LHV/OPD Staff</t>
  </si>
  <si>
    <t>36302-770785-5</t>
  </si>
  <si>
    <t>Dr. Ramsha Shahid</t>
  </si>
  <si>
    <t>04 Days</t>
  </si>
  <si>
    <t>Dr. Sajida</t>
  </si>
  <si>
    <t>36302-9901050-8</t>
  </si>
  <si>
    <t>Jumma Wali</t>
  </si>
  <si>
    <t>Dr. Sana Saleem</t>
  </si>
  <si>
    <t>On Rest</t>
  </si>
  <si>
    <t>Miss Sonia</t>
  </si>
  <si>
    <t>36303-6491894-9</t>
  </si>
  <si>
    <t>Miss Sana Yasin</t>
  </si>
  <si>
    <t>04:00 PM To 08:00 AM</t>
  </si>
  <si>
    <t>Gas Bill</t>
  </si>
  <si>
    <t>Best-Ii Allowance</t>
  </si>
  <si>
    <t>32304-9597612-3</t>
  </si>
  <si>
    <t>Zubair Arif</t>
  </si>
  <si>
    <t>Admin Officer</t>
  </si>
  <si>
    <t>Basic</t>
  </si>
  <si>
    <t>Mobile Bill</t>
  </si>
  <si>
    <t>Previous Month Stipend</t>
  </si>
  <si>
    <t>Miss Shazia Qadir</t>
  </si>
  <si>
    <t>Indoor Admin</t>
  </si>
  <si>
    <t>8:00 PM To 08:00 AM</t>
  </si>
  <si>
    <t>Uniform</t>
  </si>
  <si>
    <t>Previous Days</t>
  </si>
  <si>
    <t>02 Days In Place Of Ansar</t>
  </si>
  <si>
    <t>01 Day In Place Of Ansar</t>
  </si>
  <si>
    <t>36302-7971668-8</t>
  </si>
  <si>
    <t>Miss Aqsa Tariq</t>
  </si>
  <si>
    <t>Admin</t>
  </si>
  <si>
    <t>01 Day Executive-2</t>
  </si>
  <si>
    <t>36302-5086707-5</t>
  </si>
  <si>
    <t>Mr. Ansar</t>
  </si>
  <si>
    <t>07:00 AM To 07:00 PM</t>
  </si>
  <si>
    <t>02 Days DRH</t>
  </si>
  <si>
    <t>01 Day Hassan Parwana</t>
  </si>
  <si>
    <t>01 Day Executive-1</t>
  </si>
  <si>
    <t>Huzaifa Altaf</t>
  </si>
  <si>
    <t>01 Day In Place Of Muzamil</t>
  </si>
  <si>
    <t>Ishtiaq Altaf</t>
  </si>
  <si>
    <t>05 Days</t>
  </si>
  <si>
    <t>Short Summary</t>
  </si>
  <si>
    <t>Reception Allowance</t>
  </si>
  <si>
    <t>01 Day In Place Muzamil</t>
  </si>
  <si>
    <t>02 Days In Place Of Huzaifa</t>
  </si>
  <si>
    <t>02 Days In Place Of Nauman</t>
  </si>
  <si>
    <t>32304-7036234-6</t>
  </si>
  <si>
    <t>Miss Yusra</t>
  </si>
  <si>
    <t>Admin/Receptionist</t>
  </si>
  <si>
    <t>08:00 AM To 10:00 PM</t>
  </si>
  <si>
    <t>Admin Allowanced</t>
  </si>
  <si>
    <t>As Per SOP 50% Is to be paid</t>
  </si>
  <si>
    <t>Short Hrs</t>
  </si>
  <si>
    <t>Consultant Floor Executive-1</t>
  </si>
  <si>
    <t>Miss Alisha</t>
  </si>
  <si>
    <t>Reception/Admin</t>
  </si>
  <si>
    <t>01 Day In Place Of Dua</t>
  </si>
  <si>
    <t>Miss Kousar Rozeen</t>
  </si>
  <si>
    <t>Monitoring Allowance</t>
  </si>
  <si>
    <t>Total:-</t>
  </si>
  <si>
    <t>36302-1378865-4</t>
  </si>
  <si>
    <t>Miss Rukhsana Kousar</t>
  </si>
  <si>
    <t>02 Days In Place Of Zaneera</t>
  </si>
  <si>
    <t>5% Share On Pvt Rooms</t>
  </si>
  <si>
    <t>02 Days In Place Of</t>
  </si>
  <si>
    <t>36304-0565371-9</t>
  </si>
  <si>
    <t>Syed Rizwan</t>
  </si>
  <si>
    <t>Staff Pending</t>
  </si>
  <si>
    <t>Excess Mobile Bil</t>
  </si>
  <si>
    <t>36302-2222477-6</t>
  </si>
  <si>
    <t>Miss Maria Kainat</t>
  </si>
  <si>
    <t>Miss Riffat</t>
  </si>
  <si>
    <t>Miss Riffat Malik</t>
  </si>
  <si>
    <t>Previous Moth Half Stipend</t>
  </si>
  <si>
    <t>36103-8355165-9</t>
  </si>
  <si>
    <t>Miss Sidra</t>
  </si>
  <si>
    <t>09:00 PM To 09:00 AM</t>
  </si>
  <si>
    <t>03 Days + 100 Hrs</t>
  </si>
  <si>
    <t>15 Hours Duty</t>
  </si>
  <si>
    <t>03 Days In Place Of Sheraz</t>
  </si>
  <si>
    <t>36304-4671232-4</t>
  </si>
  <si>
    <t>Miss Nimra Saleem</t>
  </si>
  <si>
    <t>Fuel Allowance</t>
  </si>
  <si>
    <t>Admin Allowances</t>
  </si>
  <si>
    <t>Stop</t>
  </si>
  <si>
    <t>36101-5161304-4</t>
  </si>
  <si>
    <t>Miss Musfirah Iqbal</t>
  </si>
  <si>
    <t>Indoor Staff/Admin Officer</t>
  </si>
  <si>
    <t>01 Day In Place Of Hammad</t>
  </si>
  <si>
    <t>02 days In Place Of Bushra</t>
  </si>
  <si>
    <t>02 Days In Place Of Nimrah</t>
  </si>
  <si>
    <t>Ehsan-Ul-Haq Shani</t>
  </si>
  <si>
    <t>Admin Officer+ Night OPD</t>
  </si>
  <si>
    <t>08:00 AM To 08:00 AM</t>
  </si>
  <si>
    <t>Pending Medicine</t>
  </si>
  <si>
    <t>Total Pending</t>
  </si>
  <si>
    <t>Deduction May</t>
  </si>
  <si>
    <t>Deduction June</t>
  </si>
  <si>
    <t>Balance</t>
  </si>
  <si>
    <t>Miss Dua Khan</t>
  </si>
  <si>
    <t>Reception + Admin</t>
  </si>
  <si>
    <t>Best-III Allownce</t>
  </si>
  <si>
    <t>Muhammad Muzamil</t>
  </si>
  <si>
    <t>36602-5375273-4</t>
  </si>
  <si>
    <t>Miss Uzma Mehfooz</t>
  </si>
  <si>
    <t>Extra Duty In Place Of Rafia</t>
  </si>
  <si>
    <t>32203-1908000-6</t>
  </si>
  <si>
    <t>Miss Rafia Saleem</t>
  </si>
  <si>
    <t>32102-4842528-0</t>
  </si>
  <si>
    <t>M. Arslan Arshi</t>
  </si>
  <si>
    <t>Lab Incharge</t>
  </si>
  <si>
    <t>10:00 AM To 10:00 PM</t>
  </si>
  <si>
    <t>Zahid Iqbal</t>
  </si>
  <si>
    <t>Lab Staff</t>
  </si>
  <si>
    <t>Extra Duty In Place Of Tayyab</t>
  </si>
  <si>
    <t>Masoom Shah Branch</t>
  </si>
  <si>
    <t>Abdullah Allah Bakhsh</t>
  </si>
  <si>
    <t>Extra Duty In Place Of Mujahid</t>
  </si>
  <si>
    <t>33203-0277692-9</t>
  </si>
  <si>
    <t>Abdullah Ansari</t>
  </si>
  <si>
    <t>38104-8621593-1</t>
  </si>
  <si>
    <t>Mujahid</t>
  </si>
  <si>
    <t xml:space="preserve">08:00 AM To 08:00 </t>
  </si>
  <si>
    <t>Extra Duty In Place Of Abdullah</t>
  </si>
  <si>
    <t>Muhammad Tayyab</t>
  </si>
  <si>
    <t>Previous Month 05 Days</t>
  </si>
  <si>
    <t xml:space="preserve">Reinstate as per SOP 50% </t>
  </si>
  <si>
    <t>stipend is to be paid</t>
  </si>
  <si>
    <t>Miss Ayyon</t>
  </si>
  <si>
    <t>36302-4275405-5</t>
  </si>
  <si>
    <t>Miss Samreen</t>
  </si>
  <si>
    <t>Miss Saba</t>
  </si>
  <si>
    <t>Miss Bushra</t>
  </si>
  <si>
    <t>36302-3779203-5</t>
  </si>
  <si>
    <t>Miss Uzma</t>
  </si>
  <si>
    <t xml:space="preserve">Previous Monh </t>
  </si>
  <si>
    <t>Extra Duty In Place Of Hifza</t>
  </si>
  <si>
    <t>Miss Hifza</t>
  </si>
  <si>
    <t>02 Days In Place Of Uzma</t>
  </si>
  <si>
    <t>01 Day In Place Of Samreen</t>
  </si>
  <si>
    <t>Muhammad Yousaf</t>
  </si>
  <si>
    <t>04 Days In Place Of Hina</t>
  </si>
  <si>
    <t>03 Days In Place Of Naveed</t>
  </si>
  <si>
    <t>36304-3850596-2</t>
  </si>
  <si>
    <t>Miss Hina Javaid</t>
  </si>
  <si>
    <t>02 Days+08 Hrs</t>
  </si>
  <si>
    <t>Extra Duty In Place Of Yousaf</t>
  </si>
  <si>
    <t>36302-7868496-1</t>
  </si>
  <si>
    <t>Naveed</t>
  </si>
  <si>
    <t>United Bank Ltd.</t>
  </si>
  <si>
    <t>96 Hours</t>
  </si>
  <si>
    <t xml:space="preserve">Branch: General Bus Stand </t>
  </si>
  <si>
    <t>12 Days 08 Hours Duty</t>
  </si>
  <si>
    <t>18 Days 16 Hours Duty</t>
  </si>
  <si>
    <t>Miss Rabia</t>
  </si>
  <si>
    <t>04:00 PM To 12:00 PM</t>
  </si>
  <si>
    <t>Extra Duty In Place Of Naveed</t>
  </si>
  <si>
    <t>32303-7007692-9</t>
  </si>
  <si>
    <t>Muhammad Waseem</t>
  </si>
  <si>
    <t>116 Hours</t>
  </si>
  <si>
    <t>16 Hours Duty (Single Staff)</t>
  </si>
  <si>
    <t>36302-4790546-5</t>
  </si>
  <si>
    <t>Umar Rasheed</t>
  </si>
  <si>
    <t>06:00 AM To 12:00 AM</t>
  </si>
  <si>
    <t>36302-4416516-2</t>
  </si>
  <si>
    <t>YCDO Hospital Abdul Hakeem</t>
  </si>
  <si>
    <t>Muhammad Aqeel</t>
  </si>
  <si>
    <t>36302-9902267-6</t>
  </si>
  <si>
    <t>Miss Eram Wakeel</t>
  </si>
  <si>
    <t>07:00 AM To 03:00 PM</t>
  </si>
  <si>
    <t>Rashan Allowance</t>
  </si>
  <si>
    <t>Extra Duty In Place Of Arslan</t>
  </si>
  <si>
    <t>Mr. Arslan</t>
  </si>
  <si>
    <t>02 days In Place Of Earam</t>
  </si>
  <si>
    <t>01 Day In Place Of Hifza</t>
  </si>
  <si>
    <t>Budhla Sant</t>
  </si>
  <si>
    <t>Sarmad Ali</t>
  </si>
  <si>
    <t>Basic Pay</t>
  </si>
  <si>
    <t>Incentives</t>
  </si>
  <si>
    <t>Gross Pay &amp; Allowances</t>
  </si>
  <si>
    <t>Bank Charges (if any) will be deducted from salary by the bank</t>
  </si>
  <si>
    <t>32303-3087443-1</t>
  </si>
  <si>
    <t>Hassaan Parwana</t>
  </si>
  <si>
    <t>Muhammad Zohaib</t>
  </si>
  <si>
    <t>Extra Duty In Place Of Abid</t>
  </si>
  <si>
    <t>Muhammad Abid</t>
  </si>
  <si>
    <t>Duty In Place Of Zohaib</t>
  </si>
  <si>
    <t>Muhammad Faizan</t>
  </si>
  <si>
    <t>56 Hours</t>
  </si>
  <si>
    <t>14 Hours Duty (Single Staff)</t>
  </si>
  <si>
    <t>32101-2757697-7</t>
  </si>
  <si>
    <t>Muhammad Ziad</t>
  </si>
  <si>
    <t>36302-4682990-3</t>
  </si>
  <si>
    <t>Mueeb-Ur-Rehman</t>
  </si>
  <si>
    <t>OTA</t>
  </si>
  <si>
    <t xml:space="preserve">Kitchen Exp </t>
  </si>
  <si>
    <t>Extra Duty In Place Of Imran</t>
  </si>
  <si>
    <t>mana</t>
  </si>
  <si>
    <t>33204-0470465-5</t>
  </si>
  <si>
    <t>Muhammad Imran</t>
  </si>
  <si>
    <t>OTT</t>
  </si>
  <si>
    <t>02 Days In Place Of Mujeeb</t>
  </si>
  <si>
    <t>02 Days In Place Of Musayyab</t>
  </si>
  <si>
    <t>32303-4617972-7</t>
  </si>
  <si>
    <t>M. Musayyab</t>
  </si>
  <si>
    <t>36202-8398407-4</t>
  </si>
  <si>
    <t>Miss Nimra Rafi</t>
  </si>
  <si>
    <t>Gynae Assistant</t>
  </si>
  <si>
    <t>36303-6851616-9</t>
  </si>
  <si>
    <t>Miss Mehreen</t>
  </si>
  <si>
    <t>Indoor Staff</t>
  </si>
  <si>
    <t>Miss Munaza</t>
  </si>
  <si>
    <t>Recovery Staff</t>
  </si>
  <si>
    <t>Shoft Cash</t>
  </si>
  <si>
    <t>Previuous Month</t>
  </si>
  <si>
    <t>Extra Duty In Place Of Rubina</t>
  </si>
  <si>
    <t>36302-1767782-6</t>
  </si>
  <si>
    <t>Muhammad Ajmal</t>
  </si>
  <si>
    <t>Emergency Staff</t>
  </si>
  <si>
    <t>Muhammad Waqas</t>
  </si>
  <si>
    <t>Extra Duty In Place Of Ajmal</t>
  </si>
  <si>
    <t>Miss Rubina</t>
  </si>
  <si>
    <t>Best-II Staff</t>
  </si>
  <si>
    <t>Extra Duty In Place Of Munaza</t>
  </si>
  <si>
    <t>Miss Anam Zahid</t>
  </si>
  <si>
    <t>New Joining</t>
  </si>
  <si>
    <t>M. Waseem</t>
  </si>
  <si>
    <t>Nursery Staff</t>
  </si>
  <si>
    <t>Nursery Allowance</t>
  </si>
  <si>
    <t>01 Day In Place Of Waseem</t>
  </si>
  <si>
    <t>01 Day In Place Of Sibtain</t>
  </si>
  <si>
    <t>Sibtain Raza</t>
  </si>
  <si>
    <t>Hold 50%</t>
  </si>
  <si>
    <t xml:space="preserve">Porvious Month </t>
  </si>
  <si>
    <t>36102-1647605-0</t>
  </si>
  <si>
    <t>Miss Sehrish Bilal</t>
  </si>
  <si>
    <t>Extra Duty In Place Of Mehreen</t>
  </si>
  <si>
    <t>36102-6785522-8</t>
  </si>
  <si>
    <t>Miss Saima</t>
  </si>
  <si>
    <t>Injection Staff</t>
  </si>
  <si>
    <t>Miss Sadia</t>
  </si>
  <si>
    <t>USG Assistant</t>
  </si>
  <si>
    <t>Extra Duty In Place Of Zneera</t>
  </si>
  <si>
    <t>36302-9596665-3</t>
  </si>
  <si>
    <t>Zia-Ur-Rehman</t>
  </si>
  <si>
    <t>Physio Assistant</t>
  </si>
  <si>
    <t>36302-2233688-2</t>
  </si>
  <si>
    <t>Miss Esha</t>
  </si>
  <si>
    <t>Indoor+OT+Nursery+Admin</t>
  </si>
  <si>
    <t>Previous Month Fine Return</t>
  </si>
  <si>
    <t>5% Share On Private Rooms</t>
  </si>
  <si>
    <t>Umar Subhan</t>
  </si>
  <si>
    <t>Extra Duty In Place Of Rashid</t>
  </si>
  <si>
    <t>36602-32610680-2</t>
  </si>
  <si>
    <t>Muhammad Rashid</t>
  </si>
  <si>
    <t>02 Days In Place Of Subhan</t>
  </si>
  <si>
    <t>01 Day In place Of Yasir</t>
  </si>
  <si>
    <t>Faiza Ashraf</t>
  </si>
  <si>
    <t>Extra Duty In Place Of Esha</t>
  </si>
  <si>
    <t>10:00 PM To 10:00 AM</t>
  </si>
  <si>
    <t>Mah Rukh</t>
  </si>
  <si>
    <t>Miss Dua Alam</t>
  </si>
  <si>
    <t>32304-9201764-5</t>
  </si>
  <si>
    <t>Muhammad Mughees</t>
  </si>
  <si>
    <t>X-Ray Technician</t>
  </si>
  <si>
    <t>36302-7163961-9</t>
  </si>
  <si>
    <t>Zakir Ali</t>
  </si>
  <si>
    <t>Dental Assistant</t>
  </si>
  <si>
    <t>Extra Duty Camp Choti Zareen</t>
  </si>
  <si>
    <t>Travelling Exp</t>
  </si>
  <si>
    <t>Miss Anila</t>
  </si>
  <si>
    <t>Umair Ejaz</t>
  </si>
  <si>
    <t>36303-3736420-7</t>
  </si>
  <si>
    <t>Abdul Rehman</t>
  </si>
  <si>
    <t>Nursary Staff</t>
  </si>
  <si>
    <t>Miss Iqra Aziz</t>
  </si>
  <si>
    <t>Inchargeship Allowance</t>
  </si>
  <si>
    <t>Miss Manahil</t>
  </si>
  <si>
    <t>01 Day In Place Of Mehwish</t>
  </si>
  <si>
    <t>Miss Mehwish</t>
  </si>
  <si>
    <t>Reovery Staff</t>
  </si>
  <si>
    <t>32304-3354567-2</t>
  </si>
  <si>
    <t>Miss Tyyaba Arif</t>
  </si>
  <si>
    <t>Indoor + Recovery Staff</t>
  </si>
  <si>
    <t>08:00 AM TO 08:00 PM</t>
  </si>
  <si>
    <t>Eecutive Allowance</t>
  </si>
  <si>
    <t>32301-7890932-6</t>
  </si>
  <si>
    <t>M. Kamran</t>
  </si>
  <si>
    <t>Extra Duty In Place Of Ejaz</t>
  </si>
  <si>
    <t>Ejaz Ahmed</t>
  </si>
  <si>
    <t>Extra Duty In Place Kamran</t>
  </si>
  <si>
    <t>Miss Ayesha</t>
  </si>
  <si>
    <t>Best-III Nursing Staff</t>
  </si>
  <si>
    <t>36302-2389121-8</t>
  </si>
  <si>
    <t>Miss Ashna</t>
  </si>
  <si>
    <t>Miss Nagina</t>
  </si>
  <si>
    <t>01 day</t>
  </si>
  <si>
    <t>36302-7038270-6</t>
  </si>
  <si>
    <t>36303-4592342-0</t>
  </si>
  <si>
    <t>Miss Sadaf Ishtiaq</t>
  </si>
  <si>
    <t>Mr. Atif</t>
  </si>
  <si>
    <t>Extra Duty In Place Of Sadaf</t>
  </si>
  <si>
    <t>36104-1389543-1</t>
  </si>
  <si>
    <t>Mr. Sheraz</t>
  </si>
  <si>
    <t>OTA + Emergency Staff</t>
  </si>
  <si>
    <t>13 Days Bilawal Pur</t>
  </si>
  <si>
    <t>05 Days Masoom Shah</t>
  </si>
  <si>
    <t>32303-6929344-0</t>
  </si>
  <si>
    <t>YCDO MULTAN</t>
  </si>
  <si>
    <t>Extra Duty In Place Of Abida</t>
  </si>
  <si>
    <t>Adhoc Allowance</t>
  </si>
  <si>
    <t>Miss Fahmeeda</t>
  </si>
  <si>
    <t>Abida Altaf</t>
  </si>
  <si>
    <t>32304-7925757-3</t>
  </si>
  <si>
    <t>Nadeem Abbas</t>
  </si>
  <si>
    <t>Admin/Emergency</t>
  </si>
  <si>
    <t>02 Days+108 Hrs</t>
  </si>
  <si>
    <t>Extra Duty In Place Of Alishba</t>
  </si>
  <si>
    <t>Miss Alishba</t>
  </si>
  <si>
    <t>27 Hours</t>
  </si>
  <si>
    <t>Extra Duty In Place Of Riffat</t>
  </si>
  <si>
    <t>36102-8775124-0</t>
  </si>
  <si>
    <t>Miss Sumaira Mukhtar</t>
  </si>
  <si>
    <t>Indroor Staff</t>
  </si>
  <si>
    <t>03 Days + 90Hrs</t>
  </si>
  <si>
    <t>Miss Javeria</t>
  </si>
  <si>
    <t>8:00 PM To 04:00 PM</t>
  </si>
  <si>
    <t>36104-0471296-5</t>
  </si>
  <si>
    <t>Mr. Saddam</t>
  </si>
  <si>
    <t>01 Day In Place Of Imran</t>
  </si>
  <si>
    <t>Hammad Noor</t>
  </si>
  <si>
    <t>03 Days In Place Of Musfirah</t>
  </si>
  <si>
    <t>01 Day In Place Of Shumaila</t>
  </si>
  <si>
    <t>Mr. Tanveer</t>
  </si>
  <si>
    <t>01 Day In Place Of Ajmal</t>
  </si>
  <si>
    <t>01 Day In Place Of Abdul Rehman</t>
  </si>
  <si>
    <t>02 Days Iun Place Misbah</t>
  </si>
  <si>
    <t>02 Days In Place Of Shumaila</t>
  </si>
  <si>
    <t>01 Day In Place Of Tanveer</t>
  </si>
  <si>
    <t>Miss Misbah</t>
  </si>
  <si>
    <t>03 Days In Place Of Shumaila</t>
  </si>
  <si>
    <t>02 Days In Place Of Bushra</t>
  </si>
  <si>
    <t>Miss Shumaila</t>
  </si>
  <si>
    <t>36303-1057006-4</t>
  </si>
  <si>
    <t>Miss Iqra</t>
  </si>
  <si>
    <t>Miss Maria Talib</t>
  </si>
  <si>
    <t>Miss Nazish</t>
  </si>
  <si>
    <t>Mr. Yasir</t>
  </si>
  <si>
    <t>Extra Duty In Place Of Waqas</t>
  </si>
  <si>
    <t>Miss Hira</t>
  </si>
  <si>
    <t>Miss Muqadas</t>
  </si>
  <si>
    <t>32304-8139573-9</t>
  </si>
  <si>
    <t>M. Sarfraz</t>
  </si>
  <si>
    <t>Miss Tania</t>
  </si>
  <si>
    <t>Extra Duty In Place Of Zara</t>
  </si>
  <si>
    <t>Miss Aliza Bhirwan</t>
  </si>
  <si>
    <t>Extra Duty In Place Of Tania</t>
  </si>
  <si>
    <t>Miss Zara</t>
  </si>
  <si>
    <t>01 Day In Place Of Tania</t>
  </si>
  <si>
    <t>02 Days In Place Of Aliza</t>
  </si>
  <si>
    <t>32103-2466312-9</t>
  </si>
  <si>
    <t>Muhammad Jarjees</t>
  </si>
  <si>
    <t>Abdul Razaq</t>
  </si>
  <si>
    <t>Phrmacy I/C</t>
  </si>
  <si>
    <t>02 Days In Place Of Mazhar</t>
  </si>
  <si>
    <t>01 Day In Place Of Yousaf</t>
  </si>
  <si>
    <t>36302-6183908-6</t>
  </si>
  <si>
    <t>Muhammad Bilal</t>
  </si>
  <si>
    <t>Pharmacy Staff</t>
  </si>
  <si>
    <t>Audit Diff</t>
  </si>
  <si>
    <t>01 day In Place Of Akash</t>
  </si>
  <si>
    <t>01 Day In Place Of Ahmed</t>
  </si>
  <si>
    <t>32201-4165651-9</t>
  </si>
  <si>
    <t>Mujeeb Bhatti</t>
  </si>
  <si>
    <t>09:00 AM To 10:00 PM</t>
  </si>
  <si>
    <t>Audit Diffeence</t>
  </si>
  <si>
    <t>36302-6703496-6</t>
  </si>
  <si>
    <t>Miss Khushboo</t>
  </si>
  <si>
    <t>Receptionist</t>
  </si>
  <si>
    <t>M. Hamid</t>
  </si>
  <si>
    <t>01 Day In Place Of Sami-Ullah</t>
  </si>
  <si>
    <t>Sami-Ullah</t>
  </si>
  <si>
    <t>02 Day</t>
  </si>
  <si>
    <t>01 Day In Place Of Hamid</t>
  </si>
  <si>
    <t>32304-2042580-9</t>
  </si>
  <si>
    <t>Reception+Pharmacy</t>
  </si>
  <si>
    <t>01 Day In Place Of A.Razaq</t>
  </si>
  <si>
    <t>Muhammad Akash</t>
  </si>
  <si>
    <t>02 Days In Place Abdul Rehman</t>
  </si>
  <si>
    <t>03 Days In Place Of Miss Tania</t>
  </si>
  <si>
    <t>Mr. Waqar</t>
  </si>
  <si>
    <t>Miss Sheema</t>
  </si>
  <si>
    <t>Bilal Ahmed</t>
  </si>
  <si>
    <t>Inchargeship llowance</t>
  </si>
  <si>
    <t>Mr. Farhan</t>
  </si>
  <si>
    <t>33203-6771004-9</t>
  </si>
  <si>
    <t>Husnain Adil</t>
  </si>
  <si>
    <t>Pharmacy Incharge</t>
  </si>
  <si>
    <t>Short Cash</t>
  </si>
  <si>
    <t>Yasir Somroo</t>
  </si>
  <si>
    <t>Rao Mazhar</t>
  </si>
  <si>
    <t>01 Day In Place Of Hassnain</t>
  </si>
  <si>
    <t>01 Day In Place Of Razaq</t>
  </si>
  <si>
    <t>M. Hassnain</t>
  </si>
  <si>
    <t>Asif Malik</t>
  </si>
  <si>
    <t>Incharge Allownce</t>
  </si>
  <si>
    <t>01 Day In Place Of Salman</t>
  </si>
  <si>
    <t>Muhammad Muneeb</t>
  </si>
  <si>
    <t>02 Days In Place Of Salman</t>
  </si>
  <si>
    <t>Muhammad Salman</t>
  </si>
  <si>
    <t>Extra Duty In Place Of Asif</t>
  </si>
  <si>
    <t>Muhammad Adnan</t>
  </si>
  <si>
    <t>Pharmacy I/C</t>
  </si>
  <si>
    <t>Extra Duty In Place Of Riyan</t>
  </si>
  <si>
    <t>Riyan Ahmed</t>
  </si>
  <si>
    <t>03 Days In place Of Adnan</t>
  </si>
  <si>
    <t>01 Day Jumma Wala</t>
  </si>
  <si>
    <t>Muhammad Arslan</t>
  </si>
  <si>
    <t>32 Hours</t>
  </si>
  <si>
    <t>Extra Duty In Place Of Uzair</t>
  </si>
  <si>
    <t>Aman-Ullah</t>
  </si>
  <si>
    <t>Muhammad Naeem</t>
  </si>
  <si>
    <t xml:space="preserve">Advance </t>
  </si>
  <si>
    <t>06 Days</t>
  </si>
  <si>
    <t>Branch: Masoom Road Multan</t>
  </si>
  <si>
    <t>Best-II Award</t>
  </si>
  <si>
    <t>Extra Duty In Place Of Nadeem</t>
  </si>
  <si>
    <t>Muhammad Nadeem</t>
  </si>
  <si>
    <t>Orevious Month</t>
  </si>
  <si>
    <t>36304-4934366-7</t>
  </si>
  <si>
    <t>Muhammad Javaid</t>
  </si>
  <si>
    <t>Extra Duty In Place Of Asad</t>
  </si>
  <si>
    <t>Mr. Asad</t>
  </si>
  <si>
    <t>Muhammad Uzair</t>
  </si>
  <si>
    <t>72 Hours</t>
  </si>
  <si>
    <t>Incharge Allowance</t>
  </si>
  <si>
    <t>Previous Month Deduction</t>
  </si>
  <si>
    <t>Muhammad Usman</t>
  </si>
  <si>
    <t>36101-0367556-1</t>
  </si>
  <si>
    <t>Muhammad Shahid</t>
  </si>
  <si>
    <t>Extra Duty In Place Muzammil</t>
  </si>
  <si>
    <t>36303-8483914-9</t>
  </si>
  <si>
    <t>02 Days In Place Of Shahid</t>
  </si>
  <si>
    <t xml:space="preserve">Prvious Month </t>
  </si>
  <si>
    <t>Muhammad Farhan</t>
  </si>
  <si>
    <t>Shrot Summary</t>
  </si>
  <si>
    <t>01 Day In Place Of Zeeshan</t>
  </si>
  <si>
    <t>01 Day Masoom Shah</t>
  </si>
  <si>
    <t>Muhammad Zeeshan</t>
  </si>
  <si>
    <t>36302-6360640-6</t>
  </si>
  <si>
    <t>M. Tariq</t>
  </si>
  <si>
    <t>01 Day In Place Of Ahsan</t>
  </si>
  <si>
    <t>Muhammad Ahsan</t>
  </si>
  <si>
    <t>32303-6936384-1</t>
  </si>
  <si>
    <t>Muhammad Atif</t>
  </si>
  <si>
    <t>01 Day In Place Of Asad</t>
  </si>
  <si>
    <t>Asad</t>
  </si>
  <si>
    <t>03 Days In Place Of Arslan</t>
  </si>
  <si>
    <t>02 Days In Place Of Atif</t>
  </si>
  <si>
    <t>Arslan</t>
  </si>
  <si>
    <t>32103-5585224-5</t>
  </si>
  <si>
    <t>Liaqat Abbas</t>
  </si>
  <si>
    <t>Pharmacy I/C Allowance</t>
  </si>
  <si>
    <t>36301-5790996-5</t>
  </si>
  <si>
    <t>Miss Ayesha Khan</t>
  </si>
  <si>
    <t>Lift Operator</t>
  </si>
  <si>
    <t>09;00 AM To 09:00 PM</t>
  </si>
  <si>
    <t>Saif-UR-Rehman</t>
  </si>
  <si>
    <t>Securty Guard</t>
  </si>
  <si>
    <t>Extra Duty In Place Of Bhirwan</t>
  </si>
  <si>
    <t>36302-8748060-8</t>
  </si>
  <si>
    <t>Miss Malika</t>
  </si>
  <si>
    <t>Sweeper</t>
  </si>
  <si>
    <t>36302-0450885-5</t>
  </si>
  <si>
    <t>Saeeda Bibi</t>
  </si>
  <si>
    <t>Miss Razia</t>
  </si>
  <si>
    <t>Miss Shamim Saeed</t>
  </si>
  <si>
    <t>Miss Shamim Ramzan</t>
  </si>
  <si>
    <t>Miss Haseena</t>
  </si>
  <si>
    <t>Zaitoon</t>
  </si>
  <si>
    <t>Left</t>
  </si>
  <si>
    <t>Hakim Mai</t>
  </si>
  <si>
    <t>Rukhsana</t>
  </si>
  <si>
    <t>Miss Nousheen</t>
  </si>
  <si>
    <t>Miss Shazia</t>
  </si>
  <si>
    <t>Miss Yasmin</t>
  </si>
  <si>
    <t>Sweepar</t>
  </si>
  <si>
    <t>Bais Pay</t>
  </si>
  <si>
    <t>Consultant Floor E-1</t>
  </si>
  <si>
    <t>Nazeeran</t>
  </si>
  <si>
    <t>Nasreen</t>
  </si>
  <si>
    <t>Extra Duty In Place Of Yasmin</t>
  </si>
  <si>
    <t>Miss Anwari</t>
  </si>
  <si>
    <t>08:00 PM To 08:00 PM</t>
  </si>
  <si>
    <t>Extra Hrs</t>
  </si>
  <si>
    <t>Miss Asia</t>
  </si>
  <si>
    <t>Executive-2 Hospital</t>
  </si>
  <si>
    <t>M. Sajjad</t>
  </si>
  <si>
    <t>Miss Abida</t>
  </si>
  <si>
    <t>Reward On Progress</t>
  </si>
  <si>
    <t xml:space="preserve">Pending </t>
  </si>
  <si>
    <t>Extra Duty In Place Manzooran</t>
  </si>
  <si>
    <t>Manzooran Bibi</t>
  </si>
  <si>
    <t>Bhirwana Bibi</t>
  </si>
  <si>
    <t>Sadia</t>
  </si>
  <si>
    <t>Ali Shan</t>
  </si>
  <si>
    <t>07:00 PM To 07:00 AM</t>
  </si>
  <si>
    <t>Miss Parveen</t>
  </si>
  <si>
    <t>Single Staff</t>
  </si>
  <si>
    <t>Miss Musarat</t>
  </si>
  <si>
    <t>Jannat</t>
  </si>
  <si>
    <t>Extra Duty In Place Of Musarat</t>
  </si>
  <si>
    <t>Munawra</t>
  </si>
  <si>
    <t>Miss Munawara</t>
  </si>
  <si>
    <t>02 Days In Place Farzana</t>
  </si>
  <si>
    <t>03 Days In Place Of Sonia</t>
  </si>
  <si>
    <t>Asma Mai</t>
  </si>
  <si>
    <t>Miss Naghma</t>
  </si>
  <si>
    <t>sweeper</t>
  </si>
  <si>
    <t>Adnan</t>
  </si>
  <si>
    <t>Extra Duty In Place Of Naghma</t>
  </si>
  <si>
    <t>Miss Hajira</t>
  </si>
  <si>
    <t>Extra Duty In Place Of Maham</t>
  </si>
  <si>
    <t>Miss Maham</t>
  </si>
  <si>
    <t>Extra Duty In Place Of Hajira</t>
  </si>
  <si>
    <t>YCDO Hospital Tounsa</t>
  </si>
  <si>
    <t>Sajjad</t>
  </si>
  <si>
    <t>36302-0222192-9</t>
  </si>
  <si>
    <t>Drug Rehablitation Hospital</t>
  </si>
  <si>
    <t>Dr. Adil Muhammad Hanif</t>
  </si>
  <si>
    <t>Psychiatrist</t>
  </si>
  <si>
    <t>10:00 AM To 05:00 PM</t>
  </si>
  <si>
    <t>Best Services Allowance</t>
  </si>
  <si>
    <t>36302-2715148-0</t>
  </si>
  <si>
    <t>Miss Khizra Arif</t>
  </si>
  <si>
    <t>Psycologist</t>
  </si>
  <si>
    <t>I.T Manager Allowance</t>
  </si>
  <si>
    <t>Medicine Pending</t>
  </si>
  <si>
    <t>Previous Month Arrear</t>
  </si>
  <si>
    <t>36302-5698405-4</t>
  </si>
  <si>
    <t>Miss Salma Batool</t>
  </si>
  <si>
    <t>Psychologist</t>
  </si>
  <si>
    <t>36302-1320570-6</t>
  </si>
  <si>
    <t>Maryam Rao</t>
  </si>
  <si>
    <t>Admin Manager</t>
  </si>
  <si>
    <t>Pending VTI</t>
  </si>
  <si>
    <t>Muhammad Faisal</t>
  </si>
  <si>
    <t>02 Days Masoom Shah</t>
  </si>
  <si>
    <t>03 Days DRH</t>
  </si>
  <si>
    <t>32304-1200074-3</t>
  </si>
  <si>
    <t>Arif Shahzad</t>
  </si>
  <si>
    <t>Extra Duty In Place Of Sammar</t>
  </si>
  <si>
    <t xml:space="preserve">Grand Total </t>
  </si>
  <si>
    <t>Executive Drug Rehab Hospital</t>
  </si>
  <si>
    <t>Miss Sumera Irum</t>
  </si>
  <si>
    <t>Muhammad Mohsin</t>
  </si>
  <si>
    <t>Operation Manager</t>
  </si>
  <si>
    <t>Extra Duty In Place Mohsin</t>
  </si>
  <si>
    <t>33204-0518477-7</t>
  </si>
  <si>
    <t>Executive Drug Hospital</t>
  </si>
  <si>
    <t>Samar Abbas</t>
  </si>
  <si>
    <t>02 Days Hassan Parwana</t>
  </si>
  <si>
    <t>02 Days In Place Of Arif</t>
  </si>
  <si>
    <t>01 Day In Place Of Mohsin</t>
  </si>
  <si>
    <t>36302-7304047-5</t>
  </si>
  <si>
    <t>Jawad Zaman</t>
  </si>
  <si>
    <t>Extra Duty In Place Of Mohsin</t>
  </si>
  <si>
    <t>Founder/Head OF Organization</t>
  </si>
  <si>
    <t>36302-4154193-3</t>
  </si>
  <si>
    <t>Organization</t>
  </si>
  <si>
    <t>Amir Malik</t>
  </si>
  <si>
    <t>Coordinator Projects</t>
  </si>
  <si>
    <t>10:00 AM To 08:00 PM</t>
  </si>
  <si>
    <t>Excellent Services Award</t>
  </si>
  <si>
    <t>M. Ajlal Qadir</t>
  </si>
  <si>
    <t>Coordinator R &amp; D</t>
  </si>
  <si>
    <t>36104-4474696-7</t>
  </si>
  <si>
    <t>Tanveer Ashfaq</t>
  </si>
  <si>
    <t>Central Admin Officer</t>
  </si>
  <si>
    <t>09:00 AM To 09:00 OM</t>
  </si>
  <si>
    <t>Deduction In Jun</t>
  </si>
  <si>
    <t>36302-8908400-3</t>
  </si>
  <si>
    <t>Mughees Akbar</t>
  </si>
  <si>
    <t>Lab Manager</t>
  </si>
  <si>
    <t>36303-0197330-0</t>
  </si>
  <si>
    <t>Orginazation</t>
  </si>
  <si>
    <t>Muhammad Nabeel Shahzad</t>
  </si>
  <si>
    <t>Operation Manager Lab</t>
  </si>
  <si>
    <t>Mr. Amir Zafar</t>
  </si>
  <si>
    <t>Surgery Manager</t>
  </si>
  <si>
    <t>Kaleem</t>
  </si>
  <si>
    <t>Assistant Lab Manager (Rider)</t>
  </si>
  <si>
    <t>11:00 AM To 11:00 PM</t>
  </si>
  <si>
    <t>Daniyal</t>
  </si>
  <si>
    <t>36602-8780618-2</t>
  </si>
  <si>
    <t>Miss Sumayya Bibi</t>
  </si>
  <si>
    <t>Progress Officer</t>
  </si>
  <si>
    <t>36602-3881191-4</t>
  </si>
  <si>
    <t>Miss Sania Arooj</t>
  </si>
  <si>
    <t>Gynae Incharge</t>
  </si>
  <si>
    <t>Surgical Allowance</t>
  </si>
  <si>
    <t>Mr. Daoud Ahmed</t>
  </si>
  <si>
    <t>H.R</t>
  </si>
  <si>
    <t>Mr. Ali Hassan</t>
  </si>
  <si>
    <t>Haseeb</t>
  </si>
  <si>
    <t>15 Days Half Salary</t>
  </si>
  <si>
    <t>01 Day Full Salary</t>
  </si>
  <si>
    <t>Sana-Ullah</t>
  </si>
  <si>
    <t>Software Engineer</t>
  </si>
  <si>
    <t>09AM to 09PM</t>
  </si>
  <si>
    <t xml:space="preserve">Reward </t>
  </si>
  <si>
    <t>Difference Stipend</t>
  </si>
  <si>
    <t>11 Days 100%</t>
  </si>
  <si>
    <t>19 Days 50%</t>
  </si>
  <si>
    <t>Muhammad Saleem</t>
  </si>
  <si>
    <t>Bio-Medical Engineer</t>
  </si>
  <si>
    <t>05:00 PM To 11:00 PM</t>
  </si>
  <si>
    <t>Appreciation Award</t>
  </si>
  <si>
    <t xml:space="preserve">Dr. Aslam Khan </t>
  </si>
  <si>
    <t>Medical Director</t>
  </si>
  <si>
    <t>Open</t>
  </si>
  <si>
    <t>hospital</t>
  </si>
  <si>
    <t>36302-1770739-2</t>
  </si>
  <si>
    <t>Miss Ayesha Hameed</t>
  </si>
  <si>
    <t>Admin Medicine</t>
  </si>
  <si>
    <t>36302-6578045-9</t>
  </si>
  <si>
    <t>Mohsin Akram</t>
  </si>
  <si>
    <t>Coordinator Medicine</t>
  </si>
  <si>
    <t>Best Services Award</t>
  </si>
  <si>
    <t>M/Shah Summary</t>
  </si>
  <si>
    <t>Rizwan Shah</t>
  </si>
  <si>
    <t>Medicine Audit Officer</t>
  </si>
  <si>
    <t>Admin Management Allowance</t>
  </si>
  <si>
    <t>Limit Fixation Allowance</t>
  </si>
  <si>
    <t>36302-1436791-5</t>
  </si>
  <si>
    <t>Mr. Talha Shafqat</t>
  </si>
  <si>
    <t>Admin Medicine Assistant</t>
  </si>
  <si>
    <t>03:00 PM To 09:00 PM</t>
  </si>
  <si>
    <t>Nill</t>
  </si>
  <si>
    <t>36302-1324904-3</t>
  </si>
  <si>
    <t>Abdul Majid</t>
  </si>
  <si>
    <t>Assistant Store Keeper -2</t>
  </si>
  <si>
    <t>10 Am to 10 Pm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</si>
  <si>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</si>
  <si>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M. Zeeshan</t>
  </si>
  <si>
    <t>Additional Store Keeper</t>
  </si>
  <si>
    <t>Zahir Khan</t>
  </si>
  <si>
    <t>36302-3680352-7</t>
  </si>
  <si>
    <t>M. Adeel Yousaf</t>
  </si>
  <si>
    <t>Accounts Manager</t>
  </si>
  <si>
    <t>DRH Data Compile Allowance</t>
  </si>
  <si>
    <t xml:space="preserve">Petrol </t>
  </si>
  <si>
    <t>36302-6800519-3</t>
  </si>
  <si>
    <t>M. Sohail Anwar</t>
  </si>
  <si>
    <t>Central Accountant</t>
  </si>
  <si>
    <t>9:30AM to 7:30PM</t>
  </si>
  <si>
    <t xml:space="preserve">Rashan </t>
  </si>
  <si>
    <t>Best Serves Award</t>
  </si>
  <si>
    <t>36303-095627-9</t>
  </si>
  <si>
    <t>Muhammad Asghar</t>
  </si>
  <si>
    <t>Assistant Accountant</t>
  </si>
  <si>
    <t>02:00 PM To 09:00 PM</t>
  </si>
  <si>
    <t>Kitchen Ep</t>
  </si>
  <si>
    <t>36302-0349299-9</t>
  </si>
  <si>
    <t>Muhammad Irfan</t>
  </si>
  <si>
    <t>Syed Sarfraz Ali</t>
  </si>
  <si>
    <t>FR</t>
  </si>
  <si>
    <t xml:space="preserve">Short Summary </t>
  </si>
  <si>
    <t>36302-6765990-9</t>
  </si>
  <si>
    <t>Kashif Tufail</t>
  </si>
  <si>
    <t>FR1</t>
  </si>
  <si>
    <t>Stipend FR-2 (16000 + 1500 )</t>
  </si>
  <si>
    <t xml:space="preserve">Kitchen  Exp </t>
  </si>
  <si>
    <t>Abdul Hanan</t>
  </si>
  <si>
    <t>R &amp; D Incharge</t>
  </si>
  <si>
    <t>Muhammad Iqbal</t>
  </si>
  <si>
    <t>R &amp; D Supervisor</t>
  </si>
  <si>
    <t>Donation Box Allowance</t>
  </si>
  <si>
    <t>Mr Khurram</t>
  </si>
  <si>
    <t>Plumber</t>
  </si>
  <si>
    <t>Solar Plates Washing Allowance</t>
  </si>
  <si>
    <t>Mr. Muhammad Idrees</t>
  </si>
  <si>
    <t>Electrician</t>
  </si>
  <si>
    <t>Muhammad Tariq</t>
  </si>
  <si>
    <t>IT Allowance</t>
  </si>
  <si>
    <t>20 Days</t>
  </si>
  <si>
    <t>Total Advance</t>
  </si>
  <si>
    <t>Recovered In June</t>
  </si>
  <si>
    <t>Balance Recoverable</t>
  </si>
  <si>
    <t>Muhammad Saeed</t>
  </si>
  <si>
    <t>Welder</t>
  </si>
  <si>
    <t>Advance Slary</t>
  </si>
  <si>
    <t>Abdul Samad</t>
  </si>
  <si>
    <t>Plant Operator</t>
  </si>
  <si>
    <t>Paid Advance</t>
  </si>
  <si>
    <t>36101-7666179-5</t>
  </si>
  <si>
    <t>YCDO Social Media</t>
  </si>
  <si>
    <t>Sohaib Iqbal</t>
  </si>
  <si>
    <t>Social Media Manager</t>
  </si>
  <si>
    <t>Qasim</t>
  </si>
  <si>
    <t>Camera Man &amp; Editor</t>
  </si>
  <si>
    <t>Allah Rakha</t>
  </si>
  <si>
    <t>Camera Man</t>
  </si>
  <si>
    <t>YCDO Kitchen</t>
  </si>
  <si>
    <t>Zahid Latif</t>
  </si>
  <si>
    <t>08:00AM To 08:00 PM</t>
  </si>
  <si>
    <t>Chand</t>
  </si>
  <si>
    <t>Cook</t>
  </si>
  <si>
    <t>Allah Ditta</t>
  </si>
  <si>
    <t>Tandoori Helper</t>
  </si>
  <si>
    <t>Special Appreciation Award</t>
  </si>
  <si>
    <t>M. Mushtaq</t>
  </si>
  <si>
    <t>Kitchen Helper</t>
  </si>
  <si>
    <t>Loader Driving Allowance</t>
  </si>
  <si>
    <t>Special Services Award</t>
  </si>
  <si>
    <t>Shoukat Ali</t>
  </si>
  <si>
    <t>Muhammad Waris</t>
  </si>
  <si>
    <t>Madni</t>
  </si>
  <si>
    <t>Naseeb-Ullah</t>
  </si>
  <si>
    <t>Mastan</t>
  </si>
  <si>
    <t>Falak Sher</t>
  </si>
  <si>
    <t>Total Stipend</t>
  </si>
  <si>
    <t>Founder/Head Of Ofganization</t>
  </si>
  <si>
    <t>YCDO VTI</t>
  </si>
  <si>
    <t>Miss Rubab Rana</t>
  </si>
  <si>
    <t>Electricity Allowance</t>
  </si>
  <si>
    <t>Miss Hajira Batool</t>
  </si>
  <si>
    <t>Beautician I/C</t>
  </si>
  <si>
    <t>01:00 PM To 08:00 PM</t>
  </si>
  <si>
    <t>Stipend Fix</t>
  </si>
  <si>
    <t>Miss Naseem Qamar</t>
  </si>
  <si>
    <t>Stitching Teacher</t>
  </si>
  <si>
    <t>Miss Zubaida</t>
  </si>
  <si>
    <t xml:space="preserve">Stitching </t>
  </si>
  <si>
    <t>Miss Naseem</t>
  </si>
  <si>
    <t>36104-6826580-0</t>
  </si>
  <si>
    <t>Miss Kanzeez</t>
  </si>
  <si>
    <t>09:00 AM To 01:00 PM</t>
  </si>
  <si>
    <t>Miss Iqra Yaqub</t>
  </si>
  <si>
    <t>Madarsa Teacher</t>
  </si>
  <si>
    <t>Less H</t>
  </si>
  <si>
    <t>Miss Shahnaz</t>
  </si>
  <si>
    <t>Stitching</t>
  </si>
  <si>
    <t>36302-2988894-0</t>
  </si>
  <si>
    <t>Umar Hayat</t>
  </si>
  <si>
    <t>Suspended</t>
  </si>
  <si>
    <t>Miss Zaneera</t>
  </si>
  <si>
    <t>36304-9197635-8</t>
  </si>
  <si>
    <t>Miss Noureen Sumra</t>
  </si>
  <si>
    <t>02:00 PM To 12:00 AM</t>
  </si>
  <si>
    <t>Stipend Slip Month Of May 2026</t>
  </si>
  <si>
    <t>Dr. Shahbaz Maqool</t>
  </si>
  <si>
    <t>01/05/2026 To 30/05/2026</t>
  </si>
  <si>
    <t>18 Hours</t>
  </si>
  <si>
    <t>Dr. Abdul Rehman</t>
  </si>
  <si>
    <t>Fine 02 Days</t>
  </si>
  <si>
    <t>Fine  01 Day+200</t>
  </si>
  <si>
    <t>Fine 1000+02 Days</t>
  </si>
  <si>
    <t>Fine  04 Days</t>
  </si>
  <si>
    <t>Transferred from Jumma Wala</t>
  </si>
  <si>
    <t xml:space="preserve">      </t>
  </si>
  <si>
    <t>Incentive</t>
  </si>
  <si>
    <t>`</t>
  </si>
  <si>
    <t>Dr. Hamna Ahmed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</si>
</sst>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dd\-mmm"/>
    <numFmt numFmtId="165" formatCode="_(* #,##0_);_(* \(#,##0\);_(* &quot;-&quot;??_);_(@_)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5">
    <xf numFmtId="0" fontId="0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</cellStyleXfs>
  <cellXfs count="358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4" applyFont="1" applyBorder="1" applyAlignment="1">
      <alignment vertical="center"/>
    </xf>
    <xf numFmtId="0" fontId="1" fillId="0" borderId="16" xfId="4" applyFont="1" applyBorder="1" applyAlignment="1">
      <alignment vertical="center"/>
    </xf>
    <xf numFmtId="0" fontId="1" fillId="0" borderId="0" xfId="0" applyFont="1" applyBorder="1" applyAlignment="1"/>
    <xf numFmtId="0" fontId="1" fillId="0" borderId="16" xfId="0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vertical="top"/>
    </xf>
    <xf numFmtId="3" fontId="1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3" fontId="1" fillId="0" borderId="16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15" xfId="0" applyFont="1" applyBorder="1"/>
    <xf numFmtId="0" fontId="1" fillId="0" borderId="16" xfId="0" applyFont="1" applyBorder="1"/>
    <xf numFmtId="0" fontId="1" fillId="3" borderId="15" xfId="0" applyFont="1" applyFill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65" fontId="1" fillId="0" borderId="15" xfId="1" applyNumberFormat="1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3" fontId="1" fillId="0" borderId="15" xfId="0" applyNumberFormat="1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3" fontId="1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0" xfId="0" applyFont="1" applyBorder="1"/>
    <xf numFmtId="3" fontId="1" fillId="0" borderId="16" xfId="0" applyNumberFormat="1" applyFont="1" applyBorder="1"/>
    <xf numFmtId="0" fontId="1" fillId="0" borderId="28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15" xfId="0" applyFont="1" applyFill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3" borderId="1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22" xfId="0" applyFont="1" applyFill="1" applyBorder="1" applyAlignment="1">
      <alignment vertical="center" wrapText="1"/>
    </xf>
    <xf numFmtId="0" fontId="0" fillId="0" borderId="0" xfId="0" applyFont="1"/>
    <xf numFmtId="0" fontId="5" fillId="0" borderId="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5" xfId="0" applyFont="1" applyBorder="1"/>
    <xf numFmtId="0" fontId="9" fillId="3" borderId="15" xfId="0" applyFont="1" applyFill="1" applyBorder="1"/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0" xfId="0" applyFont="1" applyFill="1"/>
    <xf numFmtId="3" fontId="1" fillId="3" borderId="16" xfId="0" applyNumberFormat="1" applyFont="1" applyFill="1" applyBorder="1" applyAlignment="1">
      <alignment vertical="center"/>
    </xf>
    <xf numFmtId="3" fontId="1" fillId="3" borderId="16" xfId="0" applyNumberFormat="1" applyFont="1" applyFill="1" applyBorder="1"/>
    <xf numFmtId="0" fontId="0" fillId="3" borderId="0" xfId="0" applyFont="1" applyFill="1"/>
    <xf numFmtId="0" fontId="1" fillId="3" borderId="16" xfId="0" applyFont="1" applyFill="1" applyBorder="1"/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0" xfId="2" applyFont="1" applyBorder="1" applyAlignment="1">
      <alignment vertical="center"/>
    </xf>
    <xf numFmtId="0" fontId="1" fillId="0" borderId="7" xfId="2" applyFont="1" applyBorder="1" applyAlignment="1">
      <alignment horizontal="left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1" xfId="2" applyFont="1" applyBorder="1" applyAlignment="1">
      <alignment vertical="center"/>
    </xf>
    <xf numFmtId="0" fontId="1" fillId="0" borderId="15" xfId="2" applyFont="1" applyBorder="1" applyAlignment="1">
      <alignment horizontal="left" vertical="center"/>
    </xf>
    <xf numFmtId="0" fontId="1" fillId="0" borderId="15" xfId="2" applyFont="1" applyBorder="1" applyAlignment="1">
      <alignment vertical="center"/>
    </xf>
    <xf numFmtId="0" fontId="1" fillId="0" borderId="16" xfId="2" applyFont="1" applyBorder="1" applyAlignment="1">
      <alignment vertical="center"/>
    </xf>
    <xf numFmtId="3" fontId="1" fillId="0" borderId="16" xfId="2" applyNumberFormat="1" applyFont="1" applyBorder="1" applyAlignment="1">
      <alignment vertical="center"/>
    </xf>
    <xf numFmtId="0" fontId="1" fillId="0" borderId="12" xfId="2" applyFont="1" applyBorder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0" xfId="4" applyFont="1" applyBorder="1" applyAlignment="1">
      <alignment horizontal="left" vertical="center"/>
    </xf>
    <xf numFmtId="0" fontId="1" fillId="0" borderId="0" xfId="4" applyFont="1" applyBorder="1" applyAlignment="1">
      <alignment horizontal="center" vertical="center"/>
    </xf>
    <xf numFmtId="0" fontId="1" fillId="0" borderId="0" xfId="4" applyFont="1" applyAlignment="1">
      <alignment vertical="center"/>
    </xf>
    <xf numFmtId="0" fontId="1" fillId="0" borderId="7" xfId="4" applyFont="1" applyBorder="1" applyAlignment="1">
      <alignment horizontal="left" vertical="center"/>
    </xf>
    <xf numFmtId="0" fontId="1" fillId="0" borderId="11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" fillId="0" borderId="13" xfId="4" applyFont="1" applyBorder="1" applyAlignment="1">
      <alignment horizontal="center" vertical="center"/>
    </xf>
    <xf numFmtId="0" fontId="1" fillId="0" borderId="11" xfId="4" applyFont="1" applyBorder="1" applyAlignment="1">
      <alignment vertical="center"/>
    </xf>
    <xf numFmtId="0" fontId="1" fillId="0" borderId="15" xfId="4" applyFont="1" applyBorder="1" applyAlignment="1">
      <alignment horizontal="left" vertical="center"/>
    </xf>
    <xf numFmtId="0" fontId="1" fillId="0" borderId="15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1" fillId="0" borderId="16" xfId="4" applyNumberFormat="1" applyFont="1" applyBorder="1" applyAlignment="1">
      <alignment vertical="center"/>
    </xf>
    <xf numFmtId="0" fontId="1" fillId="0" borderId="12" xfId="4" applyFont="1" applyBorder="1" applyAlignment="1">
      <alignment horizontal="left" vertical="center"/>
    </xf>
    <xf numFmtId="0" fontId="1" fillId="0" borderId="13" xfId="4" applyFont="1" applyBorder="1" applyAlignment="1">
      <alignment horizontal="left" vertical="center"/>
    </xf>
    <xf numFmtId="0" fontId="1" fillId="0" borderId="15" xfId="0" applyFont="1" applyBorder="1" applyAlignment="1"/>
    <xf numFmtId="0" fontId="1" fillId="0" borderId="0" xfId="0" applyFont="1" applyAlignment="1"/>
    <xf numFmtId="0" fontId="1" fillId="0" borderId="16" xfId="0" applyFont="1" applyBorder="1" applyAlignment="1"/>
    <xf numFmtId="0" fontId="1" fillId="3" borderId="30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17" fontId="1" fillId="0" borderId="15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0" fontId="1" fillId="0" borderId="2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5" xfId="0" applyFont="1" applyBorder="1" applyAlignment="1">
      <alignment horizontal="left" vertical="center"/>
    </xf>
    <xf numFmtId="0" fontId="1" fillId="0" borderId="0" xfId="4" applyFont="1" applyBorder="1" applyAlignment="1"/>
    <xf numFmtId="0" fontId="1" fillId="0" borderId="15" xfId="4" applyFont="1" applyBorder="1" applyAlignment="1"/>
    <xf numFmtId="0" fontId="1" fillId="0" borderId="0" xfId="4" applyFont="1" applyAlignment="1"/>
    <xf numFmtId="0" fontId="1" fillId="0" borderId="16" xfId="4" applyFont="1" applyBorder="1" applyAlignment="1"/>
    <xf numFmtId="0" fontId="1" fillId="0" borderId="15" xfId="4" applyFont="1" applyBorder="1"/>
    <xf numFmtId="0" fontId="1" fillId="0" borderId="0" xfId="4" applyFont="1"/>
    <xf numFmtId="0" fontId="1" fillId="0" borderId="16" xfId="4" applyFont="1" applyBorder="1"/>
    <xf numFmtId="0" fontId="1" fillId="0" borderId="0" xfId="2" applyFont="1" applyBorder="1" applyAlignment="1"/>
    <xf numFmtId="0" fontId="1" fillId="4" borderId="15" xfId="0" applyFont="1" applyFill="1" applyBorder="1" applyAlignment="1">
      <alignment vertical="center"/>
    </xf>
    <xf numFmtId="3" fontId="1" fillId="0" borderId="16" xfId="4" applyNumberFormat="1" applyFont="1" applyBorder="1" applyAlignment="1"/>
    <xf numFmtId="0" fontId="1" fillId="0" borderId="15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5" fillId="0" borderId="15" xfId="0" applyFont="1" applyBorder="1"/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4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2" borderId="1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center" vertical="center"/>
    </xf>
    <xf numFmtId="0" fontId="1" fillId="2" borderId="3" xfId="4" applyFont="1" applyFill="1" applyBorder="1" applyAlignment="1">
      <alignment horizontal="center" vertical="center"/>
    </xf>
    <xf numFmtId="0" fontId="1" fillId="0" borderId="2" xfId="4" applyFont="1" applyBorder="1" applyAlignment="1">
      <alignment horizontal="left" vertical="center"/>
    </xf>
    <xf numFmtId="0" fontId="1" fillId="0" borderId="0" xfId="4" applyFont="1" applyAlignment="1">
      <alignment horizontal="center"/>
    </xf>
    <xf numFmtId="0" fontId="1" fillId="0" borderId="0" xfId="4" applyFont="1" applyBorder="1" applyAlignment="1">
      <alignment horizontal="left" vertical="center"/>
    </xf>
    <xf numFmtId="0" fontId="1" fillId="0" borderId="0" xfId="4" applyFont="1" applyBorder="1" applyAlignment="1">
      <alignment horizontal="center"/>
    </xf>
    <xf numFmtId="0" fontId="1" fillId="0" borderId="7" xfId="4" applyFont="1" applyBorder="1" applyAlignment="1">
      <alignment horizontal="center" vertical="top"/>
    </xf>
    <xf numFmtId="0" fontId="1" fillId="0" borderId="8" xfId="4" applyFont="1" applyBorder="1" applyAlignment="1">
      <alignment horizontal="left" vertical="center"/>
    </xf>
    <xf numFmtId="0" fontId="1" fillId="0" borderId="9" xfId="4" applyFont="1" applyBorder="1" applyAlignment="1">
      <alignment horizontal="left" vertical="center"/>
    </xf>
    <xf numFmtId="0" fontId="1" fillId="0" borderId="10" xfId="4" applyFont="1" applyBorder="1" applyAlignment="1">
      <alignment horizontal="left" vertical="center"/>
    </xf>
    <xf numFmtId="0" fontId="1" fillId="0" borderId="8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" fillId="0" borderId="14" xfId="4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0" borderId="0" xfId="2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20" xfId="4" applyFont="1" applyBorder="1" applyAlignment="1">
      <alignment horizontal="center" vertical="center"/>
    </xf>
    <xf numFmtId="0" fontId="1" fillId="0" borderId="23" xfId="4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1" fillId="0" borderId="3" xfId="4" applyFont="1" applyBorder="1" applyAlignment="1">
      <alignment horizontal="center" vertical="center"/>
    </xf>
    <xf numFmtId="0" fontId="1" fillId="0" borderId="17" xfId="4" applyFont="1" applyBorder="1" applyAlignment="1">
      <alignment horizontal="center" vertical="center"/>
    </xf>
    <xf numFmtId="0" fontId="1" fillId="0" borderId="18" xfId="4" applyFont="1" applyBorder="1" applyAlignment="1">
      <alignment horizontal="center" vertical="center"/>
    </xf>
    <xf numFmtId="0" fontId="1" fillId="0" borderId="19" xfId="4" applyFont="1" applyBorder="1" applyAlignment="1">
      <alignment horizontal="center" vertical="center"/>
    </xf>
    <xf numFmtId="0" fontId="1" fillId="0" borderId="2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0" fontId="1" fillId="0" borderId="22" xfId="4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0" xfId="2" applyFont="1" applyAlignment="1">
      <alignment horizontal="center"/>
    </xf>
    <xf numFmtId="0" fontId="1" fillId="0" borderId="0" xfId="2" applyFont="1" applyBorder="1" applyAlignment="1">
      <alignment horizontal="center"/>
    </xf>
    <xf numFmtId="0" fontId="1" fillId="0" borderId="7" xfId="2" applyFont="1" applyBorder="1" applyAlignment="1">
      <alignment horizontal="center" vertical="center"/>
    </xf>
    <xf numFmtId="0" fontId="1" fillId="0" borderId="8" xfId="2" applyFont="1" applyBorder="1" applyAlignment="1">
      <alignment horizontal="left" vertical="center"/>
    </xf>
    <xf numFmtId="0" fontId="1" fillId="0" borderId="9" xfId="2" applyFont="1" applyBorder="1" applyAlignment="1">
      <alignment horizontal="left" vertical="center"/>
    </xf>
    <xf numFmtId="0" fontId="1" fillId="0" borderId="10" xfId="2" applyFont="1" applyBorder="1" applyAlignment="1">
      <alignment horizontal="left" vertical="center"/>
    </xf>
    <xf numFmtId="0" fontId="1" fillId="0" borderId="8" xfId="2" applyFont="1" applyBorder="1" applyAlignment="1">
      <alignment horizontal="center" vertical="center"/>
    </xf>
    <xf numFmtId="0" fontId="1" fillId="0" borderId="9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2" borderId="6" xfId="2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0" xfId="4" applyFont="1" applyBorder="1" applyAlignment="1">
      <alignment horizontal="center" vertical="center"/>
    </xf>
    <xf numFmtId="0" fontId="1" fillId="0" borderId="0" xfId="4" applyFont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1" fillId="0" borderId="24" xfId="0" applyFont="1" applyBorder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3" applyFont="1" applyBorder="1" applyAlignment="1">
      <alignment horizontal="left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5">
    <cellStyle name="Comma" xfId="1" builtinId="3"/>
    <cellStyle name="Normal" xfId="0" builtinId="0"/>
    <cellStyle name="Normal 2" xfId="2"/>
    <cellStyle name="Normal 3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10"/>
  <sheetViews>
    <sheetView topLeftCell="A554" zoomScaleNormal="100" workbookViewId="0">
      <selection activeCell="D271" sqref="D271"/>
    </sheetView>
  </sheetViews>
  <sheetFormatPr defaultColWidth="9" defaultRowHeight="15"/>
  <sheetData>
    <row r="1" spans="1:10" ht="12.7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.7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.75" customHeight="1">
      <c r="A3" s="1" t="s">
        <v>2</v>
      </c>
      <c r="B3" s="1"/>
      <c r="C3" s="190" t="s">
        <v>3</v>
      </c>
      <c r="D3" s="190"/>
      <c r="E3" s="2"/>
      <c r="F3" s="3"/>
      <c r="G3" s="1" t="s">
        <v>4</v>
      </c>
      <c r="H3" s="191" t="s">
        <v>5</v>
      </c>
      <c r="I3" s="191"/>
      <c r="J3" s="191"/>
    </row>
    <row r="4" spans="1:10" ht="12.75" customHeight="1">
      <c r="A4" s="1" t="s">
        <v>6</v>
      </c>
      <c r="B4" s="1"/>
      <c r="C4" s="192" t="s">
        <v>7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2.75" customHeight="1">
      <c r="A5" s="6" t="s">
        <v>10</v>
      </c>
      <c r="B5" s="6"/>
      <c r="C5" s="194" t="s">
        <v>11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2.75" customHeight="1">
      <c r="A6" s="2" t="s">
        <v>14</v>
      </c>
      <c r="B6" s="2"/>
      <c r="C6" s="2" t="s">
        <v>15</v>
      </c>
      <c r="D6" s="2"/>
      <c r="E6" s="2"/>
      <c r="F6" s="3"/>
      <c r="G6" s="1" t="s">
        <v>16</v>
      </c>
      <c r="H6" s="196" t="s">
        <v>17</v>
      </c>
      <c r="I6" s="196"/>
      <c r="J6" s="196"/>
    </row>
    <row r="7" spans="1:10" ht="12.75" customHeight="1">
      <c r="A7" s="2">
        <v>30</v>
      </c>
      <c r="B7" s="2"/>
      <c r="C7" s="2">
        <f>A7-H7</f>
        <v>0</v>
      </c>
      <c r="D7" s="2"/>
      <c r="E7" s="2"/>
      <c r="F7" s="3"/>
      <c r="G7" s="8" t="s">
        <v>18</v>
      </c>
      <c r="H7" s="197">
        <v>30</v>
      </c>
      <c r="I7" s="197"/>
      <c r="J7" s="197"/>
    </row>
    <row r="8" spans="1:10" ht="12.7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3" t="s">
        <v>20</v>
      </c>
      <c r="H8" s="201" t="s">
        <v>22</v>
      </c>
      <c r="I8" s="202"/>
      <c r="J8" s="203"/>
    </row>
    <row r="9" spans="1:10" ht="12.75" customHeight="1">
      <c r="A9" s="17" t="s">
        <v>23</v>
      </c>
      <c r="B9" s="1"/>
      <c r="C9" s="1"/>
      <c r="D9" s="2">
        <v>150000</v>
      </c>
      <c r="E9" s="17" t="s">
        <v>24</v>
      </c>
      <c r="F9" s="1"/>
      <c r="G9" s="2" t="s">
        <v>25</v>
      </c>
      <c r="H9" s="18" t="s">
        <v>26</v>
      </c>
      <c r="I9" s="6"/>
      <c r="J9" s="19"/>
    </row>
    <row r="10" spans="1:10" ht="12.75" customHeight="1">
      <c r="A10" s="17" t="s">
        <v>27</v>
      </c>
      <c r="B10" s="1"/>
      <c r="C10" s="1"/>
      <c r="D10" s="2" t="s">
        <v>25</v>
      </c>
      <c r="E10" s="17" t="s">
        <v>28</v>
      </c>
      <c r="F10" s="1"/>
      <c r="G10" s="2" t="s">
        <v>25</v>
      </c>
      <c r="H10" s="18" t="s">
        <v>29</v>
      </c>
      <c r="I10" s="6"/>
      <c r="J10" s="19"/>
    </row>
    <row r="11" spans="1:10" ht="12.75" customHeight="1">
      <c r="A11" s="17" t="s">
        <v>30</v>
      </c>
      <c r="B11" s="1"/>
      <c r="C11" s="1"/>
      <c r="D11" s="2" t="s">
        <v>25</v>
      </c>
      <c r="E11" s="17" t="s">
        <v>31</v>
      </c>
      <c r="F11" s="1"/>
      <c r="G11" s="2" t="s">
        <v>25</v>
      </c>
      <c r="H11" s="18" t="s">
        <v>32</v>
      </c>
      <c r="I11" s="6"/>
      <c r="J11" s="19" t="s">
        <v>33</v>
      </c>
    </row>
    <row r="12" spans="1:10" ht="12.75" customHeight="1">
      <c r="A12" s="17" t="s">
        <v>34</v>
      </c>
      <c r="B12" s="1"/>
      <c r="C12" s="1"/>
      <c r="D12" s="2" t="s">
        <v>25</v>
      </c>
      <c r="E12" s="17" t="s">
        <v>35</v>
      </c>
      <c r="F12" s="1"/>
      <c r="G12" s="2" t="s">
        <v>25</v>
      </c>
      <c r="H12" s="18"/>
      <c r="I12" s="6"/>
      <c r="J12" s="40"/>
    </row>
    <row r="13" spans="1:10" ht="12.75" customHeight="1">
      <c r="A13" s="17" t="s">
        <v>36</v>
      </c>
      <c r="B13" s="1"/>
      <c r="C13" s="1"/>
      <c r="D13" s="2" t="s">
        <v>25</v>
      </c>
      <c r="E13" s="17" t="s">
        <v>37</v>
      </c>
      <c r="F13" s="1"/>
      <c r="G13" s="2" t="s">
        <v>25</v>
      </c>
      <c r="H13" s="18"/>
      <c r="I13" s="6"/>
      <c r="J13" s="40"/>
    </row>
    <row r="14" spans="1:10" ht="12.75" customHeight="1">
      <c r="A14" s="17" t="s">
        <v>38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40"/>
    </row>
    <row r="15" spans="1:10" ht="12.75" customHeight="1">
      <c r="A15" s="18" t="s">
        <v>40</v>
      </c>
      <c r="B15" s="6"/>
      <c r="C15" s="6"/>
      <c r="D15" s="2" t="s">
        <v>25</v>
      </c>
      <c r="E15" s="17" t="s">
        <v>41</v>
      </c>
      <c r="F15" s="1"/>
      <c r="G15" s="2" t="s">
        <v>25</v>
      </c>
      <c r="H15" s="18"/>
      <c r="I15" s="6"/>
      <c r="J15" s="19"/>
    </row>
    <row r="16" spans="1:10" ht="12.75" customHeight="1">
      <c r="A16" s="204" t="s">
        <v>42</v>
      </c>
      <c r="B16" s="205"/>
      <c r="C16" s="206"/>
      <c r="D16" s="229">
        <f>SUM(D9:D15)</f>
        <v>150000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2.75" customHeight="1">
      <c r="A17" s="207"/>
      <c r="B17" s="197"/>
      <c r="C17" s="208"/>
      <c r="D17" s="230"/>
      <c r="E17" s="21" t="s">
        <v>21</v>
      </c>
      <c r="F17" s="22"/>
      <c r="G17" s="13">
        <f>SUM(G9:G16)</f>
        <v>100</v>
      </c>
      <c r="H17" s="21" t="s">
        <v>44</v>
      </c>
      <c r="I17" s="22"/>
      <c r="J17" s="13">
        <f>D16-G17</f>
        <v>149900</v>
      </c>
    </row>
    <row r="18" spans="1:10" ht="12.75" customHeight="1">
      <c r="A18" s="3" t="s">
        <v>45</v>
      </c>
      <c r="B18" s="3"/>
      <c r="C18" s="3"/>
      <c r="D18" s="3"/>
      <c r="E18" s="3" t="s">
        <v>46</v>
      </c>
      <c r="F18" s="3"/>
      <c r="G18" s="3"/>
      <c r="H18" s="3"/>
      <c r="I18" s="3"/>
      <c r="J18" s="3"/>
    </row>
    <row r="19" spans="1:10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.7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2.7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.7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.75" customHeight="1">
      <c r="A23" s="1" t="s">
        <v>2</v>
      </c>
      <c r="B23" s="1"/>
      <c r="C23" s="190" t="s">
        <v>3</v>
      </c>
      <c r="D23" s="190"/>
      <c r="E23" s="2"/>
      <c r="F23" s="3"/>
      <c r="G23" s="1" t="s">
        <v>4</v>
      </c>
      <c r="H23" s="191" t="s">
        <v>5</v>
      </c>
      <c r="I23" s="191"/>
      <c r="J23" s="191"/>
    </row>
    <row r="24" spans="1:10" ht="12.75" customHeight="1">
      <c r="A24" s="1" t="s">
        <v>6</v>
      </c>
      <c r="B24" s="1"/>
      <c r="C24" s="192" t="s">
        <v>50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2.75" customHeight="1">
      <c r="A25" s="6" t="s">
        <v>10</v>
      </c>
      <c r="B25" s="6"/>
      <c r="C25" s="194" t="s">
        <v>51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2.7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196" t="s">
        <v>17</v>
      </c>
      <c r="I26" s="196"/>
      <c r="J26" s="196"/>
    </row>
    <row r="27" spans="1:10" ht="12.75" customHeight="1">
      <c r="A27" s="2">
        <v>30</v>
      </c>
      <c r="B27" s="2"/>
      <c r="C27" s="2">
        <f>A27-H27</f>
        <v>0</v>
      </c>
      <c r="D27" s="2"/>
      <c r="E27" s="2"/>
      <c r="F27" s="3"/>
      <c r="G27" s="8" t="s">
        <v>18</v>
      </c>
      <c r="H27" s="197">
        <v>30</v>
      </c>
      <c r="I27" s="197"/>
      <c r="J27" s="197"/>
    </row>
    <row r="28" spans="1:10" ht="12.7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3" t="s">
        <v>20</v>
      </c>
      <c r="H28" s="201" t="s">
        <v>22</v>
      </c>
      <c r="I28" s="202"/>
      <c r="J28" s="203"/>
    </row>
    <row r="29" spans="1:10" ht="12.75" customHeight="1">
      <c r="A29" s="17" t="s">
        <v>23</v>
      </c>
      <c r="B29" s="1"/>
      <c r="C29" s="1"/>
      <c r="D29" s="2">
        <v>75000</v>
      </c>
      <c r="E29" s="17" t="s">
        <v>24</v>
      </c>
      <c r="F29" s="1"/>
      <c r="G29" s="2" t="s">
        <v>25</v>
      </c>
      <c r="H29" s="18" t="s">
        <v>26</v>
      </c>
      <c r="I29" s="6"/>
      <c r="J29" s="19"/>
    </row>
    <row r="30" spans="1:10" ht="12.75" customHeight="1">
      <c r="A30" s="17" t="s">
        <v>27</v>
      </c>
      <c r="B30" s="1"/>
      <c r="C30" s="1"/>
      <c r="D30" s="2" t="s">
        <v>25</v>
      </c>
      <c r="E30" s="17" t="s">
        <v>28</v>
      </c>
      <c r="F30" s="1"/>
      <c r="G30" s="2" t="s">
        <v>25</v>
      </c>
      <c r="H30" s="18" t="s">
        <v>29</v>
      </c>
      <c r="I30" s="6"/>
      <c r="J30" s="19"/>
    </row>
    <row r="31" spans="1:10" ht="12.75" customHeight="1">
      <c r="A31" s="17" t="s">
        <v>30</v>
      </c>
      <c r="B31" s="1"/>
      <c r="C31" s="1"/>
      <c r="D31" s="2">
        <v>5160</v>
      </c>
      <c r="E31" s="17" t="s">
        <v>52</v>
      </c>
      <c r="F31" s="1"/>
      <c r="G31" s="2">
        <v>60</v>
      </c>
      <c r="H31" s="18" t="s">
        <v>32</v>
      </c>
      <c r="I31" s="6"/>
      <c r="J31" s="19" t="s">
        <v>33</v>
      </c>
    </row>
    <row r="32" spans="1:10" ht="12.75" customHeight="1">
      <c r="A32" s="17" t="s">
        <v>34</v>
      </c>
      <c r="B32" s="1"/>
      <c r="C32" s="1"/>
      <c r="D32" s="2" t="s">
        <v>25</v>
      </c>
      <c r="E32" s="17" t="s">
        <v>35</v>
      </c>
      <c r="F32" s="1"/>
      <c r="G32" s="2" t="s">
        <v>25</v>
      </c>
      <c r="H32" s="18"/>
      <c r="I32" s="6"/>
      <c r="J32" s="40"/>
    </row>
    <row r="33" spans="1:10" ht="12.75" customHeight="1">
      <c r="A33" s="17" t="s">
        <v>36</v>
      </c>
      <c r="B33" s="1"/>
      <c r="C33" s="1"/>
      <c r="D33" s="2" t="s">
        <v>25</v>
      </c>
      <c r="E33" s="17" t="s">
        <v>37</v>
      </c>
      <c r="F33" s="1"/>
      <c r="G33" s="2" t="s">
        <v>25</v>
      </c>
      <c r="H33" s="18"/>
      <c r="I33" s="6"/>
      <c r="J33" s="40"/>
    </row>
    <row r="34" spans="1:10" ht="12.75" customHeight="1">
      <c r="A34" s="17" t="s">
        <v>38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40"/>
    </row>
    <row r="35" spans="1:10" ht="12.75" customHeight="1">
      <c r="A35" s="18" t="s">
        <v>40</v>
      </c>
      <c r="B35" s="6"/>
      <c r="C35" s="6"/>
      <c r="D35" s="2" t="s">
        <v>25</v>
      </c>
      <c r="E35" s="17" t="s">
        <v>41</v>
      </c>
      <c r="F35" s="1"/>
      <c r="G35" s="2" t="s">
        <v>25</v>
      </c>
      <c r="H35" s="18"/>
      <c r="I35" s="6"/>
      <c r="J35" s="19"/>
    </row>
    <row r="36" spans="1:10" ht="12.75" customHeight="1">
      <c r="A36" s="204" t="s">
        <v>42</v>
      </c>
      <c r="B36" s="205"/>
      <c r="C36" s="206"/>
      <c r="D36" s="229">
        <f>SUM(D29:D35)</f>
        <v>80160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2.75" customHeight="1">
      <c r="A37" s="207"/>
      <c r="B37" s="197"/>
      <c r="C37" s="208"/>
      <c r="D37" s="230"/>
      <c r="E37" s="21" t="s">
        <v>21</v>
      </c>
      <c r="F37" s="22"/>
      <c r="G37" s="13">
        <f>SUM(G29:G36)</f>
        <v>160</v>
      </c>
      <c r="H37" s="21" t="s">
        <v>44</v>
      </c>
      <c r="I37" s="22"/>
      <c r="J37" s="13">
        <f>D36-G37</f>
        <v>80000</v>
      </c>
    </row>
    <row r="38" spans="1:10" ht="12.75" customHeight="1">
      <c r="A38" s="3" t="s">
        <v>45</v>
      </c>
      <c r="B38" s="3"/>
      <c r="C38" s="3"/>
      <c r="D38" s="3"/>
      <c r="E38" s="3" t="s">
        <v>46</v>
      </c>
      <c r="F38" s="3"/>
      <c r="G38" s="3"/>
      <c r="H38" s="3"/>
      <c r="I38" s="3"/>
      <c r="J38" s="3"/>
    </row>
    <row r="39" spans="1:10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.7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190"/>
      <c r="D43" s="190"/>
      <c r="E43" s="2"/>
      <c r="F43" s="3"/>
      <c r="G43" s="1" t="s">
        <v>4</v>
      </c>
      <c r="H43" s="191" t="s">
        <v>5</v>
      </c>
      <c r="I43" s="191"/>
      <c r="J43" s="191"/>
    </row>
    <row r="44" spans="1:10" ht="12.75" customHeight="1">
      <c r="A44" s="1" t="s">
        <v>6</v>
      </c>
      <c r="B44" s="1"/>
      <c r="C44" s="25" t="s">
        <v>53</v>
      </c>
      <c r="D44" s="25"/>
      <c r="E44" s="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194" t="s">
        <v>54</v>
      </c>
      <c r="D45" s="194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2" t="s">
        <v>14</v>
      </c>
      <c r="B46" s="2"/>
      <c r="C46" s="1" t="s">
        <v>15</v>
      </c>
      <c r="D46" s="1"/>
      <c r="E46" s="2"/>
      <c r="F46" s="3"/>
      <c r="G46" s="1" t="s">
        <v>16</v>
      </c>
      <c r="H46" s="209" t="s">
        <v>55</v>
      </c>
      <c r="I46" s="209"/>
      <c r="J46" s="209"/>
    </row>
    <row r="47" spans="1:10" ht="12.75" customHeight="1">
      <c r="A47" s="2">
        <v>30</v>
      </c>
      <c r="B47" s="2"/>
      <c r="C47" s="2">
        <f>A47-H47</f>
        <v>0</v>
      </c>
      <c r="D47" s="2"/>
      <c r="E47" s="2"/>
      <c r="F47" s="3"/>
      <c r="G47" s="8" t="s">
        <v>18</v>
      </c>
      <c r="H47" s="197">
        <v>30</v>
      </c>
      <c r="I47" s="197"/>
      <c r="J47" s="197"/>
    </row>
    <row r="48" spans="1:10" ht="12.7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2.75" customHeight="1">
      <c r="A49" s="17" t="s">
        <v>56</v>
      </c>
      <c r="B49" s="1"/>
      <c r="C49" s="1"/>
      <c r="D49" s="2">
        <v>90000</v>
      </c>
      <c r="E49" s="17" t="s">
        <v>28</v>
      </c>
      <c r="F49" s="1"/>
      <c r="G49" s="2">
        <v>10000</v>
      </c>
      <c r="H49" s="18" t="s">
        <v>26</v>
      </c>
      <c r="I49" s="6"/>
      <c r="J49" s="19"/>
    </row>
    <row r="50" spans="1:10" ht="12.75" customHeight="1">
      <c r="A50" s="17" t="s">
        <v>57</v>
      </c>
      <c r="B50" s="209"/>
      <c r="C50" s="209"/>
      <c r="D50" s="2" t="s">
        <v>25</v>
      </c>
      <c r="E50" s="17" t="s">
        <v>24</v>
      </c>
      <c r="F50" s="1"/>
      <c r="G50" s="2">
        <v>50000</v>
      </c>
      <c r="H50" s="18" t="s">
        <v>29</v>
      </c>
      <c r="I50" s="6"/>
      <c r="J50" s="19"/>
    </row>
    <row r="51" spans="1:10" ht="12.75" customHeight="1">
      <c r="A51" s="17" t="s">
        <v>30</v>
      </c>
      <c r="B51" s="1"/>
      <c r="C51" s="1"/>
      <c r="D51" s="2">
        <v>2650</v>
      </c>
      <c r="E51" s="17" t="s">
        <v>58</v>
      </c>
      <c r="F51" s="1"/>
      <c r="G51" s="2">
        <v>650</v>
      </c>
      <c r="H51" s="18" t="s">
        <v>32</v>
      </c>
      <c r="I51" s="209"/>
      <c r="J51" s="210"/>
    </row>
    <row r="52" spans="1:10" ht="12.75" customHeight="1">
      <c r="A52" s="17" t="s">
        <v>59</v>
      </c>
      <c r="B52" s="1"/>
      <c r="C52" s="1"/>
      <c r="D52" s="2">
        <v>10000</v>
      </c>
      <c r="E52" s="17" t="s">
        <v>52</v>
      </c>
      <c r="F52" s="1"/>
      <c r="G52" s="2">
        <v>1900</v>
      </c>
      <c r="H52" s="18"/>
      <c r="I52" s="6"/>
      <c r="J52" s="19"/>
    </row>
    <row r="53" spans="1:10" ht="12.75" customHeight="1">
      <c r="A53" s="17" t="s">
        <v>60</v>
      </c>
      <c r="B53" s="1"/>
      <c r="C53" s="1"/>
      <c r="D53" s="2">
        <v>10000</v>
      </c>
      <c r="E53" s="17" t="s">
        <v>61</v>
      </c>
      <c r="F53" s="1"/>
      <c r="G53" s="2" t="s">
        <v>25</v>
      </c>
      <c r="H53" s="18"/>
      <c r="I53" s="6"/>
      <c r="J53" s="40"/>
    </row>
    <row r="54" spans="1:10" ht="12.75" customHeight="1">
      <c r="A54" s="17" t="s">
        <v>38</v>
      </c>
      <c r="B54" s="1"/>
      <c r="C54" s="1"/>
      <c r="D54" s="2" t="s">
        <v>25</v>
      </c>
      <c r="E54" s="17" t="s">
        <v>39</v>
      </c>
      <c r="F54" s="2"/>
      <c r="G54" s="2">
        <v>100</v>
      </c>
      <c r="H54" s="18"/>
      <c r="I54" s="6"/>
      <c r="J54" s="40"/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62</v>
      </c>
      <c r="F55" s="2"/>
      <c r="G55" s="2" t="s">
        <v>25</v>
      </c>
      <c r="H55" s="18"/>
      <c r="I55" s="6"/>
      <c r="J55" s="40"/>
    </row>
    <row r="56" spans="1:10" ht="12.75" customHeight="1">
      <c r="A56" s="204" t="s">
        <v>63</v>
      </c>
      <c r="B56" s="205"/>
      <c r="C56" s="206"/>
      <c r="D56" s="254">
        <f>SUM(D49:D55)</f>
        <v>112650</v>
      </c>
      <c r="E56" s="1" t="s">
        <v>64</v>
      </c>
      <c r="F56" s="1"/>
      <c r="G56" s="2" t="s">
        <v>25</v>
      </c>
      <c r="H56" s="18"/>
      <c r="I56" s="6"/>
      <c r="J56" s="38"/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62650</v>
      </c>
      <c r="H57" s="21" t="s">
        <v>44</v>
      </c>
      <c r="I57" s="22"/>
      <c r="J57" s="13">
        <f>D56-G57</f>
        <v>50000</v>
      </c>
    </row>
    <row r="58" spans="1:10" ht="12.7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2.7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2.7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.7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.75" customHeight="1">
      <c r="A63" s="1" t="s">
        <v>2</v>
      </c>
      <c r="B63" s="1"/>
      <c r="C63" s="190" t="s">
        <v>65</v>
      </c>
      <c r="D63" s="190"/>
      <c r="E63" s="2"/>
      <c r="F63" s="3"/>
      <c r="G63" s="1" t="s">
        <v>4</v>
      </c>
      <c r="H63" s="191" t="s">
        <v>5</v>
      </c>
      <c r="I63" s="191"/>
      <c r="J63" s="191"/>
    </row>
    <row r="64" spans="1:10" ht="12.75" customHeight="1">
      <c r="A64" s="1" t="s">
        <v>6</v>
      </c>
      <c r="B64" s="1"/>
      <c r="C64" s="25" t="s">
        <v>66</v>
      </c>
      <c r="D64" s="25"/>
      <c r="E64" s="2"/>
      <c r="F64" s="3"/>
      <c r="G64" s="1" t="s">
        <v>8</v>
      </c>
      <c r="H64" s="193" t="s">
        <v>9</v>
      </c>
      <c r="I64" s="193"/>
      <c r="J64" s="193"/>
    </row>
    <row r="65" spans="1:10" ht="12.75" customHeight="1">
      <c r="A65" s="6" t="s">
        <v>10</v>
      </c>
      <c r="B65" s="6"/>
      <c r="C65" s="6" t="s">
        <v>67</v>
      </c>
      <c r="D65" s="6"/>
      <c r="E65" s="2"/>
      <c r="F65" s="3"/>
      <c r="G65" s="1" t="s">
        <v>12</v>
      </c>
      <c r="H65" s="195" t="s">
        <v>13</v>
      </c>
      <c r="I65" s="195"/>
      <c r="J65" s="195"/>
    </row>
    <row r="66" spans="1:10" ht="12.75" customHeight="1">
      <c r="A66" s="2"/>
      <c r="B66" s="2"/>
      <c r="C66" s="2" t="s">
        <v>15</v>
      </c>
      <c r="D66" s="2"/>
      <c r="E66" s="2"/>
      <c r="F66" s="3"/>
      <c r="G66" s="1" t="s">
        <v>16</v>
      </c>
      <c r="H66" s="196" t="s">
        <v>68</v>
      </c>
      <c r="I66" s="196"/>
      <c r="J66" s="196"/>
    </row>
    <row r="67" spans="1:10" ht="12.75" customHeight="1">
      <c r="A67" s="2">
        <v>30</v>
      </c>
      <c r="B67" s="2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2.7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2.75" customHeight="1">
      <c r="A69" s="17" t="s">
        <v>23</v>
      </c>
      <c r="B69" s="1"/>
      <c r="C69" s="1"/>
      <c r="D69" s="2">
        <v>65000</v>
      </c>
      <c r="E69" s="17" t="s">
        <v>24</v>
      </c>
      <c r="F69" s="1"/>
      <c r="G69" s="2" t="s">
        <v>25</v>
      </c>
      <c r="H69" s="18" t="s">
        <v>26</v>
      </c>
      <c r="I69" s="6"/>
      <c r="J69" s="19"/>
    </row>
    <row r="70" spans="1:10" ht="12.75" customHeight="1">
      <c r="A70" s="17" t="s">
        <v>69</v>
      </c>
      <c r="B70" s="209"/>
      <c r="C70" s="209"/>
      <c r="D70" s="2" t="s">
        <v>25</v>
      </c>
      <c r="E70" s="17" t="s">
        <v>58</v>
      </c>
      <c r="F70" s="1"/>
      <c r="G70" s="2" t="s">
        <v>25</v>
      </c>
      <c r="H70" s="18" t="s">
        <v>29</v>
      </c>
      <c r="I70" s="6"/>
      <c r="J70" s="19"/>
    </row>
    <row r="71" spans="1:10" ht="12.75" customHeight="1">
      <c r="A71" s="17" t="s">
        <v>30</v>
      </c>
      <c r="B71" s="1"/>
      <c r="C71" s="1"/>
      <c r="D71" s="2">
        <v>2100</v>
      </c>
      <c r="E71" s="17" t="s">
        <v>70</v>
      </c>
      <c r="F71" s="1"/>
      <c r="G71" s="2" t="s">
        <v>25</v>
      </c>
      <c r="H71" s="18" t="s">
        <v>32</v>
      </c>
      <c r="I71" s="6"/>
      <c r="J71" s="19"/>
    </row>
    <row r="72" spans="1:10" ht="12.75" customHeight="1">
      <c r="A72" s="17" t="s">
        <v>34</v>
      </c>
      <c r="B72" s="1"/>
      <c r="C72" s="1"/>
      <c r="D72" s="2" t="s">
        <v>25</v>
      </c>
      <c r="E72" s="17" t="s">
        <v>71</v>
      </c>
      <c r="F72" s="1"/>
      <c r="G72" s="2" t="s">
        <v>25</v>
      </c>
      <c r="H72" s="18"/>
      <c r="I72" s="6"/>
      <c r="J72" s="19"/>
    </row>
    <row r="73" spans="1:10" ht="12.75" customHeight="1">
      <c r="A73" s="17" t="s">
        <v>72</v>
      </c>
      <c r="B73" s="1"/>
      <c r="C73" s="1"/>
      <c r="D73" s="2" t="s">
        <v>25</v>
      </c>
      <c r="E73" s="17" t="s">
        <v>61</v>
      </c>
      <c r="F73" s="1"/>
      <c r="G73" s="2" t="s">
        <v>25</v>
      </c>
      <c r="H73" s="211"/>
      <c r="I73" s="194"/>
      <c r="J73" s="212"/>
    </row>
    <row r="74" spans="1:10" ht="12.75" customHeight="1">
      <c r="A74" s="17" t="s">
        <v>38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19"/>
    </row>
    <row r="75" spans="1:10" ht="12.75" customHeight="1">
      <c r="A75" s="18" t="s">
        <v>40</v>
      </c>
      <c r="B75" s="6"/>
      <c r="C75" s="6"/>
      <c r="D75" s="2" t="s">
        <v>25</v>
      </c>
      <c r="E75" s="17" t="s">
        <v>62</v>
      </c>
      <c r="F75" s="1"/>
      <c r="G75" s="2" t="s">
        <v>25</v>
      </c>
      <c r="H75" s="18"/>
      <c r="I75" s="6"/>
      <c r="J75" s="19"/>
    </row>
    <row r="76" spans="1:10" ht="12.75" customHeight="1">
      <c r="A76" s="204" t="s">
        <v>63</v>
      </c>
      <c r="B76" s="205"/>
      <c r="C76" s="206"/>
      <c r="D76" s="229">
        <f>SUM(D69:D75)</f>
        <v>67100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2.7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67000</v>
      </c>
    </row>
    <row r="78" spans="1:10" ht="12.75" customHeight="1">
      <c r="A78" s="2"/>
      <c r="B78" s="2"/>
      <c r="C78" s="2"/>
      <c r="D78" s="2"/>
      <c r="E78" s="1"/>
      <c r="F78" s="1"/>
      <c r="G78" s="2"/>
      <c r="H78" s="1"/>
      <c r="I78" s="1"/>
      <c r="J78" s="2"/>
    </row>
    <row r="79" spans="1:10" ht="12.75" customHeight="1">
      <c r="A79" s="3" t="s">
        <v>45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 ht="12.75" customHeight="1">
      <c r="A80" s="3"/>
      <c r="B80" s="3" t="s">
        <v>47</v>
      </c>
      <c r="C80" s="3"/>
      <c r="D80" s="3" t="s">
        <v>73</v>
      </c>
      <c r="E80" s="3" t="s">
        <v>48</v>
      </c>
      <c r="F80" s="3"/>
      <c r="G80" s="3"/>
      <c r="H80" s="3" t="s">
        <v>49</v>
      </c>
      <c r="I80" s="3"/>
      <c r="J80" s="3"/>
    </row>
    <row r="81" spans="1:10" ht="12.7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2.7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2.75" customHeight="1">
      <c r="A83" s="1" t="s">
        <v>2</v>
      </c>
      <c r="B83" s="1"/>
      <c r="C83" s="190" t="s">
        <v>74</v>
      </c>
      <c r="D83" s="190"/>
      <c r="E83" s="2"/>
      <c r="F83" s="3"/>
      <c r="G83" s="1" t="s">
        <v>4</v>
      </c>
      <c r="H83" s="191" t="s">
        <v>5</v>
      </c>
      <c r="I83" s="191"/>
      <c r="J83" s="191"/>
    </row>
    <row r="84" spans="1:10" ht="12.75" customHeight="1">
      <c r="A84" s="1" t="s">
        <v>6</v>
      </c>
      <c r="B84" s="1"/>
      <c r="C84" s="25" t="s">
        <v>75</v>
      </c>
      <c r="D84" s="25"/>
      <c r="E84" s="2"/>
      <c r="F84" s="3"/>
      <c r="G84" s="1" t="s">
        <v>8</v>
      </c>
      <c r="H84" s="193" t="s">
        <v>9</v>
      </c>
      <c r="I84" s="193"/>
      <c r="J84" s="193"/>
    </row>
    <row r="85" spans="1:10" ht="12.75" customHeight="1">
      <c r="A85" s="6" t="s">
        <v>10</v>
      </c>
      <c r="B85" s="6"/>
      <c r="C85" s="194" t="s">
        <v>67</v>
      </c>
      <c r="D85" s="194"/>
      <c r="E85" s="2"/>
      <c r="F85" s="3"/>
      <c r="G85" s="1" t="s">
        <v>12</v>
      </c>
      <c r="H85" s="195" t="s">
        <v>13</v>
      </c>
      <c r="I85" s="195"/>
      <c r="J85" s="195"/>
    </row>
    <row r="86" spans="1:10" ht="12.75" customHeight="1">
      <c r="A86" s="2" t="s">
        <v>14</v>
      </c>
      <c r="B86" s="2"/>
      <c r="C86" s="2" t="s">
        <v>15</v>
      </c>
      <c r="D86" s="2"/>
      <c r="E86" s="2"/>
      <c r="F86" s="3"/>
      <c r="G86" s="1" t="s">
        <v>16</v>
      </c>
      <c r="H86" s="196" t="s">
        <v>76</v>
      </c>
      <c r="I86" s="196"/>
      <c r="J86" s="196"/>
    </row>
    <row r="87" spans="1:10" ht="12.75" customHeight="1">
      <c r="A87" s="2">
        <v>30</v>
      </c>
      <c r="B87" s="2"/>
      <c r="C87" s="2">
        <f>A87-H87</f>
        <v>0</v>
      </c>
      <c r="D87" s="2"/>
      <c r="E87" s="2"/>
      <c r="F87" s="3"/>
      <c r="G87" s="8" t="s">
        <v>18</v>
      </c>
      <c r="H87" s="197">
        <v>30</v>
      </c>
      <c r="I87" s="197"/>
      <c r="J87" s="197"/>
    </row>
    <row r="88" spans="1:10" ht="12.7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2.75" customHeight="1">
      <c r="A89" s="17" t="s">
        <v>23</v>
      </c>
      <c r="B89" s="1"/>
      <c r="C89" s="1"/>
      <c r="D89" s="2">
        <v>60000</v>
      </c>
      <c r="E89" s="17" t="s">
        <v>24</v>
      </c>
      <c r="F89" s="1"/>
      <c r="G89" s="2" t="s">
        <v>25</v>
      </c>
      <c r="H89" s="18" t="s">
        <v>26</v>
      </c>
      <c r="I89" s="6"/>
      <c r="J89" s="19"/>
    </row>
    <row r="90" spans="1:10" ht="12.75" customHeight="1">
      <c r="A90" s="17" t="s">
        <v>77</v>
      </c>
      <c r="B90" s="209"/>
      <c r="C90" s="209"/>
      <c r="D90" s="2" t="s">
        <v>25</v>
      </c>
      <c r="E90" s="17" t="s">
        <v>70</v>
      </c>
      <c r="F90" s="1"/>
      <c r="G90" s="2" t="s">
        <v>25</v>
      </c>
      <c r="H90" s="18" t="s">
        <v>29</v>
      </c>
      <c r="I90" s="6"/>
      <c r="J90" s="19"/>
    </row>
    <row r="91" spans="1:10" ht="12.75" customHeight="1">
      <c r="A91" s="17" t="s">
        <v>30</v>
      </c>
      <c r="B91" s="1"/>
      <c r="C91" s="1"/>
      <c r="D91" s="2">
        <v>3100</v>
      </c>
      <c r="E91" s="17" t="s">
        <v>58</v>
      </c>
      <c r="F91" s="1"/>
      <c r="G91" s="2" t="s">
        <v>25</v>
      </c>
      <c r="H91" s="18" t="s">
        <v>32</v>
      </c>
      <c r="I91" s="6"/>
      <c r="J91" s="19"/>
    </row>
    <row r="92" spans="1:10" ht="12.75" customHeight="1">
      <c r="A92" s="17" t="s">
        <v>34</v>
      </c>
      <c r="B92" s="1"/>
      <c r="C92" s="1"/>
      <c r="D92" s="2" t="s">
        <v>25</v>
      </c>
      <c r="E92" s="17" t="s">
        <v>71</v>
      </c>
      <c r="F92" s="1"/>
      <c r="G92" s="2" t="s">
        <v>25</v>
      </c>
      <c r="H92" s="18"/>
      <c r="I92" s="36"/>
      <c r="J92" s="19"/>
    </row>
    <row r="93" spans="1:10" ht="12.75" customHeight="1">
      <c r="A93" s="17" t="s">
        <v>78</v>
      </c>
      <c r="B93" s="1"/>
      <c r="C93" s="1"/>
      <c r="D93" s="2" t="s">
        <v>25</v>
      </c>
      <c r="E93" s="17" t="s">
        <v>79</v>
      </c>
      <c r="F93" s="2"/>
      <c r="G93" s="2" t="s">
        <v>25</v>
      </c>
      <c r="H93" s="42"/>
      <c r="I93" s="36"/>
      <c r="J93" s="43"/>
    </row>
    <row r="94" spans="1:10" ht="12.75" customHeight="1">
      <c r="A94" s="17" t="s">
        <v>38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7"/>
      <c r="I94" s="1"/>
      <c r="J94" s="20"/>
    </row>
    <row r="95" spans="1:10" ht="12.75" customHeight="1">
      <c r="A95" s="18" t="s">
        <v>40</v>
      </c>
      <c r="B95" s="6"/>
      <c r="C95" s="6"/>
      <c r="D95" s="2" t="s">
        <v>25</v>
      </c>
      <c r="E95" s="17" t="s">
        <v>62</v>
      </c>
      <c r="F95" s="2"/>
      <c r="G95" s="2" t="s">
        <v>25</v>
      </c>
      <c r="H95" s="42"/>
      <c r="I95" s="36"/>
      <c r="J95" s="43"/>
    </row>
    <row r="96" spans="1:10" ht="12.75" customHeight="1">
      <c r="A96" s="204" t="s">
        <v>63</v>
      </c>
      <c r="B96" s="205"/>
      <c r="C96" s="206"/>
      <c r="D96" s="229">
        <f>SUM(D89:D95)</f>
        <v>63100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2.7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63000</v>
      </c>
    </row>
    <row r="98" spans="1:10" ht="12.75" customHeight="1">
      <c r="A98" s="3" t="s">
        <v>45</v>
      </c>
      <c r="B98" s="3"/>
      <c r="C98" s="3"/>
      <c r="D98" s="3"/>
      <c r="E98" s="3"/>
      <c r="F98" s="3"/>
      <c r="G98" s="2"/>
      <c r="H98" s="1"/>
      <c r="I98" s="1"/>
      <c r="J98" s="2"/>
    </row>
    <row r="99" spans="1:10" ht="12.75" customHeight="1">
      <c r="A99" s="3"/>
      <c r="B99" s="3" t="s">
        <v>47</v>
      </c>
      <c r="C99" s="3"/>
      <c r="D99" s="3"/>
      <c r="E99" s="3" t="s">
        <v>48</v>
      </c>
      <c r="F99" s="3"/>
      <c r="G99" s="3"/>
      <c r="H99" s="3" t="s">
        <v>49</v>
      </c>
      <c r="I99" s="3"/>
      <c r="J99" s="3"/>
    </row>
    <row r="100" spans="1:10" ht="12.75" customHeight="1">
      <c r="A100" s="184" t="s">
        <v>0</v>
      </c>
      <c r="B100" s="185"/>
      <c r="C100" s="185"/>
      <c r="D100" s="185"/>
      <c r="E100" s="185"/>
      <c r="F100" s="185"/>
      <c r="G100" s="185"/>
      <c r="H100" s="185"/>
      <c r="I100" s="185"/>
      <c r="J100" s="186"/>
    </row>
    <row r="101" spans="1:10" ht="12.75" customHeight="1">
      <c r="A101" s="187" t="s">
        <v>1</v>
      </c>
      <c r="B101" s="188"/>
      <c r="C101" s="188"/>
      <c r="D101" s="188"/>
      <c r="E101" s="188"/>
      <c r="F101" s="188"/>
      <c r="G101" s="188"/>
      <c r="H101" s="188"/>
      <c r="I101" s="188"/>
      <c r="J101" s="189"/>
    </row>
    <row r="102" spans="1:10" ht="12.75" customHeight="1">
      <c r="A102" s="1" t="s">
        <v>2</v>
      </c>
      <c r="B102" s="1"/>
      <c r="C102" s="190" t="s">
        <v>80</v>
      </c>
      <c r="D102" s="190"/>
      <c r="E102" s="2"/>
      <c r="F102" s="3"/>
      <c r="G102" s="1" t="s">
        <v>4</v>
      </c>
      <c r="H102" s="191" t="s">
        <v>5</v>
      </c>
      <c r="I102" s="191"/>
      <c r="J102" s="191"/>
    </row>
    <row r="103" spans="1:10" ht="12.75" customHeight="1">
      <c r="A103" s="1" t="s">
        <v>6</v>
      </c>
      <c r="B103" s="1"/>
      <c r="C103" s="25" t="s">
        <v>81</v>
      </c>
      <c r="D103" s="25"/>
      <c r="E103" s="2"/>
      <c r="F103" s="3"/>
      <c r="G103" s="1" t="s">
        <v>8</v>
      </c>
      <c r="H103" s="193" t="s">
        <v>9</v>
      </c>
      <c r="I103" s="193"/>
      <c r="J103" s="193"/>
    </row>
    <row r="104" spans="1:10" ht="12.75" customHeight="1">
      <c r="A104" s="6" t="s">
        <v>10</v>
      </c>
      <c r="B104" s="6"/>
      <c r="C104" s="194" t="s">
        <v>67</v>
      </c>
      <c r="D104" s="194"/>
      <c r="E104" s="2"/>
      <c r="F104" s="3"/>
      <c r="G104" s="1" t="s">
        <v>12</v>
      </c>
      <c r="H104" s="195" t="s">
        <v>13</v>
      </c>
      <c r="I104" s="195"/>
      <c r="J104" s="195"/>
    </row>
    <row r="105" spans="1:10" ht="12.75" customHeight="1">
      <c r="A105" s="2" t="s">
        <v>14</v>
      </c>
      <c r="B105" s="2"/>
      <c r="C105" s="2" t="s">
        <v>15</v>
      </c>
      <c r="D105" s="2"/>
      <c r="E105" s="2"/>
      <c r="F105" s="3"/>
      <c r="G105" s="1" t="s">
        <v>16</v>
      </c>
      <c r="H105" s="196" t="s">
        <v>76</v>
      </c>
      <c r="I105" s="196"/>
      <c r="J105" s="196"/>
    </row>
    <row r="106" spans="1:10" ht="12.75" customHeight="1">
      <c r="A106" s="2">
        <v>30</v>
      </c>
      <c r="B106" s="2"/>
      <c r="C106" s="2">
        <f>A106-H106</f>
        <v>0</v>
      </c>
      <c r="D106" s="2"/>
      <c r="E106" s="2"/>
      <c r="F106" s="3"/>
      <c r="G106" s="8" t="s">
        <v>18</v>
      </c>
      <c r="H106" s="197">
        <v>30</v>
      </c>
      <c r="I106" s="197"/>
      <c r="J106" s="197"/>
    </row>
    <row r="107" spans="1:10" ht="12.75" customHeight="1">
      <c r="A107" s="198" t="s">
        <v>19</v>
      </c>
      <c r="B107" s="199"/>
      <c r="C107" s="200"/>
      <c r="D107" s="13" t="s">
        <v>20</v>
      </c>
      <c r="E107" s="14" t="s">
        <v>21</v>
      </c>
      <c r="F107" s="15"/>
      <c r="G107" s="16" t="s">
        <v>20</v>
      </c>
      <c r="H107" s="201" t="s">
        <v>22</v>
      </c>
      <c r="I107" s="202"/>
      <c r="J107" s="203"/>
    </row>
    <row r="108" spans="1:10" ht="12.75" customHeight="1">
      <c r="A108" s="17" t="s">
        <v>23</v>
      </c>
      <c r="B108" s="1"/>
      <c r="C108" s="1"/>
      <c r="D108" s="2">
        <v>55000</v>
      </c>
      <c r="E108" s="17" t="s">
        <v>24</v>
      </c>
      <c r="F108" s="1"/>
      <c r="G108" s="2" t="s">
        <v>25</v>
      </c>
      <c r="H108" s="18" t="s">
        <v>26</v>
      </c>
      <c r="I108" s="6"/>
      <c r="J108" s="19"/>
    </row>
    <row r="109" spans="1:10" ht="12.75" customHeight="1">
      <c r="A109" s="17" t="s">
        <v>77</v>
      </c>
      <c r="B109" s="209" t="s">
        <v>82</v>
      </c>
      <c r="C109" s="209"/>
      <c r="D109" s="2">
        <v>3667</v>
      </c>
      <c r="E109" s="17" t="s">
        <v>70</v>
      </c>
      <c r="F109" s="1"/>
      <c r="G109" s="2" t="s">
        <v>25</v>
      </c>
      <c r="H109" s="18" t="s">
        <v>29</v>
      </c>
      <c r="I109" s="6"/>
      <c r="J109" s="19"/>
    </row>
    <row r="110" spans="1:10" ht="12.75" customHeight="1">
      <c r="A110" s="17" t="s">
        <v>30</v>
      </c>
      <c r="B110" s="1"/>
      <c r="C110" s="1"/>
      <c r="D110" s="2">
        <v>6620</v>
      </c>
      <c r="E110" s="17" t="s">
        <v>83</v>
      </c>
      <c r="F110" s="1"/>
      <c r="G110" s="2" t="s">
        <v>25</v>
      </c>
      <c r="H110" s="18" t="s">
        <v>32</v>
      </c>
      <c r="I110" s="6"/>
      <c r="J110" s="19"/>
    </row>
    <row r="111" spans="1:10" ht="12.75" customHeight="1">
      <c r="A111" s="17" t="s">
        <v>72</v>
      </c>
      <c r="B111" s="1"/>
      <c r="C111" s="1"/>
      <c r="D111" s="2" t="s">
        <v>25</v>
      </c>
      <c r="E111" s="17" t="s">
        <v>71</v>
      </c>
      <c r="F111" s="1"/>
      <c r="G111" s="2" t="s">
        <v>25</v>
      </c>
      <c r="H111" s="18"/>
      <c r="I111" s="36"/>
      <c r="J111" s="19"/>
    </row>
    <row r="112" spans="1:10" ht="12.75" customHeight="1">
      <c r="A112" s="17" t="s">
        <v>78</v>
      </c>
      <c r="B112" s="1"/>
      <c r="C112" s="1"/>
      <c r="D112" s="2" t="s">
        <v>25</v>
      </c>
      <c r="E112" s="17" t="s">
        <v>79</v>
      </c>
      <c r="F112" s="2">
        <v>3</v>
      </c>
      <c r="G112" s="2">
        <v>687</v>
      </c>
      <c r="H112" s="42" t="s">
        <v>84</v>
      </c>
      <c r="I112" s="36"/>
      <c r="J112" s="43"/>
    </row>
    <row r="113" spans="1:10" ht="12.75" customHeight="1">
      <c r="A113" s="17" t="s">
        <v>38</v>
      </c>
      <c r="B113" s="1"/>
      <c r="C113" s="1"/>
      <c r="D113" s="2" t="s">
        <v>25</v>
      </c>
      <c r="E113" s="17" t="s">
        <v>39</v>
      </c>
      <c r="F113" s="1"/>
      <c r="G113" s="2">
        <v>100</v>
      </c>
      <c r="H113" s="17"/>
      <c r="I113" s="1"/>
      <c r="J113" s="20"/>
    </row>
    <row r="114" spans="1:10" ht="12.75" customHeight="1">
      <c r="A114" s="18" t="s">
        <v>40</v>
      </c>
      <c r="B114" s="6"/>
      <c r="C114" s="6"/>
      <c r="D114" s="2" t="s">
        <v>25</v>
      </c>
      <c r="E114" s="17" t="s">
        <v>61</v>
      </c>
      <c r="F114" s="1"/>
      <c r="G114" s="2" t="s">
        <v>25</v>
      </c>
      <c r="H114" s="42"/>
      <c r="I114" s="36"/>
      <c r="J114" s="43"/>
    </row>
    <row r="115" spans="1:10" ht="12.75" customHeight="1">
      <c r="A115" s="204" t="s">
        <v>63</v>
      </c>
      <c r="B115" s="205"/>
      <c r="C115" s="206"/>
      <c r="D115" s="229">
        <f>SUM(D108:D114)</f>
        <v>65287</v>
      </c>
      <c r="E115" s="1" t="s">
        <v>43</v>
      </c>
      <c r="F115" s="1"/>
      <c r="G115" s="2" t="s">
        <v>25</v>
      </c>
      <c r="H115" s="18"/>
      <c r="I115" s="6"/>
      <c r="J115" s="19"/>
    </row>
    <row r="116" spans="1:10" ht="12.75" customHeight="1">
      <c r="A116" s="207"/>
      <c r="B116" s="197"/>
      <c r="C116" s="208"/>
      <c r="D116" s="230"/>
      <c r="E116" s="21" t="s">
        <v>21</v>
      </c>
      <c r="F116" s="22"/>
      <c r="G116" s="13">
        <f>SUM(G108:G115)</f>
        <v>787</v>
      </c>
      <c r="H116" s="21" t="s">
        <v>44</v>
      </c>
      <c r="I116" s="22"/>
      <c r="J116" s="13">
        <f>D115-G116</f>
        <v>64500</v>
      </c>
    </row>
    <row r="117" spans="1:10" ht="12.75" customHeight="1">
      <c r="A117" s="3" t="s">
        <v>45</v>
      </c>
      <c r="B117" s="3"/>
      <c r="C117" s="3"/>
      <c r="D117" s="3"/>
      <c r="E117" s="3"/>
      <c r="F117" s="3"/>
      <c r="G117" s="2"/>
      <c r="H117" s="1"/>
      <c r="I117" s="1"/>
      <c r="J117" s="2"/>
    </row>
    <row r="118" spans="1:10" ht="12.75" customHeight="1">
      <c r="A118" s="3"/>
      <c r="B118" s="3" t="s">
        <v>47</v>
      </c>
      <c r="C118" s="3"/>
      <c r="D118" s="3"/>
      <c r="E118" s="3" t="s">
        <v>48</v>
      </c>
      <c r="F118" s="3"/>
      <c r="G118" s="3"/>
      <c r="H118" s="3" t="s">
        <v>49</v>
      </c>
      <c r="I118" s="3"/>
      <c r="J118" s="3"/>
    </row>
    <row r="119" spans="1:10">
      <c r="A119" s="213" t="s">
        <v>0</v>
      </c>
      <c r="B119" s="214"/>
      <c r="C119" s="214"/>
      <c r="D119" s="214"/>
      <c r="E119" s="214"/>
      <c r="F119" s="214"/>
      <c r="G119" s="214"/>
      <c r="H119" s="214"/>
      <c r="I119" s="214"/>
      <c r="J119" s="215"/>
    </row>
    <row r="120" spans="1:10">
      <c r="A120" s="187" t="s">
        <v>1</v>
      </c>
      <c r="B120" s="188"/>
      <c r="C120" s="188"/>
      <c r="D120" s="188"/>
      <c r="E120" s="188"/>
      <c r="F120" s="188"/>
      <c r="G120" s="188"/>
      <c r="H120" s="188"/>
      <c r="I120" s="188"/>
      <c r="J120" s="189"/>
    </row>
    <row r="121" spans="1:10">
      <c r="A121" s="134" t="s">
        <v>2</v>
      </c>
      <c r="B121" s="134"/>
      <c r="C121" s="216" t="s">
        <v>85</v>
      </c>
      <c r="D121" s="216"/>
      <c r="E121" s="135"/>
      <c r="F121" s="136"/>
      <c r="G121" s="134" t="s">
        <v>4</v>
      </c>
      <c r="H121" s="191" t="s">
        <v>5</v>
      </c>
      <c r="I121" s="191"/>
      <c r="J121" s="191"/>
    </row>
    <row r="122" spans="1:10">
      <c r="A122" s="134" t="s">
        <v>6</v>
      </c>
      <c r="B122" s="134"/>
      <c r="C122" s="160" t="s">
        <v>86</v>
      </c>
      <c r="D122" s="160"/>
      <c r="E122" s="135"/>
      <c r="F122" s="136"/>
      <c r="G122" s="134" t="s">
        <v>8</v>
      </c>
      <c r="H122" s="217" t="s">
        <v>9</v>
      </c>
      <c r="I122" s="217"/>
      <c r="J122" s="217"/>
    </row>
    <row r="123" spans="1:10">
      <c r="A123" s="23" t="s">
        <v>10</v>
      </c>
      <c r="B123" s="23"/>
      <c r="C123" s="218" t="s">
        <v>67</v>
      </c>
      <c r="D123" s="218"/>
      <c r="E123" s="135"/>
      <c r="F123" s="136"/>
      <c r="G123" s="134" t="s">
        <v>12</v>
      </c>
      <c r="H123" s="195" t="s">
        <v>13</v>
      </c>
      <c r="I123" s="195"/>
      <c r="J123" s="195"/>
    </row>
    <row r="124" spans="1:10">
      <c r="A124" s="135" t="s">
        <v>14</v>
      </c>
      <c r="B124" s="135"/>
      <c r="C124" s="135" t="s">
        <v>15</v>
      </c>
      <c r="D124" s="135"/>
      <c r="E124" s="135"/>
      <c r="F124" s="136"/>
      <c r="G124" s="134" t="s">
        <v>16</v>
      </c>
      <c r="H124" s="219" t="s">
        <v>87</v>
      </c>
      <c r="I124" s="219"/>
      <c r="J124" s="219"/>
    </row>
    <row r="125" spans="1:10">
      <c r="A125" s="135">
        <v>30</v>
      </c>
      <c r="B125" s="135"/>
      <c r="C125" s="135">
        <f>A125-H125</f>
        <v>0</v>
      </c>
      <c r="D125" s="135"/>
      <c r="E125" s="135"/>
      <c r="F125" s="136"/>
      <c r="G125" s="137" t="s">
        <v>18</v>
      </c>
      <c r="H125" s="220">
        <v>30</v>
      </c>
      <c r="I125" s="220"/>
      <c r="J125" s="220"/>
    </row>
    <row r="126" spans="1:10">
      <c r="A126" s="221" t="s">
        <v>19</v>
      </c>
      <c r="B126" s="222"/>
      <c r="C126" s="223"/>
      <c r="D126" s="138" t="s">
        <v>20</v>
      </c>
      <c r="E126" s="139" t="s">
        <v>21</v>
      </c>
      <c r="F126" s="140"/>
      <c r="G126" s="141" t="s">
        <v>20</v>
      </c>
      <c r="H126" s="224" t="s">
        <v>22</v>
      </c>
      <c r="I126" s="225"/>
      <c r="J126" s="226"/>
    </row>
    <row r="127" spans="1:10">
      <c r="A127" s="142" t="s">
        <v>23</v>
      </c>
      <c r="B127" s="134"/>
      <c r="C127" s="134"/>
      <c r="D127" s="135">
        <v>55000</v>
      </c>
      <c r="E127" s="142" t="s">
        <v>24</v>
      </c>
      <c r="F127" s="134"/>
      <c r="G127" s="135" t="s">
        <v>25</v>
      </c>
      <c r="H127" s="18" t="s">
        <v>26</v>
      </c>
      <c r="I127" s="23"/>
      <c r="J127" s="24"/>
    </row>
    <row r="128" spans="1:10">
      <c r="A128" s="142" t="s">
        <v>77</v>
      </c>
      <c r="B128" s="227" t="s">
        <v>88</v>
      </c>
      <c r="C128" s="227"/>
      <c r="D128" s="135">
        <v>6875</v>
      </c>
      <c r="E128" s="142" t="s">
        <v>83</v>
      </c>
      <c r="F128" s="134"/>
      <c r="G128" s="135" t="s">
        <v>25</v>
      </c>
      <c r="H128" s="18" t="s">
        <v>29</v>
      </c>
      <c r="I128" s="23"/>
      <c r="J128" s="24"/>
    </row>
    <row r="129" spans="1:10">
      <c r="A129" s="142" t="s">
        <v>30</v>
      </c>
      <c r="B129" s="134"/>
      <c r="C129" s="134"/>
      <c r="D129" s="135">
        <v>6225</v>
      </c>
      <c r="E129" s="142" t="s">
        <v>89</v>
      </c>
      <c r="F129" s="134"/>
      <c r="G129" s="135" t="s">
        <v>25</v>
      </c>
      <c r="H129" s="18" t="s">
        <v>32</v>
      </c>
      <c r="I129" s="23"/>
      <c r="J129" s="24"/>
    </row>
    <row r="130" spans="1:10">
      <c r="A130" s="142" t="s">
        <v>34</v>
      </c>
      <c r="B130" s="134"/>
      <c r="C130" s="134"/>
      <c r="D130" s="135" t="s">
        <v>25</v>
      </c>
      <c r="E130" s="142" t="s">
        <v>35</v>
      </c>
      <c r="F130" s="134"/>
      <c r="G130" s="135" t="s">
        <v>25</v>
      </c>
      <c r="H130" s="143"/>
      <c r="I130" s="23"/>
      <c r="J130" s="24"/>
    </row>
    <row r="131" spans="1:10">
      <c r="A131" s="17" t="s">
        <v>38</v>
      </c>
      <c r="B131" s="134"/>
      <c r="C131" s="134"/>
      <c r="D131" s="135" t="s">
        <v>25</v>
      </c>
      <c r="E131" s="142" t="s">
        <v>61</v>
      </c>
      <c r="F131" s="135"/>
      <c r="G131" s="135" t="s">
        <v>25</v>
      </c>
      <c r="H131" s="161" t="s">
        <v>90</v>
      </c>
      <c r="I131" s="162"/>
      <c r="J131" s="163"/>
    </row>
    <row r="132" spans="1:10">
      <c r="A132" s="142" t="s">
        <v>72</v>
      </c>
      <c r="B132" s="134"/>
      <c r="C132" s="134"/>
      <c r="D132" s="135" t="s">
        <v>25</v>
      </c>
      <c r="E132" s="142" t="s">
        <v>39</v>
      </c>
      <c r="F132" s="134"/>
      <c r="G132" s="135">
        <v>100</v>
      </c>
      <c r="H132" s="164"/>
      <c r="I132" s="165"/>
      <c r="J132" s="166"/>
    </row>
    <row r="133" spans="1:10">
      <c r="A133" s="143" t="s">
        <v>40</v>
      </c>
      <c r="B133" s="23"/>
      <c r="C133" s="23"/>
      <c r="D133" s="135" t="s">
        <v>25</v>
      </c>
      <c r="E133" s="142" t="s">
        <v>62</v>
      </c>
      <c r="F133" s="135"/>
      <c r="G133" s="135" t="s">
        <v>25</v>
      </c>
      <c r="H133" s="143"/>
      <c r="I133" s="23"/>
      <c r="J133" s="24"/>
    </row>
    <row r="134" spans="1:10">
      <c r="A134" s="243" t="s">
        <v>63</v>
      </c>
      <c r="B134" s="244"/>
      <c r="C134" s="245"/>
      <c r="D134" s="238">
        <f>SUM(D127:D133)</f>
        <v>68100</v>
      </c>
      <c r="E134" s="134" t="s">
        <v>43</v>
      </c>
      <c r="F134" s="134"/>
      <c r="G134" s="135" t="s">
        <v>25</v>
      </c>
      <c r="H134" s="143"/>
      <c r="I134" s="23"/>
      <c r="J134" s="24"/>
    </row>
    <row r="135" spans="1:10">
      <c r="A135" s="246"/>
      <c r="B135" s="247"/>
      <c r="C135" s="248"/>
      <c r="D135" s="239"/>
      <c r="E135" s="146" t="s">
        <v>21</v>
      </c>
      <c r="F135" s="147"/>
      <c r="G135" s="138">
        <f>SUM(G127:G134)</f>
        <v>100</v>
      </c>
      <c r="H135" s="146"/>
      <c r="I135" s="147"/>
      <c r="J135" s="138">
        <f>D134-G135</f>
        <v>68000</v>
      </c>
    </row>
    <row r="136" spans="1:10">
      <c r="A136" s="136" t="s">
        <v>45</v>
      </c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0" ht="11.25" customHeight="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</row>
    <row r="138" spans="1:10">
      <c r="A138" s="136"/>
      <c r="B138" s="136" t="s">
        <v>47</v>
      </c>
      <c r="C138" s="136"/>
      <c r="D138" s="136"/>
      <c r="E138" s="136" t="s">
        <v>48</v>
      </c>
      <c r="F138" s="136"/>
      <c r="G138" s="136"/>
      <c r="H138" s="136" t="s">
        <v>49</v>
      </c>
      <c r="I138" s="136"/>
      <c r="J138" s="136"/>
    </row>
    <row r="139" spans="1:10" ht="12.75" customHeight="1">
      <c r="A139" s="184" t="s">
        <v>0</v>
      </c>
      <c r="B139" s="185"/>
      <c r="C139" s="185"/>
      <c r="D139" s="185"/>
      <c r="E139" s="185"/>
      <c r="F139" s="185"/>
      <c r="G139" s="185"/>
      <c r="H139" s="185"/>
      <c r="I139" s="185"/>
      <c r="J139" s="186"/>
    </row>
    <row r="140" spans="1:10" ht="12.75" customHeight="1">
      <c r="A140" s="187" t="s">
        <v>1</v>
      </c>
      <c r="B140" s="188"/>
      <c r="C140" s="188"/>
      <c r="D140" s="188"/>
      <c r="E140" s="188"/>
      <c r="F140" s="188"/>
      <c r="G140" s="188"/>
      <c r="H140" s="188"/>
      <c r="I140" s="188"/>
      <c r="J140" s="189"/>
    </row>
    <row r="141" spans="1:10" ht="12.75" customHeight="1">
      <c r="A141" s="1" t="s">
        <v>2</v>
      </c>
      <c r="B141" s="1"/>
      <c r="C141" s="190" t="s">
        <v>80</v>
      </c>
      <c r="D141" s="190"/>
      <c r="E141" s="2"/>
      <c r="F141" s="3"/>
      <c r="G141" s="1" t="s">
        <v>4</v>
      </c>
      <c r="H141" s="191" t="s">
        <v>5</v>
      </c>
      <c r="I141" s="191"/>
      <c r="J141" s="191"/>
    </row>
    <row r="142" spans="1:10" ht="12.75" customHeight="1">
      <c r="A142" s="1" t="s">
        <v>6</v>
      </c>
      <c r="B142" s="1"/>
      <c r="C142" s="25" t="s">
        <v>91</v>
      </c>
      <c r="D142" s="25"/>
      <c r="E142" s="2"/>
      <c r="F142" s="3"/>
      <c r="G142" s="1" t="s">
        <v>8</v>
      </c>
      <c r="H142" s="193" t="s">
        <v>9</v>
      </c>
      <c r="I142" s="193"/>
      <c r="J142" s="193"/>
    </row>
    <row r="143" spans="1:10" ht="12.75" customHeight="1">
      <c r="A143" s="6" t="s">
        <v>10</v>
      </c>
      <c r="B143" s="6"/>
      <c r="C143" s="218" t="s">
        <v>67</v>
      </c>
      <c r="D143" s="218"/>
      <c r="E143" s="2"/>
      <c r="F143" s="3"/>
      <c r="G143" s="1" t="s">
        <v>12</v>
      </c>
      <c r="H143" s="195" t="s">
        <v>13</v>
      </c>
      <c r="I143" s="195"/>
      <c r="J143" s="195"/>
    </row>
    <row r="144" spans="1:10" ht="12.75" customHeight="1">
      <c r="A144" s="2" t="s">
        <v>14</v>
      </c>
      <c r="B144" s="2"/>
      <c r="C144" s="2" t="s">
        <v>15</v>
      </c>
      <c r="D144" s="2"/>
      <c r="E144" s="2"/>
      <c r="F144" s="3"/>
      <c r="G144" s="1" t="s">
        <v>16</v>
      </c>
      <c r="H144" s="196" t="s">
        <v>68</v>
      </c>
      <c r="I144" s="196"/>
      <c r="J144" s="196"/>
    </row>
    <row r="145" spans="1:10" ht="12.75" customHeight="1">
      <c r="A145" s="2">
        <v>30</v>
      </c>
      <c r="B145" s="2"/>
      <c r="C145" s="2">
        <f>A145-H145</f>
        <v>0</v>
      </c>
      <c r="D145" s="2"/>
      <c r="E145" s="2"/>
      <c r="F145" s="3"/>
      <c r="G145" s="8" t="s">
        <v>18</v>
      </c>
      <c r="H145" s="197">
        <v>30</v>
      </c>
      <c r="I145" s="197"/>
      <c r="J145" s="197"/>
    </row>
    <row r="146" spans="1:10" ht="12.75" customHeight="1">
      <c r="A146" s="198" t="s">
        <v>19</v>
      </c>
      <c r="B146" s="199"/>
      <c r="C146" s="200"/>
      <c r="D146" s="13" t="s">
        <v>20</v>
      </c>
      <c r="E146" s="14" t="s">
        <v>21</v>
      </c>
      <c r="F146" s="15"/>
      <c r="G146" s="16" t="s">
        <v>20</v>
      </c>
      <c r="H146" s="201" t="s">
        <v>22</v>
      </c>
      <c r="I146" s="202"/>
      <c r="J146" s="203"/>
    </row>
    <row r="147" spans="1:10" ht="12.75" customHeight="1">
      <c r="A147" s="17" t="s">
        <v>23</v>
      </c>
      <c r="B147" s="1"/>
      <c r="C147" s="1"/>
      <c r="D147" s="2">
        <v>70000</v>
      </c>
      <c r="E147" s="17" t="s">
        <v>24</v>
      </c>
      <c r="F147" s="1"/>
      <c r="G147" s="2" t="s">
        <v>25</v>
      </c>
      <c r="H147" s="18" t="s">
        <v>26</v>
      </c>
      <c r="I147" s="6"/>
      <c r="J147" s="19"/>
    </row>
    <row r="148" spans="1:10" ht="12.75" customHeight="1">
      <c r="A148" s="17" t="s">
        <v>77</v>
      </c>
      <c r="B148" s="209"/>
      <c r="C148" s="209"/>
      <c r="D148" s="2" t="s">
        <v>25</v>
      </c>
      <c r="E148" s="17" t="s">
        <v>70</v>
      </c>
      <c r="F148" s="1"/>
      <c r="G148" s="2" t="s">
        <v>25</v>
      </c>
      <c r="H148" s="18" t="s">
        <v>29</v>
      </c>
      <c r="I148" s="6"/>
      <c r="J148" s="19"/>
    </row>
    <row r="149" spans="1:10" ht="12.75" customHeight="1">
      <c r="A149" s="17" t="s">
        <v>30</v>
      </c>
      <c r="B149" s="1"/>
      <c r="C149" s="1"/>
      <c r="D149" s="2">
        <v>15183</v>
      </c>
      <c r="E149" s="17" t="s">
        <v>83</v>
      </c>
      <c r="F149" s="1"/>
      <c r="G149" s="2" t="s">
        <v>25</v>
      </c>
      <c r="H149" s="18" t="s">
        <v>32</v>
      </c>
      <c r="I149" s="6"/>
      <c r="J149" s="19"/>
    </row>
    <row r="150" spans="1:10" ht="12.75" customHeight="1">
      <c r="A150" s="17" t="s">
        <v>34</v>
      </c>
      <c r="B150" s="1"/>
      <c r="C150" s="1"/>
      <c r="D150" s="2" t="s">
        <v>25</v>
      </c>
      <c r="E150" s="17" t="s">
        <v>71</v>
      </c>
      <c r="F150" s="1"/>
      <c r="G150" s="2" t="s">
        <v>25</v>
      </c>
      <c r="H150" s="18"/>
      <c r="I150" s="36"/>
      <c r="J150" s="19"/>
    </row>
    <row r="151" spans="1:10" ht="12.75" customHeight="1">
      <c r="A151" s="17" t="s">
        <v>78</v>
      </c>
      <c r="B151" s="1"/>
      <c r="C151" s="1"/>
      <c r="D151" s="2" t="s">
        <v>25</v>
      </c>
      <c r="E151" s="17" t="s">
        <v>79</v>
      </c>
      <c r="F151" s="2">
        <v>38</v>
      </c>
      <c r="G151" s="2">
        <v>11083</v>
      </c>
      <c r="H151" s="42"/>
      <c r="I151" s="36"/>
      <c r="J151" s="43"/>
    </row>
    <row r="152" spans="1:10" ht="12.75" customHeight="1">
      <c r="A152" s="17" t="s">
        <v>38</v>
      </c>
      <c r="B152" s="1"/>
      <c r="C152" s="1"/>
      <c r="D152" s="2" t="s">
        <v>25</v>
      </c>
      <c r="E152" s="17" t="s">
        <v>39</v>
      </c>
      <c r="F152" s="1"/>
      <c r="G152" s="2">
        <v>100</v>
      </c>
      <c r="H152" s="17"/>
      <c r="I152" s="1"/>
      <c r="J152" s="20"/>
    </row>
    <row r="153" spans="1:10" ht="12.75" customHeight="1">
      <c r="A153" s="18" t="s">
        <v>40</v>
      </c>
      <c r="B153" s="6"/>
      <c r="C153" s="6"/>
      <c r="D153" s="2" t="s">
        <v>25</v>
      </c>
      <c r="E153" s="17" t="s">
        <v>61</v>
      </c>
      <c r="F153" s="1"/>
      <c r="G153" s="2" t="s">
        <v>25</v>
      </c>
      <c r="H153" s="42"/>
      <c r="I153" s="36"/>
      <c r="J153" s="43"/>
    </row>
    <row r="154" spans="1:10" ht="12.75" customHeight="1">
      <c r="A154" s="204" t="s">
        <v>63</v>
      </c>
      <c r="B154" s="205"/>
      <c r="C154" s="206"/>
      <c r="D154" s="229">
        <f>SUM(D147:D153)</f>
        <v>85183</v>
      </c>
      <c r="E154" s="1" t="s">
        <v>43</v>
      </c>
      <c r="F154" s="1"/>
      <c r="G154" s="2" t="s">
        <v>25</v>
      </c>
      <c r="H154" s="18"/>
      <c r="I154" s="6"/>
      <c r="J154" s="19"/>
    </row>
    <row r="155" spans="1:10" ht="12.75" customHeight="1">
      <c r="A155" s="207"/>
      <c r="B155" s="197"/>
      <c r="C155" s="208"/>
      <c r="D155" s="230"/>
      <c r="E155" s="21" t="s">
        <v>21</v>
      </c>
      <c r="F155" s="22"/>
      <c r="G155" s="13">
        <f>SUM(G147:G154)</f>
        <v>11183</v>
      </c>
      <c r="H155" s="21" t="s">
        <v>44</v>
      </c>
      <c r="I155" s="22"/>
      <c r="J155" s="13">
        <f>D154-G155</f>
        <v>74000</v>
      </c>
    </row>
    <row r="156" spans="1:10" ht="12.75" customHeight="1">
      <c r="A156" s="3" t="s">
        <v>45</v>
      </c>
      <c r="B156" s="3"/>
      <c r="C156" s="3"/>
      <c r="D156" s="3"/>
      <c r="E156" s="3"/>
      <c r="F156" s="3"/>
      <c r="G156" s="2"/>
      <c r="H156" s="1"/>
      <c r="I156" s="1"/>
      <c r="J156" s="2"/>
    </row>
    <row r="157" spans="1:10" ht="12.75" customHeight="1">
      <c r="A157" s="3"/>
      <c r="B157" s="3" t="s">
        <v>47</v>
      </c>
      <c r="C157" s="3"/>
      <c r="D157" s="3"/>
      <c r="E157" s="3" t="s">
        <v>48</v>
      </c>
      <c r="F157" s="3"/>
      <c r="G157" s="3"/>
      <c r="H157" s="3" t="s">
        <v>49</v>
      </c>
      <c r="I157" s="3"/>
      <c r="J157" s="3"/>
    </row>
    <row r="158" spans="1:10" ht="12.75" customHeight="1">
      <c r="A158" s="184" t="s">
        <v>0</v>
      </c>
      <c r="B158" s="185"/>
      <c r="C158" s="185"/>
      <c r="D158" s="185"/>
      <c r="E158" s="185"/>
      <c r="F158" s="185"/>
      <c r="G158" s="185"/>
      <c r="H158" s="185"/>
      <c r="I158" s="185"/>
      <c r="J158" s="186"/>
    </row>
    <row r="159" spans="1:10" ht="12.75" customHeight="1">
      <c r="A159" s="187" t="s">
        <v>1</v>
      </c>
      <c r="B159" s="188"/>
      <c r="C159" s="188"/>
      <c r="D159" s="188"/>
      <c r="E159" s="188"/>
      <c r="F159" s="188"/>
      <c r="G159" s="188"/>
      <c r="H159" s="188"/>
      <c r="I159" s="188"/>
      <c r="J159" s="189"/>
    </row>
    <row r="160" spans="1:10" ht="12.75" customHeight="1">
      <c r="A160" s="1" t="s">
        <v>2</v>
      </c>
      <c r="B160" s="1"/>
      <c r="C160" s="191" t="s">
        <v>92</v>
      </c>
      <c r="D160" s="191"/>
      <c r="E160" s="2"/>
      <c r="F160" s="3"/>
      <c r="G160" s="1" t="s">
        <v>4</v>
      </c>
      <c r="H160" s="191" t="s">
        <v>5</v>
      </c>
      <c r="I160" s="191"/>
      <c r="J160" s="191"/>
    </row>
    <row r="161" spans="1:10" ht="12.75" customHeight="1">
      <c r="A161" s="1" t="s">
        <v>6</v>
      </c>
      <c r="B161" s="1"/>
      <c r="C161" s="196" t="s">
        <v>93</v>
      </c>
      <c r="D161" s="196"/>
      <c r="E161" s="2"/>
      <c r="F161" s="3"/>
      <c r="G161" s="1" t="s">
        <v>8</v>
      </c>
      <c r="H161" s="193" t="s">
        <v>9</v>
      </c>
      <c r="I161" s="193"/>
      <c r="J161" s="193"/>
    </row>
    <row r="162" spans="1:10" ht="12.75" customHeight="1">
      <c r="A162" s="6" t="s">
        <v>10</v>
      </c>
      <c r="B162" s="6"/>
      <c r="C162" s="209" t="s">
        <v>94</v>
      </c>
      <c r="D162" s="209"/>
      <c r="E162" s="2"/>
      <c r="F162" s="3"/>
      <c r="G162" s="1" t="s">
        <v>12</v>
      </c>
      <c r="H162" s="195" t="s">
        <v>13</v>
      </c>
      <c r="I162" s="195"/>
      <c r="J162" s="195"/>
    </row>
    <row r="163" spans="1:10" ht="12.75" customHeight="1">
      <c r="A163" s="6" t="s">
        <v>14</v>
      </c>
      <c r="B163" s="6"/>
      <c r="C163" s="2" t="s">
        <v>15</v>
      </c>
      <c r="D163" s="2"/>
      <c r="E163" s="2"/>
      <c r="F163" s="3"/>
      <c r="G163" s="1" t="s">
        <v>16</v>
      </c>
      <c r="H163" s="196" t="s">
        <v>95</v>
      </c>
      <c r="I163" s="196"/>
      <c r="J163" s="196"/>
    </row>
    <row r="164" spans="1:10" ht="12.75" customHeight="1">
      <c r="A164" s="6">
        <v>30</v>
      </c>
      <c r="B164" s="6"/>
      <c r="C164" s="2">
        <f>A164-I164</f>
        <v>0</v>
      </c>
      <c r="D164" s="2"/>
      <c r="E164" s="2"/>
      <c r="F164" s="3"/>
      <c r="G164" s="8" t="s">
        <v>18</v>
      </c>
      <c r="H164" s="8"/>
      <c r="I164" s="9">
        <v>30</v>
      </c>
      <c r="J164" s="9"/>
    </row>
    <row r="165" spans="1:10" ht="12.75" customHeight="1">
      <c r="A165" s="198" t="s">
        <v>19</v>
      </c>
      <c r="B165" s="199"/>
      <c r="C165" s="200"/>
      <c r="D165" s="13" t="s">
        <v>20</v>
      </c>
      <c r="E165" s="14" t="s">
        <v>21</v>
      </c>
      <c r="F165" s="15"/>
      <c r="G165" s="16" t="s">
        <v>20</v>
      </c>
      <c r="H165" s="201" t="s">
        <v>22</v>
      </c>
      <c r="I165" s="202"/>
      <c r="J165" s="203"/>
    </row>
    <row r="166" spans="1:10" ht="12.75" customHeight="1">
      <c r="A166" s="17" t="s">
        <v>23</v>
      </c>
      <c r="B166" s="1"/>
      <c r="C166" s="1"/>
      <c r="D166" s="2">
        <v>28000</v>
      </c>
      <c r="E166" s="17" t="s">
        <v>24</v>
      </c>
      <c r="F166" s="1"/>
      <c r="G166" s="2" t="s">
        <v>25</v>
      </c>
      <c r="H166" s="18" t="s">
        <v>26</v>
      </c>
      <c r="I166" s="6"/>
      <c r="J166" s="19"/>
    </row>
    <row r="167" spans="1:10" ht="12.75" customHeight="1">
      <c r="A167" s="17" t="s">
        <v>77</v>
      </c>
      <c r="B167" s="209"/>
      <c r="C167" s="209"/>
      <c r="D167" s="2" t="s">
        <v>25</v>
      </c>
      <c r="E167" s="17" t="s">
        <v>58</v>
      </c>
      <c r="F167" s="1"/>
      <c r="G167" s="2" t="s">
        <v>25</v>
      </c>
      <c r="H167" s="18" t="s">
        <v>29</v>
      </c>
      <c r="I167" s="6"/>
      <c r="J167" s="19"/>
    </row>
    <row r="168" spans="1:10" ht="12.75" customHeight="1">
      <c r="A168" s="17" t="s">
        <v>30</v>
      </c>
      <c r="B168" s="1"/>
      <c r="C168" s="1"/>
      <c r="D168" s="2">
        <v>41153</v>
      </c>
      <c r="E168" s="17" t="s">
        <v>52</v>
      </c>
      <c r="F168" s="1"/>
      <c r="G168" s="2">
        <v>120</v>
      </c>
      <c r="H168" s="18" t="s">
        <v>32</v>
      </c>
      <c r="I168" s="6"/>
      <c r="J168" s="19"/>
    </row>
    <row r="169" spans="1:10" ht="12.75" customHeight="1">
      <c r="A169" s="17" t="s">
        <v>96</v>
      </c>
      <c r="B169" s="1"/>
      <c r="C169" s="1"/>
      <c r="D169" s="2" t="s">
        <v>25</v>
      </c>
      <c r="E169" s="17" t="s">
        <v>35</v>
      </c>
      <c r="F169" s="1"/>
      <c r="G169" s="2" t="s">
        <v>25</v>
      </c>
      <c r="H169" s="18"/>
      <c r="I169" s="6"/>
      <c r="J169" s="19"/>
    </row>
    <row r="170" spans="1:10" ht="12.75" customHeight="1">
      <c r="A170" s="17" t="s">
        <v>97</v>
      </c>
      <c r="B170" s="1"/>
      <c r="C170" s="1"/>
      <c r="D170" s="2">
        <v>7000</v>
      </c>
      <c r="E170" s="17" t="s">
        <v>61</v>
      </c>
      <c r="F170" s="2"/>
      <c r="G170" s="2" t="s">
        <v>25</v>
      </c>
      <c r="H170" s="18"/>
      <c r="I170" s="6"/>
      <c r="J170" s="19"/>
    </row>
    <row r="171" spans="1:10" ht="12.75" customHeight="1">
      <c r="A171" s="17" t="s">
        <v>38</v>
      </c>
      <c r="B171" s="1"/>
      <c r="C171" s="1"/>
      <c r="D171" s="2" t="s">
        <v>25</v>
      </c>
      <c r="E171" s="17" t="s">
        <v>39</v>
      </c>
      <c r="F171" s="1"/>
      <c r="G171" s="2">
        <v>100</v>
      </c>
      <c r="H171" s="18"/>
      <c r="I171" s="6"/>
      <c r="J171" s="19"/>
    </row>
    <row r="172" spans="1:10" ht="12.75" customHeight="1">
      <c r="A172" s="18" t="s">
        <v>40</v>
      </c>
      <c r="B172" s="6"/>
      <c r="C172" s="6"/>
      <c r="D172" s="2" t="s">
        <v>25</v>
      </c>
      <c r="E172" s="17" t="s">
        <v>98</v>
      </c>
      <c r="F172" s="2">
        <v>8</v>
      </c>
      <c r="G172" s="2">
        <v>933</v>
      </c>
      <c r="H172" s="18"/>
      <c r="I172" s="6"/>
      <c r="J172" s="19"/>
    </row>
    <row r="173" spans="1:10" ht="12.75" customHeight="1">
      <c r="A173" s="204" t="s">
        <v>63</v>
      </c>
      <c r="B173" s="205"/>
      <c r="C173" s="206"/>
      <c r="D173" s="229">
        <f>SUM(D166:D172)</f>
        <v>76153</v>
      </c>
      <c r="E173" s="1" t="s">
        <v>43</v>
      </c>
      <c r="F173" s="1"/>
      <c r="G173" s="2" t="s">
        <v>25</v>
      </c>
      <c r="H173" s="18"/>
      <c r="I173" s="6"/>
      <c r="J173" s="19"/>
    </row>
    <row r="174" spans="1:10" ht="12.75" customHeight="1">
      <c r="A174" s="207"/>
      <c r="B174" s="197"/>
      <c r="C174" s="208"/>
      <c r="D174" s="230"/>
      <c r="E174" s="21" t="s">
        <v>21</v>
      </c>
      <c r="F174" s="22"/>
      <c r="G174" s="13">
        <f>SUM(G166:G173)</f>
        <v>1153</v>
      </c>
      <c r="H174" s="21" t="s">
        <v>44</v>
      </c>
      <c r="I174" s="22"/>
      <c r="J174" s="13">
        <f>D173-G174</f>
        <v>75000</v>
      </c>
    </row>
    <row r="175" spans="1:10" ht="12.75" customHeight="1">
      <c r="A175" s="3" t="s">
        <v>45</v>
      </c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2.75" customHeight="1">
      <c r="A177" s="3"/>
      <c r="B177" s="3" t="s">
        <v>47</v>
      </c>
      <c r="C177" s="3"/>
      <c r="D177" s="3"/>
      <c r="E177" s="3" t="s">
        <v>48</v>
      </c>
      <c r="F177" s="3"/>
      <c r="G177" s="3"/>
      <c r="H177" s="3" t="s">
        <v>49</v>
      </c>
      <c r="I177" s="3"/>
      <c r="J177" s="3"/>
    </row>
    <row r="178" spans="1:10" ht="12.75" customHeight="1">
      <c r="A178" s="184" t="s">
        <v>0</v>
      </c>
      <c r="B178" s="185"/>
      <c r="C178" s="185"/>
      <c r="D178" s="185"/>
      <c r="E178" s="185"/>
      <c r="F178" s="185"/>
      <c r="G178" s="185"/>
      <c r="H178" s="185"/>
      <c r="I178" s="185"/>
      <c r="J178" s="186"/>
    </row>
    <row r="179" spans="1:10" ht="12.75" customHeight="1">
      <c r="A179" s="187" t="s">
        <v>1</v>
      </c>
      <c r="B179" s="188"/>
      <c r="C179" s="188"/>
      <c r="D179" s="188"/>
      <c r="E179" s="188"/>
      <c r="F179" s="188"/>
      <c r="G179" s="188"/>
      <c r="H179" s="188"/>
      <c r="I179" s="188"/>
      <c r="J179" s="189"/>
    </row>
    <row r="180" spans="1:10" ht="12.75" customHeight="1">
      <c r="A180" s="1" t="s">
        <v>2</v>
      </c>
      <c r="B180" s="1"/>
      <c r="C180" s="191" t="s">
        <v>92</v>
      </c>
      <c r="D180" s="191"/>
      <c r="E180" s="2"/>
      <c r="F180" s="3"/>
      <c r="G180" s="1" t="s">
        <v>4</v>
      </c>
      <c r="H180" s="191" t="s">
        <v>5</v>
      </c>
      <c r="I180" s="191"/>
      <c r="J180" s="191"/>
    </row>
    <row r="181" spans="1:10" ht="12.75" customHeight="1">
      <c r="A181" s="1" t="s">
        <v>6</v>
      </c>
      <c r="B181" s="1"/>
      <c r="C181" s="196" t="s">
        <v>99</v>
      </c>
      <c r="D181" s="196"/>
      <c r="E181" s="2"/>
      <c r="F181" s="3"/>
      <c r="G181" s="1" t="s">
        <v>8</v>
      </c>
      <c r="H181" s="193" t="s">
        <v>9</v>
      </c>
      <c r="I181" s="193"/>
      <c r="J181" s="193"/>
    </row>
    <row r="182" spans="1:10" ht="12.75" customHeight="1">
      <c r="A182" s="6" t="s">
        <v>10</v>
      </c>
      <c r="B182" s="6"/>
      <c r="C182" s="209" t="s">
        <v>100</v>
      </c>
      <c r="D182" s="209"/>
      <c r="E182" s="2"/>
      <c r="F182" s="3"/>
      <c r="G182" s="1" t="s">
        <v>12</v>
      </c>
      <c r="H182" s="195" t="s">
        <v>13</v>
      </c>
      <c r="I182" s="195"/>
      <c r="J182" s="195"/>
    </row>
    <row r="183" spans="1:10" ht="12.75" customHeight="1">
      <c r="A183" s="6" t="s">
        <v>14</v>
      </c>
      <c r="B183" s="6"/>
      <c r="C183" s="2" t="s">
        <v>15</v>
      </c>
      <c r="D183" s="2"/>
      <c r="E183" s="2"/>
      <c r="F183" s="3"/>
      <c r="G183" s="1" t="s">
        <v>16</v>
      </c>
      <c r="H183" s="196" t="s">
        <v>101</v>
      </c>
      <c r="I183" s="196"/>
      <c r="J183" s="196"/>
    </row>
    <row r="184" spans="1:10" ht="12.75" customHeight="1">
      <c r="A184" s="6">
        <v>30</v>
      </c>
      <c r="B184" s="6"/>
      <c r="C184" s="2">
        <f>A184-I184</f>
        <v>1</v>
      </c>
      <c r="D184" s="2"/>
      <c r="E184" s="2"/>
      <c r="F184" s="3"/>
      <c r="G184" s="8" t="s">
        <v>18</v>
      </c>
      <c r="H184" s="8"/>
      <c r="I184" s="9">
        <v>29</v>
      </c>
      <c r="J184" s="9"/>
    </row>
    <row r="185" spans="1:10" ht="12.75" customHeight="1">
      <c r="A185" s="198" t="s">
        <v>19</v>
      </c>
      <c r="B185" s="199"/>
      <c r="C185" s="200"/>
      <c r="D185" s="13" t="s">
        <v>20</v>
      </c>
      <c r="E185" s="14" t="s">
        <v>21</v>
      </c>
      <c r="F185" s="15"/>
      <c r="G185" s="16" t="s">
        <v>20</v>
      </c>
      <c r="H185" s="201" t="s">
        <v>22</v>
      </c>
      <c r="I185" s="202"/>
      <c r="J185" s="203"/>
    </row>
    <row r="186" spans="1:10" ht="12.75" customHeight="1">
      <c r="A186" s="17" t="s">
        <v>23</v>
      </c>
      <c r="B186" s="1"/>
      <c r="C186" s="1"/>
      <c r="D186" s="2">
        <v>50000</v>
      </c>
      <c r="E186" s="17" t="s">
        <v>24</v>
      </c>
      <c r="F186" s="1"/>
      <c r="G186" s="2" t="s">
        <v>25</v>
      </c>
      <c r="H186" s="18" t="s">
        <v>26</v>
      </c>
      <c r="I186" s="6"/>
      <c r="J186" s="19"/>
    </row>
    <row r="187" spans="1:10" ht="12.75" customHeight="1">
      <c r="A187" s="17" t="s">
        <v>77</v>
      </c>
      <c r="B187" s="209" t="s">
        <v>102</v>
      </c>
      <c r="C187" s="209"/>
      <c r="D187" s="2">
        <v>4762</v>
      </c>
      <c r="E187" s="17" t="s">
        <v>58</v>
      </c>
      <c r="F187" s="1"/>
      <c r="G187" s="2" t="s">
        <v>25</v>
      </c>
      <c r="H187" s="18" t="s">
        <v>29</v>
      </c>
      <c r="I187" s="6"/>
      <c r="J187" s="19"/>
    </row>
    <row r="188" spans="1:10" ht="12.75" customHeight="1">
      <c r="A188" s="17" t="s">
        <v>30</v>
      </c>
      <c r="B188" s="1"/>
      <c r="C188" s="1"/>
      <c r="D188" s="2">
        <v>12719</v>
      </c>
      <c r="E188" s="17" t="s">
        <v>52</v>
      </c>
      <c r="F188" s="1"/>
      <c r="G188" s="2" t="s">
        <v>25</v>
      </c>
      <c r="H188" s="18" t="s">
        <v>32</v>
      </c>
      <c r="I188" s="6"/>
      <c r="J188" s="19"/>
    </row>
    <row r="189" spans="1:10" ht="12.75" customHeight="1">
      <c r="A189" s="17" t="s">
        <v>103</v>
      </c>
      <c r="B189" s="1"/>
      <c r="C189" s="1"/>
      <c r="D189" s="2" t="s">
        <v>25</v>
      </c>
      <c r="E189" s="17" t="s">
        <v>35</v>
      </c>
      <c r="F189" s="1"/>
      <c r="G189" s="2">
        <v>1667</v>
      </c>
      <c r="H189" s="18"/>
      <c r="I189" s="6"/>
      <c r="J189" s="19"/>
    </row>
    <row r="190" spans="1:10" ht="12.75" customHeight="1">
      <c r="A190" s="17" t="s">
        <v>60</v>
      </c>
      <c r="B190" s="1"/>
      <c r="C190" s="1"/>
      <c r="D190" s="2" t="s">
        <v>25</v>
      </c>
      <c r="E190" s="17" t="s">
        <v>61</v>
      </c>
      <c r="F190" s="2"/>
      <c r="G190" s="2" t="s">
        <v>25</v>
      </c>
      <c r="H190" s="18" t="s">
        <v>104</v>
      </c>
      <c r="I190" s="6"/>
      <c r="J190" s="19"/>
    </row>
    <row r="191" spans="1:10" ht="12.75" customHeight="1">
      <c r="A191" s="17" t="s">
        <v>38</v>
      </c>
      <c r="B191" s="1"/>
      <c r="C191" s="1"/>
      <c r="D191" s="2" t="s">
        <v>25</v>
      </c>
      <c r="E191" s="17" t="s">
        <v>39</v>
      </c>
      <c r="F191" s="1"/>
      <c r="G191" s="2">
        <v>100</v>
      </c>
      <c r="H191" s="18" t="s">
        <v>105</v>
      </c>
      <c r="I191" s="6"/>
      <c r="J191" s="19"/>
    </row>
    <row r="192" spans="1:10" ht="12.75" customHeight="1">
      <c r="A192" s="18" t="s">
        <v>40</v>
      </c>
      <c r="B192" s="6"/>
      <c r="C192" s="6"/>
      <c r="D192" s="2" t="s">
        <v>25</v>
      </c>
      <c r="E192" s="17" t="s">
        <v>98</v>
      </c>
      <c r="F192" s="2">
        <v>3</v>
      </c>
      <c r="G192" s="2">
        <v>714</v>
      </c>
      <c r="H192" s="18"/>
      <c r="I192" s="6"/>
      <c r="J192" s="19"/>
    </row>
    <row r="193" spans="1:10" ht="12.75" customHeight="1">
      <c r="A193" s="204" t="s">
        <v>63</v>
      </c>
      <c r="B193" s="205"/>
      <c r="C193" s="206"/>
      <c r="D193" s="229">
        <f>SUM(D186:D192)</f>
        <v>67481</v>
      </c>
      <c r="E193" s="1" t="s">
        <v>43</v>
      </c>
      <c r="F193" s="1"/>
      <c r="G193" s="2" t="s">
        <v>25</v>
      </c>
      <c r="H193" s="18"/>
      <c r="I193" s="6"/>
      <c r="J193" s="19"/>
    </row>
    <row r="194" spans="1:10" ht="12.75" customHeight="1">
      <c r="A194" s="207"/>
      <c r="B194" s="197"/>
      <c r="C194" s="208"/>
      <c r="D194" s="230"/>
      <c r="E194" s="21" t="s">
        <v>21</v>
      </c>
      <c r="F194" s="22"/>
      <c r="G194" s="13">
        <f>SUM(G186:G193)</f>
        <v>2481</v>
      </c>
      <c r="H194" s="21" t="s">
        <v>44</v>
      </c>
      <c r="I194" s="22"/>
      <c r="J194" s="13">
        <f>D193-G194</f>
        <v>65000</v>
      </c>
    </row>
    <row r="195" spans="1:10" ht="12.75" customHeight="1">
      <c r="A195" s="3" t="s">
        <v>45</v>
      </c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2.75" customHeight="1">
      <c r="A197" s="3"/>
      <c r="B197" s="3" t="s">
        <v>47</v>
      </c>
      <c r="C197" s="3"/>
      <c r="D197" s="3"/>
      <c r="E197" s="3" t="s">
        <v>48</v>
      </c>
      <c r="F197" s="3"/>
      <c r="G197" s="3"/>
      <c r="H197" s="3" t="s">
        <v>49</v>
      </c>
      <c r="I197" s="3"/>
      <c r="J197" s="3"/>
    </row>
    <row r="198" spans="1:10" ht="13.5" customHeight="1">
      <c r="A198" s="184" t="s">
        <v>0</v>
      </c>
      <c r="B198" s="185"/>
      <c r="C198" s="185"/>
      <c r="D198" s="185"/>
      <c r="E198" s="185"/>
      <c r="F198" s="185"/>
      <c r="G198" s="185"/>
      <c r="H198" s="185"/>
      <c r="I198" s="185"/>
      <c r="J198" s="186"/>
    </row>
    <row r="199" spans="1:10" ht="13.5" customHeight="1">
      <c r="A199" s="187" t="s">
        <v>1</v>
      </c>
      <c r="B199" s="188"/>
      <c r="C199" s="188"/>
      <c r="D199" s="188"/>
      <c r="E199" s="188"/>
      <c r="F199" s="188"/>
      <c r="G199" s="188"/>
      <c r="H199" s="188"/>
      <c r="I199" s="188"/>
      <c r="J199" s="189"/>
    </row>
    <row r="200" spans="1:10" ht="13.5" customHeight="1">
      <c r="A200" s="1" t="s">
        <v>2</v>
      </c>
      <c r="B200" s="1"/>
      <c r="C200" s="190" t="s">
        <v>106</v>
      </c>
      <c r="D200" s="190"/>
      <c r="E200" s="2"/>
      <c r="F200" s="3"/>
      <c r="G200" s="1" t="s">
        <v>4</v>
      </c>
      <c r="H200" s="191" t="s">
        <v>107</v>
      </c>
      <c r="I200" s="191"/>
      <c r="J200" s="191"/>
    </row>
    <row r="201" spans="1:10" ht="13.5" customHeight="1">
      <c r="A201" s="1" t="s">
        <v>6</v>
      </c>
      <c r="B201" s="1"/>
      <c r="C201" s="192" t="s">
        <v>105</v>
      </c>
      <c r="D201" s="192"/>
      <c r="E201" s="2"/>
      <c r="F201" s="3"/>
      <c r="G201" s="1" t="s">
        <v>8</v>
      </c>
      <c r="H201" s="193" t="s">
        <v>9</v>
      </c>
      <c r="I201" s="193"/>
      <c r="J201" s="193"/>
    </row>
    <row r="202" spans="1:10" ht="13.5" customHeight="1">
      <c r="A202" s="6" t="s">
        <v>10</v>
      </c>
      <c r="B202" s="6"/>
      <c r="C202" s="194" t="s">
        <v>100</v>
      </c>
      <c r="D202" s="194"/>
      <c r="E202" s="2"/>
      <c r="F202" s="3"/>
      <c r="G202" s="1" t="s">
        <v>12</v>
      </c>
      <c r="H202" s="195" t="s">
        <v>13</v>
      </c>
      <c r="I202" s="195"/>
      <c r="J202" s="195"/>
    </row>
    <row r="203" spans="1:10" ht="13.5" customHeight="1">
      <c r="A203" s="2" t="s">
        <v>14</v>
      </c>
      <c r="B203" s="2"/>
      <c r="C203" s="2" t="s">
        <v>15</v>
      </c>
      <c r="D203" s="2"/>
      <c r="E203" s="2"/>
      <c r="F203" s="3"/>
      <c r="G203" s="1" t="s">
        <v>16</v>
      </c>
      <c r="H203" s="196" t="s">
        <v>108</v>
      </c>
      <c r="I203" s="196"/>
      <c r="J203" s="196"/>
    </row>
    <row r="204" spans="1:10" ht="13.5" customHeight="1">
      <c r="A204" s="2">
        <v>30</v>
      </c>
      <c r="B204" s="2"/>
      <c r="C204" s="2">
        <f>A204-H204</f>
        <v>4</v>
      </c>
      <c r="D204" s="2"/>
      <c r="E204" s="2"/>
      <c r="F204" s="3"/>
      <c r="G204" s="8" t="s">
        <v>18</v>
      </c>
      <c r="H204" s="197">
        <v>26</v>
      </c>
      <c r="I204" s="197"/>
      <c r="J204" s="197"/>
    </row>
    <row r="205" spans="1:10" ht="13.5" customHeight="1">
      <c r="A205" s="198" t="s">
        <v>19</v>
      </c>
      <c r="B205" s="199"/>
      <c r="C205" s="200"/>
      <c r="D205" s="13" t="s">
        <v>20</v>
      </c>
      <c r="E205" s="14" t="s">
        <v>21</v>
      </c>
      <c r="F205" s="15"/>
      <c r="G205" s="16" t="s">
        <v>20</v>
      </c>
      <c r="H205" s="201"/>
      <c r="I205" s="202"/>
      <c r="J205" s="203"/>
    </row>
    <row r="206" spans="1:10" ht="13.5" customHeight="1">
      <c r="A206" s="17" t="s">
        <v>23</v>
      </c>
      <c r="B206" s="1"/>
      <c r="C206" s="1"/>
      <c r="D206" s="2">
        <v>50000</v>
      </c>
      <c r="E206" s="17" t="s">
        <v>24</v>
      </c>
      <c r="F206" s="1"/>
      <c r="G206" s="2" t="s">
        <v>25</v>
      </c>
      <c r="H206" s="18" t="s">
        <v>26</v>
      </c>
      <c r="I206" s="6"/>
      <c r="J206" s="19"/>
    </row>
    <row r="207" spans="1:10" ht="13.5" customHeight="1">
      <c r="A207" s="17" t="s">
        <v>109</v>
      </c>
      <c r="B207" s="209"/>
      <c r="C207" s="209"/>
      <c r="D207" s="2" t="s">
        <v>25</v>
      </c>
      <c r="E207" s="17" t="s">
        <v>28</v>
      </c>
      <c r="F207" s="1"/>
      <c r="G207" s="2" t="s">
        <v>25</v>
      </c>
      <c r="H207" s="18" t="s">
        <v>29</v>
      </c>
      <c r="I207" s="6"/>
      <c r="J207" s="19"/>
    </row>
    <row r="208" spans="1:10" ht="13.5" customHeight="1">
      <c r="A208" s="17" t="s">
        <v>30</v>
      </c>
      <c r="B208" s="1"/>
      <c r="C208" s="1"/>
      <c r="D208" s="2">
        <v>7245</v>
      </c>
      <c r="E208" s="17" t="s">
        <v>58</v>
      </c>
      <c r="F208" s="1"/>
      <c r="G208" s="2" t="s">
        <v>25</v>
      </c>
      <c r="H208" s="18" t="s">
        <v>32</v>
      </c>
      <c r="I208" s="6"/>
      <c r="J208" s="19"/>
    </row>
    <row r="209" spans="1:10" ht="13.5" customHeight="1">
      <c r="A209" s="17" t="s">
        <v>34</v>
      </c>
      <c r="B209" s="1"/>
      <c r="C209" s="1"/>
      <c r="D209" s="2" t="s">
        <v>25</v>
      </c>
      <c r="E209" s="17" t="s">
        <v>71</v>
      </c>
      <c r="F209" s="1"/>
      <c r="G209" s="2">
        <v>6667</v>
      </c>
      <c r="H209" s="18"/>
      <c r="I209" s="6"/>
      <c r="J209" s="19"/>
    </row>
    <row r="210" spans="1:10" ht="13.5" customHeight="1">
      <c r="A210" s="17" t="s">
        <v>110</v>
      </c>
      <c r="B210" s="1"/>
      <c r="C210" s="1"/>
      <c r="D210" s="2" t="s">
        <v>25</v>
      </c>
      <c r="E210" s="17" t="s">
        <v>61</v>
      </c>
      <c r="F210" s="1"/>
      <c r="G210" s="2" t="s">
        <v>25</v>
      </c>
      <c r="H210" s="168"/>
      <c r="I210" s="6"/>
      <c r="J210" s="19"/>
    </row>
    <row r="211" spans="1:10" ht="13.5" customHeight="1">
      <c r="A211" s="17" t="s">
        <v>38</v>
      </c>
      <c r="B211" s="1"/>
      <c r="C211" s="1"/>
      <c r="D211" s="2" t="s">
        <v>25</v>
      </c>
      <c r="E211" s="17" t="s">
        <v>39</v>
      </c>
      <c r="F211" s="2"/>
      <c r="G211" s="2">
        <v>100</v>
      </c>
      <c r="H211" s="18"/>
      <c r="I211" s="6"/>
      <c r="J211" s="19"/>
    </row>
    <row r="212" spans="1:10" ht="13.5" customHeight="1">
      <c r="A212" s="18" t="s">
        <v>40</v>
      </c>
      <c r="B212" s="6"/>
      <c r="C212" s="6"/>
      <c r="D212" s="2" t="s">
        <v>25</v>
      </c>
      <c r="E212" s="17" t="s">
        <v>111</v>
      </c>
      <c r="F212" s="2">
        <v>2</v>
      </c>
      <c r="G212" s="2">
        <v>478</v>
      </c>
      <c r="H212" s="18"/>
      <c r="I212" s="6"/>
      <c r="J212" s="19"/>
    </row>
    <row r="213" spans="1:10" ht="13.5" customHeight="1">
      <c r="A213" s="204" t="s">
        <v>63</v>
      </c>
      <c r="B213" s="205"/>
      <c r="C213" s="206"/>
      <c r="D213" s="229">
        <f>SUM(D206:D212)</f>
        <v>57245</v>
      </c>
      <c r="E213" s="1" t="s">
        <v>43</v>
      </c>
      <c r="F213" s="1"/>
      <c r="G213" s="2" t="s">
        <v>25</v>
      </c>
      <c r="H213" s="18"/>
      <c r="I213" s="6"/>
      <c r="J213" s="19"/>
    </row>
    <row r="214" spans="1:10" ht="13.5" customHeight="1">
      <c r="A214" s="207"/>
      <c r="B214" s="197"/>
      <c r="C214" s="208"/>
      <c r="D214" s="230"/>
      <c r="E214" s="21" t="s">
        <v>21</v>
      </c>
      <c r="F214" s="22"/>
      <c r="G214" s="13">
        <f>SUM(G206:G213)</f>
        <v>7245</v>
      </c>
      <c r="H214" s="21" t="s">
        <v>44</v>
      </c>
      <c r="I214" s="22"/>
      <c r="J214" s="13">
        <f>D213-G214</f>
        <v>50000</v>
      </c>
    </row>
    <row r="215" spans="1:10" ht="13.5" customHeight="1">
      <c r="A215" s="3" t="s">
        <v>45</v>
      </c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3.5" customHeight="1">
      <c r="A217" s="3"/>
      <c r="B217" s="3" t="s">
        <v>47</v>
      </c>
      <c r="C217" s="3"/>
      <c r="D217" s="3"/>
      <c r="E217" s="3" t="s">
        <v>48</v>
      </c>
      <c r="F217" s="3"/>
      <c r="G217" s="3"/>
      <c r="H217" s="3" t="s">
        <v>49</v>
      </c>
      <c r="I217" s="3"/>
      <c r="J217" s="3"/>
    </row>
    <row r="218" spans="1:10" ht="13.5" customHeight="1">
      <c r="A218" s="184" t="s">
        <v>0</v>
      </c>
      <c r="B218" s="185"/>
      <c r="C218" s="185"/>
      <c r="D218" s="185"/>
      <c r="E218" s="185"/>
      <c r="F218" s="185"/>
      <c r="G218" s="185"/>
      <c r="H218" s="185"/>
      <c r="I218" s="185"/>
      <c r="J218" s="186"/>
    </row>
    <row r="219" spans="1:10" ht="13.5" customHeight="1">
      <c r="A219" s="187" t="s">
        <v>1</v>
      </c>
      <c r="B219" s="188"/>
      <c r="C219" s="188"/>
      <c r="D219" s="188"/>
      <c r="E219" s="188"/>
      <c r="F219" s="188"/>
      <c r="G219" s="188"/>
      <c r="H219" s="188"/>
      <c r="I219" s="188"/>
      <c r="J219" s="189"/>
    </row>
    <row r="220" spans="1:10" ht="13.5" customHeight="1">
      <c r="A220" s="1" t="s">
        <v>2</v>
      </c>
      <c r="B220" s="1"/>
      <c r="C220" s="190"/>
      <c r="D220" s="190"/>
      <c r="E220" s="2"/>
      <c r="F220" s="3"/>
      <c r="G220" s="1" t="s">
        <v>4</v>
      </c>
      <c r="H220" s="191" t="s">
        <v>112</v>
      </c>
      <c r="I220" s="191"/>
      <c r="J220" s="191"/>
    </row>
    <row r="221" spans="1:10" ht="13.5" customHeight="1">
      <c r="A221" s="1" t="s">
        <v>6</v>
      </c>
      <c r="B221" s="1"/>
      <c r="C221" s="192" t="s">
        <v>113</v>
      </c>
      <c r="D221" s="192"/>
      <c r="E221" s="2"/>
      <c r="F221" s="3"/>
      <c r="G221" s="1" t="s">
        <v>8</v>
      </c>
      <c r="H221" s="193" t="s">
        <v>9</v>
      </c>
      <c r="I221" s="193"/>
      <c r="J221" s="193"/>
    </row>
    <row r="222" spans="1:10" ht="13.5" customHeight="1">
      <c r="A222" s="6" t="s">
        <v>10</v>
      </c>
      <c r="B222" s="6"/>
      <c r="C222" s="194" t="s">
        <v>114</v>
      </c>
      <c r="D222" s="194"/>
      <c r="E222" s="2"/>
      <c r="F222" s="3"/>
      <c r="G222" s="1" t="s">
        <v>12</v>
      </c>
      <c r="H222" s="195" t="s">
        <v>13</v>
      </c>
      <c r="I222" s="195"/>
      <c r="J222" s="195"/>
    </row>
    <row r="223" spans="1:10" ht="13.5" customHeight="1">
      <c r="A223" s="2" t="s">
        <v>14</v>
      </c>
      <c r="B223" s="2"/>
      <c r="C223" s="1" t="s">
        <v>15</v>
      </c>
      <c r="D223" s="1"/>
      <c r="E223" s="2"/>
      <c r="F223" s="3"/>
      <c r="G223" s="1" t="s">
        <v>16</v>
      </c>
      <c r="H223" s="209" t="s">
        <v>115</v>
      </c>
      <c r="I223" s="209"/>
      <c r="J223" s="209"/>
    </row>
    <row r="224" spans="1:10" ht="13.5" customHeight="1">
      <c r="A224" s="2">
        <v>30</v>
      </c>
      <c r="B224" s="2"/>
      <c r="C224" s="2">
        <f>A224-H224</f>
        <v>3</v>
      </c>
      <c r="D224" s="2"/>
      <c r="E224" s="2"/>
      <c r="F224" s="3"/>
      <c r="G224" s="8" t="s">
        <v>18</v>
      </c>
      <c r="H224" s="197">
        <v>27</v>
      </c>
      <c r="I224" s="197"/>
      <c r="J224" s="197"/>
    </row>
    <row r="225" spans="1:10" ht="13.5" customHeight="1">
      <c r="A225" s="198" t="s">
        <v>19</v>
      </c>
      <c r="B225" s="199"/>
      <c r="C225" s="200"/>
      <c r="D225" s="13" t="s">
        <v>20</v>
      </c>
      <c r="E225" s="14" t="s">
        <v>21</v>
      </c>
      <c r="F225" s="15"/>
      <c r="G225" s="16" t="s">
        <v>20</v>
      </c>
      <c r="H225" s="201" t="s">
        <v>22</v>
      </c>
      <c r="I225" s="202"/>
      <c r="J225" s="203"/>
    </row>
    <row r="226" spans="1:10" ht="13.5" customHeight="1">
      <c r="A226" s="17" t="s">
        <v>23</v>
      </c>
      <c r="B226" s="1"/>
      <c r="C226" s="1"/>
      <c r="D226" s="2">
        <v>25000</v>
      </c>
      <c r="E226" s="17" t="s">
        <v>24</v>
      </c>
      <c r="F226" s="1"/>
      <c r="G226" s="2" t="s">
        <v>25</v>
      </c>
      <c r="H226" s="18" t="s">
        <v>26</v>
      </c>
      <c r="I226" s="6"/>
      <c r="J226" s="19"/>
    </row>
    <row r="227" spans="1:10" ht="13.5" customHeight="1">
      <c r="A227" s="17" t="s">
        <v>57</v>
      </c>
      <c r="B227" s="1"/>
      <c r="C227" s="1"/>
      <c r="D227" s="2" t="s">
        <v>25</v>
      </c>
      <c r="E227" s="17" t="s">
        <v>58</v>
      </c>
      <c r="F227" s="1"/>
      <c r="G227" s="2">
        <v>220</v>
      </c>
      <c r="H227" s="18" t="s">
        <v>29</v>
      </c>
      <c r="I227" s="6"/>
      <c r="J227" s="19"/>
    </row>
    <row r="228" spans="1:10" ht="13.5" customHeight="1">
      <c r="A228" s="17" t="s">
        <v>121</v>
      </c>
      <c r="B228" s="1"/>
      <c r="C228" s="1"/>
      <c r="D228" s="2">
        <v>26534</v>
      </c>
      <c r="E228" s="17" t="s">
        <v>116</v>
      </c>
      <c r="F228" s="1"/>
      <c r="G228" s="2" t="s">
        <v>25</v>
      </c>
      <c r="H228" s="18" t="s">
        <v>32</v>
      </c>
      <c r="I228" s="6"/>
      <c r="J228" s="19"/>
    </row>
    <row r="229" spans="1:10" ht="13.5" customHeight="1">
      <c r="A229" s="17" t="s">
        <v>60</v>
      </c>
      <c r="B229" s="1"/>
      <c r="C229" s="1"/>
      <c r="D229" s="2">
        <v>5000</v>
      </c>
      <c r="E229" s="17" t="s">
        <v>35</v>
      </c>
      <c r="F229" s="1"/>
      <c r="G229" s="2">
        <v>2500</v>
      </c>
      <c r="H229" s="18"/>
      <c r="I229" s="6"/>
      <c r="J229" s="19"/>
    </row>
    <row r="230" spans="1:10" ht="13.5" customHeight="1">
      <c r="A230" s="17" t="s">
        <v>110</v>
      </c>
      <c r="B230" s="1"/>
      <c r="C230" s="1"/>
      <c r="D230" s="2" t="s">
        <v>25</v>
      </c>
      <c r="E230" s="17" t="s">
        <v>37</v>
      </c>
      <c r="F230" s="2"/>
      <c r="G230" s="2" t="s">
        <v>25</v>
      </c>
      <c r="H230" s="18"/>
      <c r="I230" s="6"/>
      <c r="J230" s="40"/>
    </row>
    <row r="231" spans="1:10" ht="13.5" customHeight="1">
      <c r="A231" s="17" t="s">
        <v>38</v>
      </c>
      <c r="B231" s="1"/>
      <c r="C231" s="1"/>
      <c r="D231" s="2" t="s">
        <v>25</v>
      </c>
      <c r="E231" s="17" t="s">
        <v>39</v>
      </c>
      <c r="F231" s="1"/>
      <c r="G231" s="2">
        <v>100</v>
      </c>
      <c r="H231" s="18"/>
      <c r="I231" s="6"/>
      <c r="J231" s="40"/>
    </row>
    <row r="232" spans="1:10" ht="13.5" customHeight="1">
      <c r="A232" s="18" t="s">
        <v>40</v>
      </c>
      <c r="B232" s="6"/>
      <c r="C232" s="6"/>
      <c r="D232" s="2" t="s">
        <v>25</v>
      </c>
      <c r="E232" s="17" t="s">
        <v>62</v>
      </c>
      <c r="F232" s="2">
        <v>6</v>
      </c>
      <c r="G232" s="2">
        <v>714</v>
      </c>
      <c r="H232" s="18"/>
      <c r="I232" s="6"/>
      <c r="J232" s="19"/>
    </row>
    <row r="233" spans="1:10" ht="13.5" customHeight="1">
      <c r="A233" s="204" t="s">
        <v>63</v>
      </c>
      <c r="B233" s="205"/>
      <c r="C233" s="206"/>
      <c r="D233" s="229">
        <f>SUM(D226:D232)</f>
        <v>56534</v>
      </c>
      <c r="E233" s="1" t="s">
        <v>43</v>
      </c>
      <c r="F233" s="1"/>
      <c r="G233" s="2" t="s">
        <v>25</v>
      </c>
      <c r="H233" s="18"/>
      <c r="I233" s="6"/>
      <c r="J233" s="19"/>
    </row>
    <row r="234" spans="1:10" ht="13.5" customHeight="1">
      <c r="A234" s="207"/>
      <c r="B234" s="197"/>
      <c r="C234" s="208"/>
      <c r="D234" s="230"/>
      <c r="E234" s="21" t="s">
        <v>21</v>
      </c>
      <c r="F234" s="22"/>
      <c r="G234" s="13">
        <f>SUM(G226:G233)</f>
        <v>3534</v>
      </c>
      <c r="H234" s="21" t="s">
        <v>44</v>
      </c>
      <c r="I234" s="22"/>
      <c r="J234" s="13">
        <f>D233-G234</f>
        <v>53000</v>
      </c>
    </row>
    <row r="235" spans="1:10" ht="13.5" customHeight="1">
      <c r="A235" s="3" t="s">
        <v>45</v>
      </c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3.5" customHeight="1">
      <c r="A237" s="3"/>
      <c r="B237" s="3" t="s">
        <v>47</v>
      </c>
      <c r="C237" s="3"/>
      <c r="D237" s="3"/>
      <c r="E237" s="3" t="s">
        <v>48</v>
      </c>
      <c r="F237" s="3"/>
      <c r="G237" s="3"/>
      <c r="H237" s="3" t="s">
        <v>49</v>
      </c>
      <c r="I237" s="3"/>
      <c r="J237" s="3"/>
    </row>
    <row r="238" spans="1:10" ht="13.5" customHeight="1">
      <c r="A238" s="184" t="s">
        <v>0</v>
      </c>
      <c r="B238" s="185"/>
      <c r="C238" s="185"/>
      <c r="D238" s="185"/>
      <c r="E238" s="185"/>
      <c r="F238" s="185"/>
      <c r="G238" s="185"/>
      <c r="H238" s="185"/>
      <c r="I238" s="185"/>
      <c r="J238" s="186"/>
    </row>
    <row r="239" spans="1:10" ht="13.5" customHeight="1">
      <c r="A239" s="187" t="s">
        <v>1</v>
      </c>
      <c r="B239" s="188"/>
      <c r="C239" s="188"/>
      <c r="D239" s="188"/>
      <c r="E239" s="188"/>
      <c r="F239" s="188"/>
      <c r="G239" s="188"/>
      <c r="H239" s="188"/>
      <c r="I239" s="188"/>
      <c r="J239" s="189"/>
    </row>
    <row r="240" spans="1:10" ht="13.5" customHeight="1">
      <c r="A240" s="1" t="s">
        <v>2</v>
      </c>
      <c r="B240" s="1"/>
      <c r="C240" s="190"/>
      <c r="D240" s="190"/>
      <c r="E240" s="2"/>
      <c r="F240" s="3"/>
      <c r="G240" s="1" t="s">
        <v>4</v>
      </c>
      <c r="H240" s="191" t="s">
        <v>112</v>
      </c>
      <c r="I240" s="191"/>
      <c r="J240" s="191"/>
    </row>
    <row r="241" spans="1:10" ht="13.5" customHeight="1">
      <c r="A241" s="1" t="s">
        <v>6</v>
      </c>
      <c r="B241" s="1"/>
      <c r="C241" s="192" t="s">
        <v>117</v>
      </c>
      <c r="D241" s="192"/>
      <c r="E241" s="2"/>
      <c r="F241" s="3"/>
      <c r="G241" s="1" t="s">
        <v>8</v>
      </c>
      <c r="H241" s="193" t="s">
        <v>9</v>
      </c>
      <c r="I241" s="193"/>
      <c r="J241" s="193"/>
    </row>
    <row r="242" spans="1:10" ht="13.5" customHeight="1">
      <c r="A242" s="6" t="s">
        <v>10</v>
      </c>
      <c r="B242" s="6"/>
      <c r="C242" s="194" t="s">
        <v>118</v>
      </c>
      <c r="D242" s="194"/>
      <c r="E242" s="2"/>
      <c r="F242" s="3"/>
      <c r="G242" s="1" t="s">
        <v>12</v>
      </c>
      <c r="H242" s="195" t="s">
        <v>13</v>
      </c>
      <c r="I242" s="195"/>
      <c r="J242" s="195"/>
    </row>
    <row r="243" spans="1:10" ht="13.5" customHeight="1">
      <c r="A243" s="2" t="s">
        <v>14</v>
      </c>
      <c r="B243" s="2"/>
      <c r="C243" s="1" t="s">
        <v>15</v>
      </c>
      <c r="D243" s="1"/>
      <c r="E243" s="2"/>
      <c r="F243" s="3"/>
      <c r="G243" s="1" t="s">
        <v>16</v>
      </c>
      <c r="H243" s="209" t="s">
        <v>119</v>
      </c>
      <c r="I243" s="209"/>
      <c r="J243" s="209"/>
    </row>
    <row r="244" spans="1:10" ht="13.5" customHeight="1">
      <c r="A244" s="2">
        <v>30</v>
      </c>
      <c r="B244" s="2"/>
      <c r="C244" s="2">
        <f>A244-H244</f>
        <v>1</v>
      </c>
      <c r="D244" s="2"/>
      <c r="E244" s="2"/>
      <c r="F244" s="3"/>
      <c r="G244" s="8" t="s">
        <v>18</v>
      </c>
      <c r="H244" s="197">
        <v>29</v>
      </c>
      <c r="I244" s="197"/>
      <c r="J244" s="197"/>
    </row>
    <row r="245" spans="1:10" ht="13.5" customHeight="1">
      <c r="A245" s="198" t="s">
        <v>19</v>
      </c>
      <c r="B245" s="199"/>
      <c r="C245" s="200"/>
      <c r="D245" s="13" t="s">
        <v>20</v>
      </c>
      <c r="E245" s="14" t="s">
        <v>21</v>
      </c>
      <c r="F245" s="15"/>
      <c r="G245" s="16" t="s">
        <v>20</v>
      </c>
      <c r="H245" s="201" t="s">
        <v>22</v>
      </c>
      <c r="I245" s="202"/>
      <c r="J245" s="203"/>
    </row>
    <row r="246" spans="1:10" ht="13.5" customHeight="1">
      <c r="A246" s="17" t="s">
        <v>23</v>
      </c>
      <c r="B246" s="1"/>
      <c r="C246" s="1"/>
      <c r="D246" s="2">
        <v>25000</v>
      </c>
      <c r="E246" s="17" t="s">
        <v>24</v>
      </c>
      <c r="F246" s="1"/>
      <c r="G246" s="2" t="s">
        <v>25</v>
      </c>
      <c r="H246" s="18" t="s">
        <v>26</v>
      </c>
      <c r="I246" s="6"/>
      <c r="J246" s="19"/>
    </row>
    <row r="247" spans="1:10" ht="13.5" customHeight="1">
      <c r="A247" s="17" t="s">
        <v>57</v>
      </c>
      <c r="B247" s="209" t="s">
        <v>120</v>
      </c>
      <c r="C247" s="209"/>
      <c r="D247" s="2">
        <v>833</v>
      </c>
      <c r="E247" s="17" t="s">
        <v>58</v>
      </c>
      <c r="F247" s="1"/>
      <c r="G247" s="2" t="s">
        <v>25</v>
      </c>
      <c r="H247" s="18" t="s">
        <v>29</v>
      </c>
      <c r="I247" s="6"/>
      <c r="J247" s="19"/>
    </row>
    <row r="248" spans="1:10" ht="13.5" customHeight="1">
      <c r="A248" s="17" t="s">
        <v>121</v>
      </c>
      <c r="B248" s="1"/>
      <c r="C248" s="1"/>
      <c r="D248" s="2">
        <v>19100</v>
      </c>
      <c r="E248" s="17" t="s">
        <v>116</v>
      </c>
      <c r="F248" s="1"/>
      <c r="G248" s="2" t="s">
        <v>25</v>
      </c>
      <c r="H248" s="18" t="s">
        <v>32</v>
      </c>
      <c r="I248" s="6"/>
      <c r="J248" s="19"/>
    </row>
    <row r="249" spans="1:10" ht="13.5" customHeight="1">
      <c r="A249" s="17" t="s">
        <v>34</v>
      </c>
      <c r="B249" s="1"/>
      <c r="C249" s="1"/>
      <c r="D249" s="2" t="s">
        <v>25</v>
      </c>
      <c r="E249" s="17" t="s">
        <v>35</v>
      </c>
      <c r="F249" s="1"/>
      <c r="G249" s="2">
        <v>833</v>
      </c>
      <c r="H249" s="18"/>
      <c r="I249" s="6"/>
      <c r="J249" s="19"/>
    </row>
    <row r="250" spans="1:10" ht="13.5" customHeight="1">
      <c r="A250" s="17" t="s">
        <v>97</v>
      </c>
      <c r="B250" s="1"/>
      <c r="C250" s="1"/>
      <c r="D250" s="2">
        <v>4000</v>
      </c>
      <c r="E250" s="17" t="s">
        <v>61</v>
      </c>
      <c r="F250" s="2"/>
      <c r="G250" s="2" t="s">
        <v>25</v>
      </c>
      <c r="H250" s="18" t="s">
        <v>122</v>
      </c>
      <c r="I250" s="6"/>
      <c r="J250" s="40"/>
    </row>
    <row r="251" spans="1:10" ht="13.5" customHeight="1">
      <c r="A251" s="17" t="s">
        <v>38</v>
      </c>
      <c r="B251" s="1"/>
      <c r="C251" s="1"/>
      <c r="D251" s="2" t="s">
        <v>25</v>
      </c>
      <c r="E251" s="17" t="s">
        <v>39</v>
      </c>
      <c r="F251" s="1"/>
      <c r="G251" s="2">
        <v>100</v>
      </c>
      <c r="H251" s="18"/>
      <c r="I251" s="6"/>
      <c r="J251" s="40"/>
    </row>
    <row r="252" spans="1:10" ht="13.5" customHeight="1">
      <c r="A252" s="18" t="s">
        <v>40</v>
      </c>
      <c r="B252" s="6"/>
      <c r="C252" s="6"/>
      <c r="D252" s="2" t="s">
        <v>25</v>
      </c>
      <c r="E252" s="17" t="s">
        <v>62</v>
      </c>
      <c r="F252" s="2"/>
      <c r="G252" s="2" t="s">
        <v>25</v>
      </c>
      <c r="H252" s="18"/>
      <c r="I252" s="6"/>
      <c r="J252" s="19"/>
    </row>
    <row r="253" spans="1:10" ht="13.5" customHeight="1">
      <c r="A253" s="204" t="s">
        <v>63</v>
      </c>
      <c r="B253" s="205"/>
      <c r="C253" s="206"/>
      <c r="D253" s="229">
        <f>SUM(D246:D252)</f>
        <v>48933</v>
      </c>
      <c r="E253" s="1" t="s">
        <v>43</v>
      </c>
      <c r="F253" s="1"/>
      <c r="G253" s="2" t="s">
        <v>25</v>
      </c>
      <c r="H253" s="18"/>
      <c r="I253" s="6"/>
      <c r="J253" s="19"/>
    </row>
    <row r="254" spans="1:10" ht="13.5" customHeight="1">
      <c r="A254" s="207"/>
      <c r="B254" s="197"/>
      <c r="C254" s="208"/>
      <c r="D254" s="230"/>
      <c r="E254" s="21" t="s">
        <v>21</v>
      </c>
      <c r="F254" s="22"/>
      <c r="G254" s="13">
        <f>SUM(G246:G253)</f>
        <v>933</v>
      </c>
      <c r="H254" s="21" t="s">
        <v>44</v>
      </c>
      <c r="I254" s="22"/>
      <c r="J254" s="13">
        <f>D253-G254</f>
        <v>48000</v>
      </c>
    </row>
    <row r="255" spans="1:10" ht="13.5" customHeight="1">
      <c r="A255" s="3" t="s">
        <v>45</v>
      </c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3.5" customHeight="1">
      <c r="A257" s="3"/>
      <c r="B257" s="3" t="s">
        <v>47</v>
      </c>
      <c r="C257" s="3"/>
      <c r="D257" s="3"/>
      <c r="E257" s="3" t="s">
        <v>48</v>
      </c>
      <c r="F257" s="3"/>
      <c r="G257" s="3"/>
      <c r="H257" s="3" t="s">
        <v>49</v>
      </c>
      <c r="I257" s="3"/>
      <c r="J257" s="3"/>
    </row>
    <row r="258" spans="1:10" ht="13.5" customHeight="1">
      <c r="A258" s="184" t="s">
        <v>0</v>
      </c>
      <c r="B258" s="185"/>
      <c r="C258" s="185"/>
      <c r="D258" s="185"/>
      <c r="E258" s="185"/>
      <c r="F258" s="185"/>
      <c r="G258" s="185"/>
      <c r="H258" s="185"/>
      <c r="I258" s="185"/>
      <c r="J258" s="186"/>
    </row>
    <row r="259" spans="1:10" ht="13.5" customHeight="1">
      <c r="A259" s="187" t="s">
        <v>1</v>
      </c>
      <c r="B259" s="188"/>
      <c r="C259" s="188"/>
      <c r="D259" s="188"/>
      <c r="E259" s="188"/>
      <c r="F259" s="188"/>
      <c r="G259" s="188"/>
      <c r="H259" s="188"/>
      <c r="I259" s="188"/>
      <c r="J259" s="189"/>
    </row>
    <row r="260" spans="1:10" ht="13.5" customHeight="1">
      <c r="A260" s="1" t="s">
        <v>2</v>
      </c>
      <c r="B260" s="1"/>
      <c r="C260" s="190"/>
      <c r="D260" s="190"/>
      <c r="E260" s="2"/>
      <c r="F260" s="3"/>
      <c r="G260" s="1" t="s">
        <v>4</v>
      </c>
      <c r="H260" s="191" t="s">
        <v>112</v>
      </c>
      <c r="I260" s="191"/>
      <c r="J260" s="191"/>
    </row>
    <row r="261" spans="1:10" ht="13.5" customHeight="1">
      <c r="A261" s="1" t="s">
        <v>6</v>
      </c>
      <c r="B261" s="1"/>
      <c r="C261" s="192" t="s">
        <v>123</v>
      </c>
      <c r="D261" s="192"/>
      <c r="E261" s="2"/>
      <c r="F261" s="3"/>
      <c r="G261" s="1" t="s">
        <v>8</v>
      </c>
      <c r="H261" s="193" t="s">
        <v>9</v>
      </c>
      <c r="I261" s="193"/>
      <c r="J261" s="193"/>
    </row>
    <row r="262" spans="1:10" ht="13.5" customHeight="1">
      <c r="A262" s="6" t="s">
        <v>10</v>
      </c>
      <c r="B262" s="6"/>
      <c r="C262" s="194" t="s">
        <v>124</v>
      </c>
      <c r="D262" s="194"/>
      <c r="E262" s="2"/>
      <c r="F262" s="3"/>
      <c r="G262" s="1" t="s">
        <v>12</v>
      </c>
      <c r="H262" s="195" t="s">
        <v>13</v>
      </c>
      <c r="I262" s="195"/>
      <c r="J262" s="195"/>
    </row>
    <row r="263" spans="1:10" ht="13.5" customHeight="1">
      <c r="A263" s="2" t="s">
        <v>14</v>
      </c>
      <c r="B263" s="2"/>
      <c r="C263" s="1" t="s">
        <v>15</v>
      </c>
      <c r="D263" s="1"/>
      <c r="E263" s="2"/>
      <c r="F263" s="3"/>
      <c r="G263" s="1" t="s">
        <v>16</v>
      </c>
      <c r="H263" s="209" t="s">
        <v>125</v>
      </c>
      <c r="I263" s="209"/>
      <c r="J263" s="209"/>
    </row>
    <row r="264" spans="1:10" ht="13.5" customHeight="1">
      <c r="A264" s="2">
        <v>30</v>
      </c>
      <c r="B264" s="2"/>
      <c r="C264" s="2">
        <f>A264-H264</f>
        <v>1</v>
      </c>
      <c r="D264" s="2"/>
      <c r="E264" s="2"/>
      <c r="F264" s="3"/>
      <c r="G264" s="8" t="s">
        <v>18</v>
      </c>
      <c r="H264" s="197">
        <v>29</v>
      </c>
      <c r="I264" s="197"/>
      <c r="J264" s="197"/>
    </row>
    <row r="265" spans="1:10" ht="13.5" customHeight="1">
      <c r="A265" s="198" t="s">
        <v>19</v>
      </c>
      <c r="B265" s="199"/>
      <c r="C265" s="200"/>
      <c r="D265" s="13" t="s">
        <v>20</v>
      </c>
      <c r="E265" s="14" t="s">
        <v>21</v>
      </c>
      <c r="F265" s="15"/>
      <c r="G265" s="16" t="s">
        <v>20</v>
      </c>
      <c r="H265" s="201" t="s">
        <v>22</v>
      </c>
      <c r="I265" s="202"/>
      <c r="J265" s="203"/>
    </row>
    <row r="266" spans="1:10" ht="13.5" customHeight="1">
      <c r="A266" s="17" t="s">
        <v>23</v>
      </c>
      <c r="B266" s="1"/>
      <c r="C266" s="1"/>
      <c r="D266" s="2">
        <v>120000</v>
      </c>
      <c r="E266" s="17" t="s">
        <v>24</v>
      </c>
      <c r="F266" s="1"/>
      <c r="G266" s="2" t="s">
        <v>25</v>
      </c>
      <c r="H266" s="18" t="s">
        <v>26</v>
      </c>
      <c r="I266" s="6"/>
      <c r="J266" s="19"/>
    </row>
    <row r="267" spans="1:10" ht="13.5" customHeight="1">
      <c r="A267" s="17" t="s">
        <v>57</v>
      </c>
      <c r="B267" s="209"/>
      <c r="C267" s="209"/>
      <c r="D267" s="2" t="s">
        <v>25</v>
      </c>
      <c r="E267" s="17" t="s">
        <v>58</v>
      </c>
      <c r="F267" s="1"/>
      <c r="G267" s="2" t="s">
        <v>25</v>
      </c>
      <c r="H267" s="18" t="s">
        <v>29</v>
      </c>
      <c r="I267" s="6"/>
      <c r="J267" s="19"/>
    </row>
    <row r="268" spans="1:10" ht="13.5" customHeight="1">
      <c r="A268" s="17" t="s">
        <v>30</v>
      </c>
      <c r="B268" s="1"/>
      <c r="C268" s="1"/>
      <c r="D268" s="2" t="s">
        <v>25</v>
      </c>
      <c r="E268" s="17" t="s">
        <v>126</v>
      </c>
      <c r="F268" s="1"/>
      <c r="G268" s="2" t="s">
        <v>25</v>
      </c>
      <c r="H268" s="18" t="s">
        <v>32</v>
      </c>
      <c r="I268" s="6"/>
      <c r="J268" s="19"/>
    </row>
    <row r="269" spans="1:10" ht="13.5" customHeight="1">
      <c r="A269" s="17" t="s">
        <v>127</v>
      </c>
      <c r="B269" s="6"/>
      <c r="C269" s="6"/>
      <c r="D269" s="2" t="s">
        <v>25</v>
      </c>
      <c r="E269" s="17" t="s">
        <v>35</v>
      </c>
      <c r="F269" s="1"/>
      <c r="G269" s="2">
        <v>4000</v>
      </c>
      <c r="H269" s="18"/>
      <c r="I269" s="6"/>
      <c r="J269" s="19"/>
    </row>
    <row r="270" spans="1:10" ht="13.5" customHeight="1">
      <c r="A270" s="17" t="s">
        <v>27</v>
      </c>
      <c r="B270" s="1"/>
      <c r="C270" s="1"/>
      <c r="D270" s="2" t="s">
        <v>25</v>
      </c>
      <c r="E270" s="17" t="s">
        <v>61</v>
      </c>
      <c r="F270" s="1"/>
      <c r="G270" s="2" t="s">
        <v>25</v>
      </c>
      <c r="H270" s="18"/>
      <c r="I270" s="6"/>
      <c r="J270" s="19"/>
    </row>
    <row r="271" spans="1:10" ht="13.5" customHeight="1">
      <c r="A271" s="17" t="s">
        <v>38</v>
      </c>
      <c r="B271" s="1"/>
      <c r="C271" s="1"/>
      <c r="D271" s="2" t="s">
        <v>25</v>
      </c>
      <c r="E271" s="17" t="s">
        <v>39</v>
      </c>
      <c r="F271" s="1"/>
      <c r="G271" s="2">
        <v>100</v>
      </c>
      <c r="H271" s="18"/>
      <c r="I271" s="6"/>
      <c r="J271" s="19"/>
    </row>
    <row r="272" spans="1:10" ht="13.5" customHeight="1">
      <c r="A272" s="18" t="s">
        <v>40</v>
      </c>
      <c r="B272" s="6"/>
      <c r="C272" s="6"/>
      <c r="D272" s="2" t="s">
        <v>25</v>
      </c>
      <c r="E272" s="17" t="s">
        <v>62</v>
      </c>
      <c r="F272" s="2"/>
      <c r="G272" s="2" t="s">
        <v>25</v>
      </c>
      <c r="H272" s="18"/>
      <c r="I272" s="6"/>
      <c r="J272" s="19"/>
    </row>
    <row r="273" spans="1:10" ht="13.5" customHeight="1">
      <c r="A273" s="204" t="s">
        <v>63</v>
      </c>
      <c r="B273" s="205"/>
      <c r="C273" s="206"/>
      <c r="D273" s="229">
        <f>SUM(D266:D272)</f>
        <v>120000</v>
      </c>
      <c r="E273" s="1" t="s">
        <v>43</v>
      </c>
      <c r="F273" s="1"/>
      <c r="G273" s="2" t="s">
        <v>25</v>
      </c>
      <c r="H273" s="18"/>
      <c r="I273" s="6"/>
      <c r="J273" s="19"/>
    </row>
    <row r="274" spans="1:10" ht="13.5" customHeight="1">
      <c r="A274" s="207"/>
      <c r="B274" s="197"/>
      <c r="C274" s="208"/>
      <c r="D274" s="230"/>
      <c r="E274" s="21" t="s">
        <v>21</v>
      </c>
      <c r="F274" s="22"/>
      <c r="G274" s="13">
        <f>SUM(G266:G273)</f>
        <v>4100</v>
      </c>
      <c r="H274" s="21" t="s">
        <v>44</v>
      </c>
      <c r="I274" s="22"/>
      <c r="J274" s="13">
        <f>D273-G274</f>
        <v>115900</v>
      </c>
    </row>
    <row r="275" spans="1:10" ht="13.5" customHeight="1">
      <c r="A275" s="3" t="s">
        <v>45</v>
      </c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3.5" customHeight="1">
      <c r="A277" s="3"/>
      <c r="B277" s="3" t="s">
        <v>47</v>
      </c>
      <c r="C277" s="3"/>
      <c r="D277" s="3"/>
      <c r="E277" s="3" t="s">
        <v>48</v>
      </c>
      <c r="F277" s="3"/>
      <c r="G277" s="3"/>
      <c r="H277" s="3" t="s">
        <v>49</v>
      </c>
      <c r="I277" s="3"/>
      <c r="J277" s="3"/>
    </row>
    <row r="278" spans="1:10" ht="13.5" customHeight="1">
      <c r="A278" s="184" t="s">
        <v>0</v>
      </c>
      <c r="B278" s="185"/>
      <c r="C278" s="185"/>
      <c r="D278" s="185"/>
      <c r="E278" s="185"/>
      <c r="F278" s="185"/>
      <c r="G278" s="185"/>
      <c r="H278" s="185"/>
      <c r="I278" s="185"/>
      <c r="J278" s="186"/>
    </row>
    <row r="279" spans="1:10" ht="13.5" customHeight="1">
      <c r="A279" s="187" t="s">
        <v>1</v>
      </c>
      <c r="B279" s="188"/>
      <c r="C279" s="188"/>
      <c r="D279" s="188"/>
      <c r="E279" s="188"/>
      <c r="F279" s="188"/>
      <c r="G279" s="188"/>
      <c r="H279" s="188"/>
      <c r="I279" s="188"/>
      <c r="J279" s="189"/>
    </row>
    <row r="280" spans="1:10" ht="13.5" customHeight="1">
      <c r="A280" s="1" t="s">
        <v>2</v>
      </c>
      <c r="B280" s="1"/>
      <c r="C280" s="190" t="s">
        <v>128</v>
      </c>
      <c r="D280" s="190"/>
      <c r="E280" s="2"/>
      <c r="F280" s="3"/>
      <c r="G280" s="1" t="s">
        <v>4</v>
      </c>
      <c r="H280" s="191" t="s">
        <v>112</v>
      </c>
      <c r="I280" s="191"/>
      <c r="J280" s="191"/>
    </row>
    <row r="281" spans="1:10" ht="13.5" customHeight="1">
      <c r="A281" s="1" t="s">
        <v>6</v>
      </c>
      <c r="B281" s="1"/>
      <c r="C281" s="192" t="s">
        <v>129</v>
      </c>
      <c r="D281" s="192"/>
      <c r="E281" s="2"/>
      <c r="F281" s="3"/>
      <c r="G281" s="1" t="s">
        <v>8</v>
      </c>
      <c r="H281" s="193" t="s">
        <v>9</v>
      </c>
      <c r="I281" s="193"/>
      <c r="J281" s="193"/>
    </row>
    <row r="282" spans="1:10" ht="13.5" customHeight="1">
      <c r="A282" s="6" t="s">
        <v>10</v>
      </c>
      <c r="B282" s="6"/>
      <c r="C282" s="194" t="s">
        <v>130</v>
      </c>
      <c r="D282" s="194"/>
      <c r="E282" s="2"/>
      <c r="F282" s="3"/>
      <c r="G282" s="1" t="s">
        <v>12</v>
      </c>
      <c r="H282" s="195" t="s">
        <v>13</v>
      </c>
      <c r="I282" s="195"/>
      <c r="J282" s="195"/>
    </row>
    <row r="283" spans="1:10" ht="13.5" customHeight="1">
      <c r="A283" s="2" t="s">
        <v>14</v>
      </c>
      <c r="B283" s="2"/>
      <c r="C283" s="1" t="s">
        <v>15</v>
      </c>
      <c r="D283" s="1"/>
      <c r="E283" s="2"/>
      <c r="F283" s="3"/>
      <c r="G283" s="1" t="s">
        <v>16</v>
      </c>
      <c r="H283" s="209" t="s">
        <v>68</v>
      </c>
      <c r="I283" s="209"/>
      <c r="J283" s="209"/>
    </row>
    <row r="284" spans="1:10" ht="13.5" customHeight="1">
      <c r="A284" s="2">
        <v>30</v>
      </c>
      <c r="B284" s="2"/>
      <c r="C284" s="2">
        <f>A284-H284</f>
        <v>2</v>
      </c>
      <c r="D284" s="2"/>
      <c r="E284" s="2"/>
      <c r="F284" s="3"/>
      <c r="G284" s="8" t="s">
        <v>18</v>
      </c>
      <c r="H284" s="197">
        <v>28</v>
      </c>
      <c r="I284" s="197"/>
      <c r="J284" s="197"/>
    </row>
    <row r="285" spans="1:10" ht="13.5" customHeight="1">
      <c r="A285" s="198" t="s">
        <v>19</v>
      </c>
      <c r="B285" s="199"/>
      <c r="C285" s="200"/>
      <c r="D285" s="13" t="s">
        <v>20</v>
      </c>
      <c r="E285" s="14" t="s">
        <v>21</v>
      </c>
      <c r="F285" s="15"/>
      <c r="G285" s="16" t="s">
        <v>20</v>
      </c>
      <c r="H285" s="201" t="s">
        <v>22</v>
      </c>
      <c r="I285" s="202"/>
      <c r="J285" s="203"/>
    </row>
    <row r="286" spans="1:10" ht="13.5" customHeight="1">
      <c r="A286" s="17" t="s">
        <v>23</v>
      </c>
      <c r="B286" s="1"/>
      <c r="C286" s="1"/>
      <c r="D286" s="2">
        <v>70000</v>
      </c>
      <c r="E286" s="17" t="s">
        <v>24</v>
      </c>
      <c r="F286" s="1"/>
      <c r="G286" s="2" t="s">
        <v>25</v>
      </c>
      <c r="H286" s="18" t="s">
        <v>26</v>
      </c>
      <c r="I286" s="6"/>
      <c r="J286" s="19"/>
    </row>
    <row r="287" spans="1:10" ht="13.5" customHeight="1">
      <c r="A287" s="17" t="s">
        <v>57</v>
      </c>
      <c r="B287" s="209" t="s">
        <v>131</v>
      </c>
      <c r="C287" s="209"/>
      <c r="D287" s="2">
        <v>9333</v>
      </c>
      <c r="E287" s="17" t="s">
        <v>58</v>
      </c>
      <c r="F287" s="1"/>
      <c r="G287" s="2" t="s">
        <v>25</v>
      </c>
      <c r="H287" s="18" t="s">
        <v>29</v>
      </c>
      <c r="I287" s="6"/>
      <c r="J287" s="19"/>
    </row>
    <row r="288" spans="1:10" ht="13.5" customHeight="1">
      <c r="A288" s="17" t="s">
        <v>30</v>
      </c>
      <c r="B288" s="1"/>
      <c r="C288" s="1"/>
      <c r="D288" s="2" t="s">
        <v>25</v>
      </c>
      <c r="E288" s="17" t="s">
        <v>126</v>
      </c>
      <c r="F288" s="1"/>
      <c r="G288" s="2" t="s">
        <v>25</v>
      </c>
      <c r="H288" s="18" t="s">
        <v>32</v>
      </c>
      <c r="I288" s="6"/>
      <c r="J288" s="19"/>
    </row>
    <row r="289" spans="1:10" ht="13.5" customHeight="1">
      <c r="A289" s="17" t="s">
        <v>36</v>
      </c>
      <c r="B289" s="6"/>
      <c r="C289" s="6"/>
      <c r="D289" s="2" t="s">
        <v>25</v>
      </c>
      <c r="E289" s="17" t="s">
        <v>35</v>
      </c>
      <c r="F289" s="1"/>
      <c r="G289" s="2">
        <v>4667</v>
      </c>
      <c r="H289" s="18"/>
      <c r="I289" s="6"/>
      <c r="J289" s="19"/>
    </row>
    <row r="290" spans="1:10" ht="13.5" customHeight="1">
      <c r="A290" s="17" t="s">
        <v>34</v>
      </c>
      <c r="B290" s="1"/>
      <c r="C290" s="1"/>
      <c r="D290" s="2" t="s">
        <v>25</v>
      </c>
      <c r="E290" s="17" t="s">
        <v>61</v>
      </c>
      <c r="F290" s="1"/>
      <c r="G290" s="2" t="s">
        <v>25</v>
      </c>
      <c r="H290" s="18" t="s">
        <v>132</v>
      </c>
      <c r="I290" s="6"/>
      <c r="J290" s="19"/>
    </row>
    <row r="291" spans="1:10" ht="13.5" customHeight="1">
      <c r="A291" s="17" t="s">
        <v>34</v>
      </c>
      <c r="B291" s="1"/>
      <c r="C291" s="1"/>
      <c r="D291" s="2" t="s">
        <v>25</v>
      </c>
      <c r="E291" s="17" t="s">
        <v>39</v>
      </c>
      <c r="F291" s="1"/>
      <c r="G291" s="2">
        <v>100</v>
      </c>
      <c r="H291" s="18"/>
      <c r="I291" s="6"/>
      <c r="J291" s="19"/>
    </row>
    <row r="292" spans="1:10" ht="13.5" customHeight="1">
      <c r="A292" s="18" t="s">
        <v>40</v>
      </c>
      <c r="B292" s="6"/>
      <c r="C292" s="6"/>
      <c r="D292" s="2" t="s">
        <v>25</v>
      </c>
      <c r="E292" s="17" t="s">
        <v>62</v>
      </c>
      <c r="F292" s="2"/>
      <c r="G292" s="2" t="s">
        <v>25</v>
      </c>
      <c r="H292" s="18"/>
      <c r="I292" s="6"/>
      <c r="J292" s="19"/>
    </row>
    <row r="293" spans="1:10" ht="13.5" customHeight="1">
      <c r="A293" s="204" t="s">
        <v>63</v>
      </c>
      <c r="B293" s="205"/>
      <c r="C293" s="206"/>
      <c r="D293" s="229">
        <f>SUM(D286:D292)</f>
        <v>79333</v>
      </c>
      <c r="E293" s="1" t="s">
        <v>43</v>
      </c>
      <c r="F293" s="1"/>
      <c r="G293" s="2" t="s">
        <v>25</v>
      </c>
      <c r="H293" s="18"/>
      <c r="I293" s="6"/>
      <c r="J293" s="19"/>
    </row>
    <row r="294" spans="1:10" ht="13.5" customHeight="1">
      <c r="A294" s="207"/>
      <c r="B294" s="197"/>
      <c r="C294" s="208"/>
      <c r="D294" s="230"/>
      <c r="E294" s="21" t="s">
        <v>21</v>
      </c>
      <c r="F294" s="22"/>
      <c r="G294" s="13">
        <f>SUM(G286:G293)</f>
        <v>4767</v>
      </c>
      <c r="H294" s="21" t="s">
        <v>44</v>
      </c>
      <c r="I294" s="22"/>
      <c r="J294" s="13">
        <f>D293-G294</f>
        <v>74566</v>
      </c>
    </row>
    <row r="295" spans="1:10" ht="13.5" customHeight="1">
      <c r="A295" s="3" t="s">
        <v>45</v>
      </c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3.5" customHeight="1">
      <c r="A297" s="3"/>
      <c r="B297" s="3" t="s">
        <v>47</v>
      </c>
      <c r="C297" s="3"/>
      <c r="D297" s="3"/>
      <c r="E297" s="3" t="s">
        <v>48</v>
      </c>
      <c r="F297" s="3"/>
      <c r="G297" s="3"/>
      <c r="H297" s="3" t="s">
        <v>49</v>
      </c>
      <c r="I297" s="3"/>
      <c r="J297" s="3"/>
    </row>
    <row r="298" spans="1:10" ht="13.5" customHeight="1">
      <c r="A298" s="184" t="s">
        <v>0</v>
      </c>
      <c r="B298" s="185"/>
      <c r="C298" s="185"/>
      <c r="D298" s="185"/>
      <c r="E298" s="185"/>
      <c r="F298" s="185"/>
      <c r="G298" s="185"/>
      <c r="H298" s="185"/>
      <c r="I298" s="185"/>
      <c r="J298" s="186"/>
    </row>
    <row r="299" spans="1:10" ht="13.5" customHeight="1">
      <c r="A299" s="187" t="s">
        <v>1</v>
      </c>
      <c r="B299" s="188"/>
      <c r="C299" s="188"/>
      <c r="D299" s="188"/>
      <c r="E299" s="188"/>
      <c r="F299" s="188"/>
      <c r="G299" s="188"/>
      <c r="H299" s="188"/>
      <c r="I299" s="188"/>
      <c r="J299" s="189"/>
    </row>
    <row r="300" spans="1:10" ht="13.5" customHeight="1">
      <c r="A300" s="1" t="s">
        <v>2</v>
      </c>
      <c r="B300" s="1"/>
      <c r="C300" s="190" t="s">
        <v>106</v>
      </c>
      <c r="D300" s="190"/>
      <c r="E300" s="2"/>
      <c r="F300" s="3"/>
      <c r="G300" s="1" t="s">
        <v>4</v>
      </c>
      <c r="H300" s="191" t="s">
        <v>107</v>
      </c>
      <c r="I300" s="191"/>
      <c r="J300" s="191"/>
    </row>
    <row r="301" spans="1:10" ht="13.5" customHeight="1">
      <c r="A301" s="1" t="s">
        <v>6</v>
      </c>
      <c r="B301" s="1"/>
      <c r="C301" s="192" t="s">
        <v>133</v>
      </c>
      <c r="D301" s="192"/>
      <c r="E301" s="2"/>
      <c r="F301" s="3"/>
      <c r="G301" s="1" t="s">
        <v>8</v>
      </c>
      <c r="H301" s="193" t="s">
        <v>9</v>
      </c>
      <c r="I301" s="193"/>
      <c r="J301" s="193"/>
    </row>
    <row r="302" spans="1:10" ht="13.5" customHeight="1">
      <c r="A302" s="6" t="s">
        <v>10</v>
      </c>
      <c r="B302" s="6"/>
      <c r="C302" s="194" t="s">
        <v>134</v>
      </c>
      <c r="D302" s="194"/>
      <c r="E302" s="2"/>
      <c r="F302" s="3"/>
      <c r="G302" s="1" t="s">
        <v>12</v>
      </c>
      <c r="H302" s="195" t="s">
        <v>13</v>
      </c>
      <c r="I302" s="195"/>
      <c r="J302" s="195"/>
    </row>
    <row r="303" spans="1:10" ht="13.5" customHeight="1">
      <c r="A303" s="2" t="s">
        <v>14</v>
      </c>
      <c r="B303" s="2"/>
      <c r="C303" s="2" t="s">
        <v>15</v>
      </c>
      <c r="D303" s="2"/>
      <c r="E303" s="2"/>
      <c r="F303" s="3"/>
      <c r="G303" s="1" t="s">
        <v>16</v>
      </c>
      <c r="H303" s="196" t="s">
        <v>101</v>
      </c>
      <c r="I303" s="196"/>
      <c r="J303" s="196"/>
    </row>
    <row r="304" spans="1:10" ht="13.5" customHeight="1">
      <c r="A304" s="2">
        <v>30</v>
      </c>
      <c r="B304" s="2"/>
      <c r="C304" s="2">
        <f>A304-H304</f>
        <v>3</v>
      </c>
      <c r="D304" s="2"/>
      <c r="E304" s="2"/>
      <c r="F304" s="3"/>
      <c r="G304" s="8" t="s">
        <v>18</v>
      </c>
      <c r="H304" s="197">
        <v>27</v>
      </c>
      <c r="I304" s="197"/>
      <c r="J304" s="197"/>
    </row>
    <row r="305" spans="1:10" ht="13.5" customHeight="1">
      <c r="A305" s="198" t="s">
        <v>19</v>
      </c>
      <c r="B305" s="199"/>
      <c r="C305" s="200"/>
      <c r="D305" s="13" t="s">
        <v>20</v>
      </c>
      <c r="E305" s="14" t="s">
        <v>21</v>
      </c>
      <c r="F305" s="15"/>
      <c r="G305" s="16" t="s">
        <v>20</v>
      </c>
      <c r="H305" s="201"/>
      <c r="I305" s="202"/>
      <c r="J305" s="203"/>
    </row>
    <row r="306" spans="1:10" ht="13.5" customHeight="1">
      <c r="A306" s="17" t="s">
        <v>23</v>
      </c>
      <c r="B306" s="1"/>
      <c r="C306" s="1"/>
      <c r="D306" s="2">
        <v>30000</v>
      </c>
      <c r="E306" s="17" t="s">
        <v>24</v>
      </c>
      <c r="F306" s="1"/>
      <c r="G306" s="2" t="s">
        <v>25</v>
      </c>
      <c r="H306" s="18" t="s">
        <v>26</v>
      </c>
      <c r="I306" s="6"/>
      <c r="J306" s="19"/>
    </row>
    <row r="307" spans="1:10" ht="13.5" customHeight="1">
      <c r="A307" s="17" t="s">
        <v>109</v>
      </c>
      <c r="B307" s="209" t="s">
        <v>120</v>
      </c>
      <c r="C307" s="209"/>
      <c r="D307" s="2">
        <v>1000</v>
      </c>
      <c r="E307" s="17" t="s">
        <v>28</v>
      </c>
      <c r="F307" s="1"/>
      <c r="G307" s="2" t="s">
        <v>25</v>
      </c>
      <c r="H307" s="18" t="s">
        <v>29</v>
      </c>
      <c r="I307" s="6"/>
      <c r="J307" s="19"/>
    </row>
    <row r="308" spans="1:10" ht="13.5" customHeight="1">
      <c r="A308" s="17" t="s">
        <v>30</v>
      </c>
      <c r="B308" s="1"/>
      <c r="C308" s="1"/>
      <c r="D308" s="2">
        <v>2529</v>
      </c>
      <c r="E308" s="17" t="s">
        <v>58</v>
      </c>
      <c r="F308" s="1"/>
      <c r="G308" s="2" t="s">
        <v>25</v>
      </c>
      <c r="H308" s="18" t="s">
        <v>32</v>
      </c>
      <c r="I308" s="6"/>
      <c r="J308" s="19"/>
    </row>
    <row r="309" spans="1:10" ht="13.5" customHeight="1">
      <c r="A309" s="17" t="s">
        <v>34</v>
      </c>
      <c r="B309" s="1"/>
      <c r="C309" s="1"/>
      <c r="D309" s="2" t="s">
        <v>25</v>
      </c>
      <c r="E309" s="17" t="s">
        <v>71</v>
      </c>
      <c r="F309" s="1"/>
      <c r="G309" s="2">
        <v>3000</v>
      </c>
      <c r="H309" s="18"/>
      <c r="I309" s="6"/>
      <c r="J309" s="19"/>
    </row>
    <row r="310" spans="1:10" ht="13.5" customHeight="1">
      <c r="A310" s="17" t="s">
        <v>110</v>
      </c>
      <c r="B310" s="1"/>
      <c r="C310" s="1"/>
      <c r="D310" s="2" t="s">
        <v>25</v>
      </c>
      <c r="E310" s="17" t="s">
        <v>61</v>
      </c>
      <c r="F310" s="1"/>
      <c r="G310" s="2" t="s">
        <v>25</v>
      </c>
      <c r="H310" s="168" t="s">
        <v>135</v>
      </c>
      <c r="I310" s="6"/>
      <c r="J310" s="19"/>
    </row>
    <row r="311" spans="1:10" ht="13.5" customHeight="1">
      <c r="A311" s="17" t="s">
        <v>136</v>
      </c>
      <c r="B311" s="1"/>
      <c r="C311" s="1"/>
      <c r="D311" s="2" t="s">
        <v>25</v>
      </c>
      <c r="E311" s="17" t="s">
        <v>39</v>
      </c>
      <c r="F311" s="2"/>
      <c r="G311" s="2">
        <v>100</v>
      </c>
      <c r="H311" s="18"/>
      <c r="I311" s="6"/>
      <c r="J311" s="19"/>
    </row>
    <row r="312" spans="1:10" ht="13.5" customHeight="1">
      <c r="A312" s="18" t="s">
        <v>40</v>
      </c>
      <c r="B312" s="6"/>
      <c r="C312" s="6"/>
      <c r="D312" s="2" t="s">
        <v>25</v>
      </c>
      <c r="E312" s="17" t="s">
        <v>111</v>
      </c>
      <c r="F312" s="2">
        <v>3</v>
      </c>
      <c r="G312" s="2">
        <v>429</v>
      </c>
      <c r="H312" s="18"/>
      <c r="I312" s="6"/>
      <c r="J312" s="19"/>
    </row>
    <row r="313" spans="1:10" ht="13.5" customHeight="1">
      <c r="A313" s="204" t="s">
        <v>63</v>
      </c>
      <c r="B313" s="205"/>
      <c r="C313" s="206"/>
      <c r="D313" s="229">
        <f>SUM(D306:D312)</f>
        <v>33529</v>
      </c>
      <c r="E313" s="1" t="s">
        <v>43</v>
      </c>
      <c r="F313" s="1"/>
      <c r="G313" s="2" t="s">
        <v>25</v>
      </c>
      <c r="H313" s="18"/>
      <c r="I313" s="6"/>
      <c r="J313" s="19"/>
    </row>
    <row r="314" spans="1:10" ht="13.5" customHeight="1">
      <c r="A314" s="207"/>
      <c r="B314" s="197"/>
      <c r="C314" s="208"/>
      <c r="D314" s="230"/>
      <c r="E314" s="21" t="s">
        <v>21</v>
      </c>
      <c r="F314" s="22"/>
      <c r="G314" s="13">
        <f>SUM(G306:G313)</f>
        <v>3529</v>
      </c>
      <c r="H314" s="21" t="s">
        <v>44</v>
      </c>
      <c r="I314" s="22"/>
      <c r="J314" s="13">
        <f>D313-G314</f>
        <v>30000</v>
      </c>
    </row>
    <row r="315" spans="1:10" ht="13.5" customHeight="1">
      <c r="A315" s="3" t="s">
        <v>45</v>
      </c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3.5" customHeight="1">
      <c r="A317" s="3"/>
      <c r="B317" s="3" t="s">
        <v>47</v>
      </c>
      <c r="C317" s="3"/>
      <c r="D317" s="3"/>
      <c r="E317" s="3" t="s">
        <v>48</v>
      </c>
      <c r="F317" s="3"/>
      <c r="G317" s="3"/>
      <c r="H317" s="3" t="s">
        <v>49</v>
      </c>
      <c r="I317" s="3"/>
      <c r="J317" s="3"/>
    </row>
    <row r="318" spans="1:10" ht="13.5" customHeight="1">
      <c r="A318" s="184" t="s">
        <v>0</v>
      </c>
      <c r="B318" s="185"/>
      <c r="C318" s="185"/>
      <c r="D318" s="185"/>
      <c r="E318" s="185"/>
      <c r="F318" s="185"/>
      <c r="G318" s="185"/>
      <c r="H318" s="185"/>
      <c r="I318" s="185"/>
      <c r="J318" s="186"/>
    </row>
    <row r="319" spans="1:10" ht="13.5" customHeight="1">
      <c r="A319" s="187" t="s">
        <v>1</v>
      </c>
      <c r="B319" s="188"/>
      <c r="C319" s="188"/>
      <c r="D319" s="188"/>
      <c r="E319" s="188"/>
      <c r="F319" s="188"/>
      <c r="G319" s="188"/>
      <c r="H319" s="188"/>
      <c r="I319" s="188"/>
      <c r="J319" s="189"/>
    </row>
    <row r="320" spans="1:10" ht="13.5" customHeight="1">
      <c r="A320" s="1" t="s">
        <v>2</v>
      </c>
      <c r="B320" s="1"/>
      <c r="C320" s="190" t="s">
        <v>137</v>
      </c>
      <c r="D320" s="190"/>
      <c r="E320" s="2"/>
      <c r="F320" s="3"/>
      <c r="G320" s="1" t="s">
        <v>4</v>
      </c>
      <c r="H320" s="191" t="s">
        <v>107</v>
      </c>
      <c r="I320" s="191"/>
      <c r="J320" s="191"/>
    </row>
    <row r="321" spans="1:10" ht="13.5" customHeight="1">
      <c r="A321" s="1" t="s">
        <v>6</v>
      </c>
      <c r="B321" s="1"/>
      <c r="C321" s="192" t="s">
        <v>138</v>
      </c>
      <c r="D321" s="192"/>
      <c r="E321" s="2"/>
      <c r="F321" s="3"/>
      <c r="G321" s="1" t="s">
        <v>8</v>
      </c>
      <c r="H321" s="193" t="s">
        <v>9</v>
      </c>
      <c r="I321" s="193"/>
      <c r="J321" s="193"/>
    </row>
    <row r="322" spans="1:10" ht="13.5" customHeight="1">
      <c r="A322" s="6" t="s">
        <v>10</v>
      </c>
      <c r="B322" s="6"/>
      <c r="C322" s="6" t="s">
        <v>139</v>
      </c>
      <c r="D322" s="6"/>
      <c r="E322" s="2"/>
      <c r="F322" s="3"/>
      <c r="G322" s="1" t="s">
        <v>12</v>
      </c>
      <c r="H322" s="195" t="s">
        <v>13</v>
      </c>
      <c r="I322" s="195"/>
      <c r="J322" s="195"/>
    </row>
    <row r="323" spans="1:10" ht="13.5" customHeight="1">
      <c r="A323" s="2" t="s">
        <v>14</v>
      </c>
      <c r="B323" s="2"/>
      <c r="C323" s="1" t="s">
        <v>15</v>
      </c>
      <c r="D323" s="1"/>
      <c r="E323" s="2"/>
      <c r="F323" s="3"/>
      <c r="G323" s="1" t="s">
        <v>16</v>
      </c>
      <c r="H323" s="209" t="s">
        <v>140</v>
      </c>
      <c r="I323" s="209"/>
      <c r="J323" s="209"/>
    </row>
    <row r="324" spans="1:10" ht="13.5" customHeight="1">
      <c r="A324" s="2">
        <v>30</v>
      </c>
      <c r="B324" s="2"/>
      <c r="C324" s="2">
        <f>A324-H324</f>
        <v>1</v>
      </c>
      <c r="D324" s="2"/>
      <c r="E324" s="2"/>
      <c r="F324" s="3"/>
      <c r="G324" s="8" t="s">
        <v>18</v>
      </c>
      <c r="H324" s="197">
        <v>29</v>
      </c>
      <c r="I324" s="197"/>
      <c r="J324" s="197"/>
    </row>
    <row r="325" spans="1:10" ht="13.5" customHeight="1">
      <c r="A325" s="198" t="s">
        <v>19</v>
      </c>
      <c r="B325" s="199"/>
      <c r="C325" s="200"/>
      <c r="D325" s="13" t="s">
        <v>20</v>
      </c>
      <c r="E325" s="14" t="s">
        <v>21</v>
      </c>
      <c r="F325" s="15"/>
      <c r="G325" s="16" t="s">
        <v>20</v>
      </c>
      <c r="H325" s="201" t="s">
        <v>22</v>
      </c>
      <c r="I325" s="202"/>
      <c r="J325" s="203"/>
    </row>
    <row r="326" spans="1:10" ht="13.5" customHeight="1">
      <c r="A326" s="17" t="s">
        <v>23</v>
      </c>
      <c r="B326" s="1"/>
      <c r="C326" s="1"/>
      <c r="D326" s="2">
        <v>30000</v>
      </c>
      <c r="E326" s="17" t="s">
        <v>58</v>
      </c>
      <c r="F326" s="1"/>
      <c r="G326" s="2" t="s">
        <v>25</v>
      </c>
      <c r="H326" s="18" t="s">
        <v>26</v>
      </c>
      <c r="I326" s="23"/>
      <c r="J326" s="24"/>
    </row>
    <row r="327" spans="1:10" ht="13.5" customHeight="1">
      <c r="A327" s="17" t="s">
        <v>77</v>
      </c>
      <c r="B327" s="209"/>
      <c r="C327" s="209"/>
      <c r="D327" s="2" t="s">
        <v>25</v>
      </c>
      <c r="E327" s="17" t="s">
        <v>28</v>
      </c>
      <c r="F327" s="1"/>
      <c r="G327" s="2" t="s">
        <v>25</v>
      </c>
      <c r="H327" s="18" t="s">
        <v>29</v>
      </c>
      <c r="I327" s="23"/>
      <c r="J327" s="24"/>
    </row>
    <row r="328" spans="1:10" ht="13.5" customHeight="1">
      <c r="A328" s="17" t="s">
        <v>30</v>
      </c>
      <c r="B328" s="1"/>
      <c r="C328" s="1"/>
      <c r="D328" s="2">
        <v>14800</v>
      </c>
      <c r="E328" s="17" t="s">
        <v>141</v>
      </c>
      <c r="F328" s="1"/>
      <c r="G328" s="2">
        <v>800</v>
      </c>
      <c r="H328" s="18" t="s">
        <v>32</v>
      </c>
      <c r="I328" s="23"/>
      <c r="J328" s="24"/>
    </row>
    <row r="329" spans="1:10" ht="13.5" customHeight="1">
      <c r="A329" s="17" t="s">
        <v>36</v>
      </c>
      <c r="B329" s="1"/>
      <c r="C329" s="1"/>
      <c r="D329" s="2">
        <v>10000</v>
      </c>
      <c r="E329" s="17" t="s">
        <v>35</v>
      </c>
      <c r="F329" s="1"/>
      <c r="G329" s="2">
        <v>1000</v>
      </c>
      <c r="H329" s="18"/>
      <c r="I329" s="6"/>
      <c r="J329" s="19"/>
    </row>
    <row r="330" spans="1:10" ht="13.5" customHeight="1">
      <c r="A330" s="17" t="s">
        <v>78</v>
      </c>
      <c r="B330" s="1"/>
      <c r="C330" s="1"/>
      <c r="D330" s="2" t="s">
        <v>25</v>
      </c>
      <c r="E330" s="17" t="s">
        <v>61</v>
      </c>
      <c r="F330" s="1"/>
      <c r="G330" s="2" t="s">
        <v>25</v>
      </c>
      <c r="H330" s="18"/>
      <c r="I330" s="6"/>
      <c r="J330" s="19"/>
    </row>
    <row r="331" spans="1:10" ht="13.5" customHeight="1">
      <c r="A331" s="17" t="s">
        <v>136</v>
      </c>
      <c r="B331" s="1"/>
      <c r="C331" s="1"/>
      <c r="D331" s="2" t="s">
        <v>25</v>
      </c>
      <c r="E331" s="17" t="s">
        <v>39</v>
      </c>
      <c r="F331" s="1"/>
      <c r="G331" s="2" t="s">
        <v>25</v>
      </c>
      <c r="H331" s="18"/>
      <c r="I331" s="6"/>
      <c r="J331" s="19"/>
    </row>
    <row r="332" spans="1:10" ht="13.5" customHeight="1">
      <c r="A332" s="18" t="s">
        <v>40</v>
      </c>
      <c r="B332" s="6"/>
      <c r="C332" s="6"/>
      <c r="D332" s="2" t="s">
        <v>25</v>
      </c>
      <c r="E332" s="17" t="s">
        <v>78</v>
      </c>
      <c r="F332" s="1"/>
      <c r="G332" s="2" t="s">
        <v>25</v>
      </c>
      <c r="H332" s="18"/>
      <c r="I332" s="6"/>
      <c r="J332" s="19"/>
    </row>
    <row r="333" spans="1:10" ht="13.5" customHeight="1">
      <c r="A333" s="204" t="s">
        <v>63</v>
      </c>
      <c r="B333" s="205"/>
      <c r="C333" s="206"/>
      <c r="D333" s="229">
        <f>SUM(D326:D332)</f>
        <v>54800</v>
      </c>
      <c r="E333" s="1" t="s">
        <v>43</v>
      </c>
      <c r="F333" s="1"/>
      <c r="G333" s="2" t="s">
        <v>25</v>
      </c>
      <c r="H333" s="18"/>
      <c r="I333" s="6"/>
      <c r="J333" s="19"/>
    </row>
    <row r="334" spans="1:10" ht="13.5" customHeight="1">
      <c r="A334" s="207"/>
      <c r="B334" s="197"/>
      <c r="C334" s="208"/>
      <c r="D334" s="230"/>
      <c r="E334" s="21" t="s">
        <v>21</v>
      </c>
      <c r="F334" s="22"/>
      <c r="G334" s="13">
        <f>SUM(G326:G333)</f>
        <v>1800</v>
      </c>
      <c r="H334" s="21" t="s">
        <v>44</v>
      </c>
      <c r="I334" s="22"/>
      <c r="J334" s="13">
        <f>D333-G334</f>
        <v>53000</v>
      </c>
    </row>
    <row r="335" spans="1:10" ht="13.5" customHeight="1">
      <c r="A335" s="3" t="s">
        <v>45</v>
      </c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3.5" customHeight="1">
      <c r="A337" s="3"/>
      <c r="B337" s="3" t="s">
        <v>47</v>
      </c>
      <c r="C337" s="3"/>
      <c r="D337" s="3"/>
      <c r="E337" s="3" t="s">
        <v>48</v>
      </c>
      <c r="F337" s="3"/>
      <c r="G337" s="3"/>
      <c r="H337" s="3" t="s">
        <v>49</v>
      </c>
      <c r="I337" s="3"/>
      <c r="J337" s="3"/>
    </row>
    <row r="338" spans="1:10" ht="12.75" customHeight="1">
      <c r="A338" s="184" t="s">
        <v>0</v>
      </c>
      <c r="B338" s="185"/>
      <c r="C338" s="185"/>
      <c r="D338" s="185"/>
      <c r="E338" s="185"/>
      <c r="F338" s="185"/>
      <c r="G338" s="185"/>
      <c r="H338" s="185"/>
      <c r="I338" s="185"/>
      <c r="J338" s="186"/>
    </row>
    <row r="339" spans="1:10" ht="12.75" customHeight="1">
      <c r="A339" s="187" t="s">
        <v>1</v>
      </c>
      <c r="B339" s="188"/>
      <c r="C339" s="188"/>
      <c r="D339" s="188"/>
      <c r="E339" s="188"/>
      <c r="F339" s="188"/>
      <c r="G339" s="188"/>
      <c r="H339" s="188"/>
      <c r="I339" s="188"/>
      <c r="J339" s="189"/>
    </row>
    <row r="340" spans="1:10" ht="12.75" customHeight="1">
      <c r="A340" s="1" t="s">
        <v>2</v>
      </c>
      <c r="B340" s="1"/>
      <c r="C340" s="194" t="s">
        <v>142</v>
      </c>
      <c r="D340" s="194"/>
      <c r="E340" s="2"/>
      <c r="F340" s="3"/>
      <c r="G340" s="1" t="s">
        <v>4</v>
      </c>
      <c r="H340" s="209" t="s">
        <v>143</v>
      </c>
      <c r="I340" s="209"/>
      <c r="J340" s="209"/>
    </row>
    <row r="341" spans="1:10" ht="12.75" customHeight="1">
      <c r="A341" s="1" t="s">
        <v>6</v>
      </c>
      <c r="B341" s="1"/>
      <c r="C341" s="25" t="s">
        <v>144</v>
      </c>
      <c r="D341" s="25"/>
      <c r="E341" s="2"/>
      <c r="F341" s="3"/>
      <c r="G341" s="1" t="s">
        <v>8</v>
      </c>
      <c r="H341" s="193" t="s">
        <v>9</v>
      </c>
      <c r="I341" s="193"/>
      <c r="J341" s="193"/>
    </row>
    <row r="342" spans="1:10" ht="12.75" customHeight="1">
      <c r="A342" s="6" t="s">
        <v>10</v>
      </c>
      <c r="B342" s="6"/>
      <c r="C342" s="194" t="s">
        <v>145</v>
      </c>
      <c r="D342" s="194"/>
      <c r="E342" s="2"/>
      <c r="F342" s="3"/>
      <c r="G342" s="1" t="s">
        <v>12</v>
      </c>
      <c r="H342" s="195" t="s">
        <v>13</v>
      </c>
      <c r="I342" s="195"/>
      <c r="J342" s="195"/>
    </row>
    <row r="343" spans="1:10" ht="12.75" customHeight="1">
      <c r="A343" s="2" t="s">
        <v>14</v>
      </c>
      <c r="B343" s="2"/>
      <c r="C343" s="1" t="s">
        <v>15</v>
      </c>
      <c r="D343" s="1"/>
      <c r="E343" s="2"/>
      <c r="F343" s="3"/>
      <c r="G343" s="1" t="s">
        <v>16</v>
      </c>
      <c r="H343" s="209" t="s">
        <v>119</v>
      </c>
      <c r="I343" s="209"/>
      <c r="J343" s="209"/>
    </row>
    <row r="344" spans="1:10" ht="12.75" customHeight="1">
      <c r="A344" s="2">
        <v>30</v>
      </c>
      <c r="B344" s="2"/>
      <c r="C344" s="2">
        <f>A344-H344</f>
        <v>4</v>
      </c>
      <c r="D344" s="2"/>
      <c r="E344" s="2"/>
      <c r="F344" s="3"/>
      <c r="G344" s="8" t="s">
        <v>18</v>
      </c>
      <c r="H344" s="197">
        <v>26</v>
      </c>
      <c r="I344" s="197"/>
      <c r="J344" s="197"/>
    </row>
    <row r="345" spans="1:10" ht="12.75" customHeight="1">
      <c r="A345" s="198" t="s">
        <v>19</v>
      </c>
      <c r="B345" s="199"/>
      <c r="C345" s="200"/>
      <c r="D345" s="13" t="s">
        <v>20</v>
      </c>
      <c r="E345" s="14" t="s">
        <v>21</v>
      </c>
      <c r="F345" s="15"/>
      <c r="G345" s="16" t="s">
        <v>20</v>
      </c>
      <c r="H345" s="201" t="s">
        <v>22</v>
      </c>
      <c r="I345" s="202"/>
      <c r="J345" s="203"/>
    </row>
    <row r="346" spans="1:10" ht="12.75" customHeight="1">
      <c r="A346" s="17" t="s">
        <v>56</v>
      </c>
      <c r="B346" s="1"/>
      <c r="C346" s="1"/>
      <c r="D346" s="2">
        <v>60000</v>
      </c>
      <c r="E346" s="17" t="s">
        <v>24</v>
      </c>
      <c r="F346" s="1"/>
      <c r="G346" s="2" t="s">
        <v>25</v>
      </c>
      <c r="H346" s="18" t="s">
        <v>26</v>
      </c>
      <c r="I346" s="6"/>
      <c r="J346" s="19"/>
    </row>
    <row r="347" spans="1:10" ht="12.75" customHeight="1">
      <c r="A347" s="17" t="s">
        <v>57</v>
      </c>
      <c r="B347" s="209"/>
      <c r="C347" s="209"/>
      <c r="D347" s="2" t="s">
        <v>25</v>
      </c>
      <c r="E347" s="17" t="s">
        <v>28</v>
      </c>
      <c r="F347" s="1"/>
      <c r="G347" s="2" t="s">
        <v>25</v>
      </c>
      <c r="H347" s="18" t="s">
        <v>29</v>
      </c>
      <c r="I347" s="6"/>
      <c r="J347" s="19"/>
    </row>
    <row r="348" spans="1:10" ht="12.75" customHeight="1">
      <c r="A348" s="17" t="s">
        <v>30</v>
      </c>
      <c r="B348" s="1"/>
      <c r="C348" s="1"/>
      <c r="D348" s="2">
        <v>18100</v>
      </c>
      <c r="E348" s="17" t="s">
        <v>146</v>
      </c>
      <c r="F348" s="1"/>
      <c r="G348" s="2" t="s">
        <v>25</v>
      </c>
      <c r="H348" s="18" t="s">
        <v>32</v>
      </c>
      <c r="I348" s="6"/>
      <c r="J348" s="19"/>
    </row>
    <row r="349" spans="1:10" ht="12.75" customHeight="1">
      <c r="A349" s="17" t="s">
        <v>147</v>
      </c>
      <c r="B349" s="1"/>
      <c r="C349" s="1"/>
      <c r="D349" s="2" t="s">
        <v>25</v>
      </c>
      <c r="E349" s="17" t="s">
        <v>35</v>
      </c>
      <c r="F349" s="1"/>
      <c r="G349" s="2">
        <v>8000</v>
      </c>
      <c r="H349" s="18"/>
      <c r="I349" s="6"/>
      <c r="J349" s="19"/>
    </row>
    <row r="350" spans="1:10" ht="12.75" customHeight="1">
      <c r="A350" s="17" t="s">
        <v>148</v>
      </c>
      <c r="B350" s="6"/>
      <c r="C350" s="6"/>
      <c r="D350" s="2">
        <v>10000</v>
      </c>
      <c r="E350" s="17" t="s">
        <v>62</v>
      </c>
      <c r="F350" s="1"/>
      <c r="G350" s="2" t="s">
        <v>25</v>
      </c>
      <c r="H350" s="18"/>
      <c r="I350" s="6"/>
      <c r="J350" s="19"/>
    </row>
    <row r="351" spans="1:10" ht="12.75" customHeight="1">
      <c r="A351" s="17" t="s">
        <v>136</v>
      </c>
      <c r="B351" s="1"/>
      <c r="C351" s="1"/>
      <c r="D351" s="2" t="s">
        <v>25</v>
      </c>
      <c r="E351" s="17" t="s">
        <v>39</v>
      </c>
      <c r="F351" s="1"/>
      <c r="G351" s="2">
        <v>100</v>
      </c>
      <c r="H351" s="18"/>
      <c r="I351" s="6"/>
      <c r="J351" s="19"/>
    </row>
    <row r="352" spans="1:10" ht="12.75" customHeight="1">
      <c r="A352" s="18" t="s">
        <v>40</v>
      </c>
      <c r="B352" s="6"/>
      <c r="C352" s="6"/>
      <c r="D352" s="2" t="s">
        <v>25</v>
      </c>
      <c r="E352" s="17" t="s">
        <v>37</v>
      </c>
      <c r="F352" s="1"/>
      <c r="G352" s="2" t="s">
        <v>25</v>
      </c>
      <c r="H352" s="18"/>
      <c r="I352" s="6"/>
      <c r="J352" s="19"/>
    </row>
    <row r="353" spans="1:10" ht="12.75" customHeight="1">
      <c r="A353" s="204" t="s">
        <v>63</v>
      </c>
      <c r="B353" s="205"/>
      <c r="C353" s="206"/>
      <c r="D353" s="229">
        <f>SUM(D346:D352)</f>
        <v>88100</v>
      </c>
      <c r="E353" s="1" t="s">
        <v>43</v>
      </c>
      <c r="F353" s="1"/>
      <c r="G353" s="2" t="s">
        <v>25</v>
      </c>
      <c r="H353" s="18"/>
      <c r="I353" s="6"/>
      <c r="J353" s="19"/>
    </row>
    <row r="354" spans="1:10" ht="12.75" customHeight="1">
      <c r="A354" s="207"/>
      <c r="B354" s="197"/>
      <c r="C354" s="208"/>
      <c r="D354" s="230"/>
      <c r="E354" s="21" t="s">
        <v>21</v>
      </c>
      <c r="F354" s="22"/>
      <c r="G354" s="13">
        <f>SUM(G346:G353)</f>
        <v>8100</v>
      </c>
      <c r="H354" s="21" t="s">
        <v>44</v>
      </c>
      <c r="I354" s="22"/>
      <c r="J354" s="13">
        <f>D353-G354</f>
        <v>80000</v>
      </c>
    </row>
    <row r="355" spans="1:10" ht="12.75" customHeight="1">
      <c r="A355" s="3" t="s">
        <v>45</v>
      </c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2.75" customHeight="1">
      <c r="A357" s="3"/>
      <c r="B357" s="3" t="s">
        <v>47</v>
      </c>
      <c r="C357" s="3"/>
      <c r="D357" s="3"/>
      <c r="E357" s="3" t="s">
        <v>48</v>
      </c>
      <c r="F357" s="3"/>
      <c r="G357" s="3"/>
      <c r="H357" s="3" t="s">
        <v>49</v>
      </c>
      <c r="I357" s="3"/>
      <c r="J357" s="3"/>
    </row>
    <row r="358" spans="1:10" ht="12.75" customHeight="1">
      <c r="A358" s="184" t="s">
        <v>0</v>
      </c>
      <c r="B358" s="185"/>
      <c r="C358" s="185"/>
      <c r="D358" s="185"/>
      <c r="E358" s="185"/>
      <c r="F358" s="185"/>
      <c r="G358" s="185"/>
      <c r="H358" s="185"/>
      <c r="I358" s="185"/>
      <c r="J358" s="186"/>
    </row>
    <row r="359" spans="1:10" ht="12.75" customHeight="1">
      <c r="A359" s="187" t="s">
        <v>1</v>
      </c>
      <c r="B359" s="188"/>
      <c r="C359" s="188"/>
      <c r="D359" s="188"/>
      <c r="E359" s="188"/>
      <c r="F359" s="188"/>
      <c r="G359" s="188"/>
      <c r="H359" s="188"/>
      <c r="I359" s="188"/>
      <c r="J359" s="189"/>
    </row>
    <row r="360" spans="1:10" ht="12.75" customHeight="1">
      <c r="A360" s="1" t="s">
        <v>2</v>
      </c>
      <c r="B360" s="1"/>
      <c r="C360" s="194"/>
      <c r="D360" s="194"/>
      <c r="E360" s="2"/>
      <c r="F360" s="3"/>
      <c r="G360" s="1" t="s">
        <v>4</v>
      </c>
      <c r="H360" s="209" t="s">
        <v>143</v>
      </c>
      <c r="I360" s="209"/>
      <c r="J360" s="209"/>
    </row>
    <row r="361" spans="1:10" ht="12.75" customHeight="1">
      <c r="A361" s="1" t="s">
        <v>6</v>
      </c>
      <c r="B361" s="1"/>
      <c r="C361" s="25" t="s">
        <v>149</v>
      </c>
      <c r="D361" s="25"/>
      <c r="E361" s="2"/>
      <c r="F361" s="3"/>
      <c r="G361" s="1" t="s">
        <v>8</v>
      </c>
      <c r="H361" s="193" t="s">
        <v>9</v>
      </c>
      <c r="I361" s="193"/>
      <c r="J361" s="193"/>
    </row>
    <row r="362" spans="1:10" ht="12.75" customHeight="1">
      <c r="A362" s="6" t="s">
        <v>10</v>
      </c>
      <c r="B362" s="6"/>
      <c r="C362" s="6" t="s">
        <v>150</v>
      </c>
      <c r="D362" s="6"/>
      <c r="E362" s="2"/>
      <c r="F362" s="3"/>
      <c r="G362" s="1" t="s">
        <v>12</v>
      </c>
      <c r="H362" s="195" t="s">
        <v>13</v>
      </c>
      <c r="I362" s="195"/>
      <c r="J362" s="195"/>
    </row>
    <row r="363" spans="1:10" ht="12.75" customHeight="1">
      <c r="A363" s="2"/>
      <c r="B363" s="2"/>
      <c r="C363" s="2" t="s">
        <v>15</v>
      </c>
      <c r="D363" s="2"/>
      <c r="E363" s="2"/>
      <c r="F363" s="3"/>
      <c r="G363" s="1" t="s">
        <v>16</v>
      </c>
      <c r="H363" s="196" t="s">
        <v>151</v>
      </c>
      <c r="I363" s="196"/>
      <c r="J363" s="196"/>
    </row>
    <row r="364" spans="1:10" ht="12.75" customHeight="1">
      <c r="A364" s="2">
        <v>30</v>
      </c>
      <c r="B364" s="2"/>
      <c r="C364" s="2">
        <f>A364-I364</f>
        <v>1</v>
      </c>
      <c r="D364" s="2"/>
      <c r="E364" s="2"/>
      <c r="F364" s="3"/>
      <c r="G364" s="8" t="s">
        <v>18</v>
      </c>
      <c r="H364" s="8"/>
      <c r="I364" s="9">
        <v>29</v>
      </c>
      <c r="J364" s="9"/>
    </row>
    <row r="365" spans="1:10" ht="12.75" customHeight="1">
      <c r="A365" s="198" t="s">
        <v>19</v>
      </c>
      <c r="B365" s="199"/>
      <c r="C365" s="200"/>
      <c r="D365" s="13" t="s">
        <v>20</v>
      </c>
      <c r="E365" s="14" t="s">
        <v>21</v>
      </c>
      <c r="F365" s="15"/>
      <c r="G365" s="16" t="s">
        <v>20</v>
      </c>
      <c r="H365" s="201" t="s">
        <v>22</v>
      </c>
      <c r="I365" s="202"/>
      <c r="J365" s="203"/>
    </row>
    <row r="366" spans="1:10" ht="12.75" customHeight="1">
      <c r="A366" s="17" t="s">
        <v>23</v>
      </c>
      <c r="B366" s="1"/>
      <c r="C366" s="1"/>
      <c r="D366" s="2">
        <v>80000</v>
      </c>
      <c r="E366" s="17" t="s">
        <v>24</v>
      </c>
      <c r="F366" s="1"/>
      <c r="G366" s="2" t="s">
        <v>25</v>
      </c>
      <c r="H366" s="18" t="s">
        <v>26</v>
      </c>
      <c r="I366" s="6"/>
      <c r="J366" s="19"/>
    </row>
    <row r="367" spans="1:10" ht="12.75" customHeight="1">
      <c r="A367" s="17" t="s">
        <v>69</v>
      </c>
      <c r="B367" s="209"/>
      <c r="C367" s="209"/>
      <c r="D367" s="2" t="s">
        <v>25</v>
      </c>
      <c r="E367" s="17" t="s">
        <v>58</v>
      </c>
      <c r="F367" s="1"/>
      <c r="G367" s="2">
        <v>3809</v>
      </c>
      <c r="H367" s="18" t="s">
        <v>29</v>
      </c>
      <c r="I367" s="6"/>
      <c r="J367" s="19"/>
    </row>
    <row r="368" spans="1:10" ht="12.75" customHeight="1">
      <c r="A368" s="17" t="s">
        <v>30</v>
      </c>
      <c r="B368" s="1"/>
      <c r="C368" s="1"/>
      <c r="D368" s="2">
        <v>17836</v>
      </c>
      <c r="E368" s="17" t="s">
        <v>52</v>
      </c>
      <c r="F368" s="1"/>
      <c r="G368" s="2">
        <v>260</v>
      </c>
      <c r="H368" s="18" t="s">
        <v>32</v>
      </c>
      <c r="I368" s="6"/>
      <c r="J368" s="19"/>
    </row>
    <row r="369" spans="1:10" ht="12.75" customHeight="1">
      <c r="A369" s="17" t="s">
        <v>34</v>
      </c>
      <c r="B369" s="1"/>
      <c r="C369" s="1"/>
      <c r="D369" s="2" t="s">
        <v>25</v>
      </c>
      <c r="E369" s="17" t="s">
        <v>71</v>
      </c>
      <c r="F369" s="1"/>
      <c r="G369" s="2">
        <v>2667</v>
      </c>
      <c r="H369" s="18"/>
      <c r="I369" s="6"/>
      <c r="J369" s="19"/>
    </row>
    <row r="370" spans="1:10" ht="12.75" customHeight="1">
      <c r="A370" s="17" t="s">
        <v>72</v>
      </c>
      <c r="B370" s="1"/>
      <c r="C370" s="1"/>
      <c r="D370" s="2" t="s">
        <v>25</v>
      </c>
      <c r="E370" s="17" t="s">
        <v>61</v>
      </c>
      <c r="F370" s="1"/>
      <c r="G370" s="2" t="s">
        <v>25</v>
      </c>
      <c r="H370" s="18"/>
      <c r="I370" s="6"/>
      <c r="J370" s="19"/>
    </row>
    <row r="371" spans="1:10" ht="12.75" customHeight="1">
      <c r="A371" s="17" t="s">
        <v>136</v>
      </c>
      <c r="B371" s="1"/>
      <c r="C371" s="1"/>
      <c r="D371" s="2" t="s">
        <v>25</v>
      </c>
      <c r="E371" s="17" t="s">
        <v>39</v>
      </c>
      <c r="F371" s="1"/>
      <c r="G371" s="2">
        <v>100</v>
      </c>
      <c r="H371" s="228"/>
      <c r="I371" s="228"/>
      <c r="J371" s="228"/>
    </row>
    <row r="372" spans="1:10" ht="12.75" customHeight="1">
      <c r="A372" s="18" t="s">
        <v>40</v>
      </c>
      <c r="B372" s="6"/>
      <c r="C372" s="6"/>
      <c r="D372" s="2" t="s">
        <v>25</v>
      </c>
      <c r="E372" s="17" t="s">
        <v>62</v>
      </c>
      <c r="F372" s="2"/>
      <c r="G372" s="2" t="s">
        <v>25</v>
      </c>
      <c r="H372" s="18"/>
      <c r="I372" s="6"/>
      <c r="J372" s="19"/>
    </row>
    <row r="373" spans="1:10" ht="12.75" customHeight="1">
      <c r="A373" s="204" t="s">
        <v>63</v>
      </c>
      <c r="B373" s="205"/>
      <c r="C373" s="206"/>
      <c r="D373" s="229">
        <f>SUM(D366:D372)</f>
        <v>97836</v>
      </c>
      <c r="E373" s="1" t="s">
        <v>43</v>
      </c>
      <c r="F373" s="1"/>
      <c r="G373" s="2" t="s">
        <v>25</v>
      </c>
      <c r="H373" s="18"/>
      <c r="I373" s="6"/>
      <c r="J373" s="19"/>
    </row>
    <row r="374" spans="1:10" ht="12.75" customHeight="1">
      <c r="A374" s="207"/>
      <c r="B374" s="197"/>
      <c r="C374" s="208"/>
      <c r="D374" s="230"/>
      <c r="E374" s="21" t="s">
        <v>21</v>
      </c>
      <c r="F374" s="22"/>
      <c r="G374" s="13">
        <f>SUM(G366:G373)</f>
        <v>6836</v>
      </c>
      <c r="H374" s="21" t="s">
        <v>44</v>
      </c>
      <c r="I374" s="22"/>
      <c r="J374" s="13">
        <f>D373-G374</f>
        <v>91000</v>
      </c>
    </row>
    <row r="375" spans="1:10" ht="12.75" customHeight="1">
      <c r="A375" s="3" t="s">
        <v>45</v>
      </c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2.75" customHeight="1">
      <c r="A377" s="3"/>
      <c r="B377" s="3" t="s">
        <v>47</v>
      </c>
      <c r="C377" s="3"/>
      <c r="D377" s="3" t="s">
        <v>73</v>
      </c>
      <c r="E377" s="3" t="s">
        <v>48</v>
      </c>
      <c r="F377" s="3"/>
      <c r="G377" s="3"/>
      <c r="H377" s="3" t="s">
        <v>49</v>
      </c>
      <c r="I377" s="3"/>
      <c r="J377" s="3"/>
    </row>
    <row r="378" spans="1:10" ht="12.75" customHeight="1">
      <c r="A378" s="184" t="s">
        <v>0</v>
      </c>
      <c r="B378" s="185"/>
      <c r="C378" s="185"/>
      <c r="D378" s="185"/>
      <c r="E378" s="185"/>
      <c r="F378" s="185"/>
      <c r="G378" s="185"/>
      <c r="H378" s="185"/>
      <c r="I378" s="185"/>
      <c r="J378" s="186"/>
    </row>
    <row r="379" spans="1:10" ht="12.75" customHeight="1">
      <c r="A379" s="187" t="s">
        <v>1</v>
      </c>
      <c r="B379" s="188"/>
      <c r="C379" s="188"/>
      <c r="D379" s="188"/>
      <c r="E379" s="188"/>
      <c r="F379" s="188"/>
      <c r="G379" s="188"/>
      <c r="H379" s="188"/>
      <c r="I379" s="188"/>
      <c r="J379" s="189"/>
    </row>
    <row r="380" spans="1:10" ht="12.75" customHeight="1">
      <c r="A380" s="1" t="s">
        <v>2</v>
      </c>
      <c r="B380" s="1"/>
      <c r="C380" s="190" t="s">
        <v>152</v>
      </c>
      <c r="D380" s="190"/>
      <c r="E380" s="2"/>
      <c r="F380" s="3"/>
      <c r="G380" s="1" t="s">
        <v>4</v>
      </c>
      <c r="H380" s="191" t="s">
        <v>143</v>
      </c>
      <c r="I380" s="191"/>
      <c r="J380" s="191"/>
    </row>
    <row r="381" spans="1:10" ht="12.75" customHeight="1">
      <c r="A381" s="1" t="s">
        <v>6</v>
      </c>
      <c r="B381" s="1"/>
      <c r="C381" s="25" t="s">
        <v>153</v>
      </c>
      <c r="D381" s="25"/>
      <c r="E381" s="2"/>
      <c r="F381" s="3"/>
      <c r="G381" s="1" t="s">
        <v>8</v>
      </c>
      <c r="H381" s="193" t="s">
        <v>9</v>
      </c>
      <c r="I381" s="193"/>
      <c r="J381" s="193"/>
    </row>
    <row r="382" spans="1:10" ht="12.75" customHeight="1">
      <c r="A382" s="6" t="s">
        <v>10</v>
      </c>
      <c r="B382" s="6"/>
      <c r="C382" s="194" t="s">
        <v>150</v>
      </c>
      <c r="D382" s="194"/>
      <c r="E382" s="2"/>
      <c r="F382" s="3"/>
      <c r="G382" s="1" t="s">
        <v>12</v>
      </c>
      <c r="H382" s="195" t="s">
        <v>13</v>
      </c>
      <c r="I382" s="195"/>
      <c r="J382" s="195"/>
    </row>
    <row r="383" spans="1:10" ht="12.75" customHeight="1">
      <c r="A383" s="2"/>
      <c r="B383" s="2"/>
      <c r="C383" s="2" t="s">
        <v>15</v>
      </c>
      <c r="D383" s="2"/>
      <c r="E383" s="2"/>
      <c r="F383" s="3"/>
      <c r="G383" s="1" t="s">
        <v>16</v>
      </c>
      <c r="H383" s="196" t="s">
        <v>154</v>
      </c>
      <c r="I383" s="196"/>
      <c r="J383" s="196"/>
    </row>
    <row r="384" spans="1:10" ht="12.75" customHeight="1">
      <c r="A384" s="2">
        <v>30</v>
      </c>
      <c r="B384" s="2"/>
      <c r="C384" s="2">
        <f>A384-I384</f>
        <v>0</v>
      </c>
      <c r="D384" s="2"/>
      <c r="E384" s="2"/>
      <c r="F384" s="3"/>
      <c r="G384" s="8" t="s">
        <v>18</v>
      </c>
      <c r="H384" s="8"/>
      <c r="I384" s="9">
        <v>30</v>
      </c>
      <c r="J384" s="9"/>
    </row>
    <row r="385" spans="1:10" ht="12.75" customHeight="1">
      <c r="A385" s="198" t="s">
        <v>19</v>
      </c>
      <c r="B385" s="199"/>
      <c r="C385" s="200"/>
      <c r="D385" s="13" t="s">
        <v>20</v>
      </c>
      <c r="E385" s="14" t="s">
        <v>21</v>
      </c>
      <c r="F385" s="15"/>
      <c r="G385" s="16" t="s">
        <v>20</v>
      </c>
      <c r="H385" s="201" t="s">
        <v>22</v>
      </c>
      <c r="I385" s="202"/>
      <c r="J385" s="203"/>
    </row>
    <row r="386" spans="1:10" ht="12.75" customHeight="1">
      <c r="A386" s="17" t="s">
        <v>23</v>
      </c>
      <c r="B386" s="1"/>
      <c r="C386" s="1"/>
      <c r="D386" s="2">
        <v>70000</v>
      </c>
      <c r="E386" s="17" t="s">
        <v>24</v>
      </c>
      <c r="F386" s="1"/>
      <c r="G386" s="2" t="s">
        <v>25</v>
      </c>
      <c r="H386" s="18" t="s">
        <v>26</v>
      </c>
      <c r="I386" s="6"/>
      <c r="J386" s="19"/>
    </row>
    <row r="387" spans="1:10" ht="12.75" customHeight="1">
      <c r="A387" s="17" t="s">
        <v>69</v>
      </c>
      <c r="B387" s="209" t="s">
        <v>155</v>
      </c>
      <c r="C387" s="209"/>
      <c r="D387" s="2">
        <v>9722</v>
      </c>
      <c r="E387" s="17" t="s">
        <v>156</v>
      </c>
      <c r="F387" s="1"/>
      <c r="G387" s="2" t="s">
        <v>25</v>
      </c>
      <c r="H387" s="18" t="s">
        <v>29</v>
      </c>
      <c r="I387" s="6"/>
      <c r="J387" s="19"/>
    </row>
    <row r="388" spans="1:10" ht="12.75" customHeight="1">
      <c r="A388" s="17" t="s">
        <v>30</v>
      </c>
      <c r="B388" s="1"/>
      <c r="C388" s="1"/>
      <c r="D388" s="2">
        <v>378</v>
      </c>
      <c r="E388" s="17" t="s">
        <v>70</v>
      </c>
      <c r="F388" s="1"/>
      <c r="G388" s="2" t="s">
        <v>25</v>
      </c>
      <c r="H388" s="18" t="s">
        <v>32</v>
      </c>
      <c r="I388" s="6"/>
      <c r="J388" s="19"/>
    </row>
    <row r="389" spans="1:10" ht="12.75" customHeight="1">
      <c r="A389" s="17" t="s">
        <v>34</v>
      </c>
      <c r="B389" s="1"/>
      <c r="C389" s="1"/>
      <c r="D389" s="2" t="s">
        <v>25</v>
      </c>
      <c r="E389" s="17" t="s">
        <v>71</v>
      </c>
      <c r="F389" s="1"/>
      <c r="G389" s="2" t="s">
        <v>25</v>
      </c>
      <c r="H389" s="18"/>
      <c r="I389" s="6"/>
      <c r="J389" s="19"/>
    </row>
    <row r="390" spans="1:10" ht="12.75" customHeight="1">
      <c r="A390" s="17" t="s">
        <v>72</v>
      </c>
      <c r="B390" s="1"/>
      <c r="C390" s="1"/>
      <c r="D390" s="2" t="s">
        <v>25</v>
      </c>
      <c r="E390" s="17" t="s">
        <v>61</v>
      </c>
      <c r="F390" s="1"/>
      <c r="G390" s="2" t="s">
        <v>25</v>
      </c>
      <c r="H390" s="211" t="s">
        <v>157</v>
      </c>
      <c r="I390" s="194"/>
      <c r="J390" s="212"/>
    </row>
    <row r="391" spans="1:10" ht="12.75" customHeight="1">
      <c r="A391" s="17" t="s">
        <v>136</v>
      </c>
      <c r="B391" s="1"/>
      <c r="C391" s="1"/>
      <c r="D391" s="2" t="s">
        <v>25</v>
      </c>
      <c r="E391" s="17" t="s">
        <v>39</v>
      </c>
      <c r="F391" s="1"/>
      <c r="G391" s="2">
        <v>100</v>
      </c>
      <c r="H391" s="18"/>
      <c r="I391" s="6"/>
      <c r="J391" s="19"/>
    </row>
    <row r="392" spans="1:10" ht="12.75" customHeight="1">
      <c r="A392" s="18" t="s">
        <v>40</v>
      </c>
      <c r="B392" s="6"/>
      <c r="C392" s="6"/>
      <c r="D392" s="2" t="s">
        <v>25</v>
      </c>
      <c r="E392" s="17" t="s">
        <v>62</v>
      </c>
      <c r="F392" s="1"/>
      <c r="G392" s="2" t="s">
        <v>25</v>
      </c>
      <c r="H392" s="18"/>
      <c r="I392" s="6"/>
      <c r="J392" s="19"/>
    </row>
    <row r="393" spans="1:10" ht="12.75" customHeight="1">
      <c r="A393" s="204" t="s">
        <v>63</v>
      </c>
      <c r="B393" s="205"/>
      <c r="C393" s="206"/>
      <c r="D393" s="229">
        <f>SUM(D386:D392)</f>
        <v>80100</v>
      </c>
      <c r="E393" s="1" t="s">
        <v>43</v>
      </c>
      <c r="F393" s="1"/>
      <c r="G393" s="2" t="s">
        <v>25</v>
      </c>
      <c r="H393" s="18"/>
      <c r="I393" s="6"/>
      <c r="J393" s="19"/>
    </row>
    <row r="394" spans="1:10" ht="12.75" customHeight="1">
      <c r="A394" s="207"/>
      <c r="B394" s="197"/>
      <c r="C394" s="208"/>
      <c r="D394" s="230"/>
      <c r="E394" s="21" t="s">
        <v>21</v>
      </c>
      <c r="F394" s="22"/>
      <c r="G394" s="13">
        <f>SUM(G386:G393)</f>
        <v>100</v>
      </c>
      <c r="H394" s="21" t="s">
        <v>44</v>
      </c>
      <c r="I394" s="22"/>
      <c r="J394" s="13">
        <f>D393-G394</f>
        <v>80000</v>
      </c>
    </row>
    <row r="395" spans="1:10" ht="12.75" customHeight="1">
      <c r="A395" s="2"/>
      <c r="B395" s="2"/>
      <c r="C395" s="2"/>
      <c r="D395" s="2"/>
      <c r="E395" s="1"/>
      <c r="F395" s="1"/>
      <c r="G395" s="2"/>
      <c r="H395" s="1"/>
      <c r="I395" s="1"/>
      <c r="J395" s="2"/>
    </row>
    <row r="396" spans="1:10" ht="12.75" customHeight="1">
      <c r="A396" s="3" t="s">
        <v>45</v>
      </c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2.75" customHeight="1">
      <c r="A397" s="3"/>
      <c r="B397" s="3" t="s">
        <v>47</v>
      </c>
      <c r="C397" s="3"/>
      <c r="D397" s="3" t="s">
        <v>73</v>
      </c>
      <c r="E397" s="3" t="s">
        <v>48</v>
      </c>
      <c r="F397" s="3"/>
      <c r="G397" s="3"/>
      <c r="H397" s="3" t="s">
        <v>49</v>
      </c>
      <c r="I397" s="3"/>
      <c r="J397" s="3"/>
    </row>
    <row r="398" spans="1:10" ht="13.5" customHeight="1">
      <c r="A398" s="184" t="s">
        <v>0</v>
      </c>
      <c r="B398" s="185"/>
      <c r="C398" s="185"/>
      <c r="D398" s="185"/>
      <c r="E398" s="185"/>
      <c r="F398" s="185"/>
      <c r="G398" s="185"/>
      <c r="H398" s="185"/>
      <c r="I398" s="185"/>
      <c r="J398" s="186"/>
    </row>
    <row r="399" spans="1:10" ht="13.5" customHeight="1">
      <c r="A399" s="187" t="s">
        <v>1</v>
      </c>
      <c r="B399" s="188"/>
      <c r="C399" s="188"/>
      <c r="D399" s="188"/>
      <c r="E399" s="188"/>
      <c r="F399" s="188"/>
      <c r="G399" s="188"/>
      <c r="H399" s="188"/>
      <c r="I399" s="188"/>
      <c r="J399" s="189"/>
    </row>
    <row r="400" spans="1:10" ht="13.5" customHeight="1">
      <c r="A400" s="1" t="s">
        <v>2</v>
      </c>
      <c r="B400" s="1"/>
      <c r="C400" s="191" t="s">
        <v>158</v>
      </c>
      <c r="D400" s="191"/>
      <c r="E400" s="2"/>
      <c r="F400" s="3"/>
      <c r="G400" s="1" t="s">
        <v>4</v>
      </c>
      <c r="H400" s="191" t="s">
        <v>143</v>
      </c>
      <c r="I400" s="191"/>
      <c r="J400" s="191"/>
    </row>
    <row r="401" spans="1:10" ht="13.5" customHeight="1">
      <c r="A401" s="1" t="s">
        <v>6</v>
      </c>
      <c r="B401" s="1"/>
      <c r="C401" s="192" t="s">
        <v>159</v>
      </c>
      <c r="D401" s="192"/>
      <c r="E401" s="2"/>
      <c r="F401" s="3"/>
      <c r="G401" s="1" t="s">
        <v>8</v>
      </c>
      <c r="H401" s="193" t="s">
        <v>9</v>
      </c>
      <c r="I401" s="193"/>
      <c r="J401" s="193"/>
    </row>
    <row r="402" spans="1:10" ht="13.5" customHeight="1">
      <c r="A402" s="6" t="s">
        <v>10</v>
      </c>
      <c r="B402" s="6"/>
      <c r="C402" s="194" t="s">
        <v>160</v>
      </c>
      <c r="D402" s="194"/>
      <c r="E402" s="2"/>
      <c r="F402" s="3"/>
      <c r="G402" s="1" t="s">
        <v>12</v>
      </c>
      <c r="H402" s="195" t="s">
        <v>13</v>
      </c>
      <c r="I402" s="195"/>
      <c r="J402" s="195"/>
    </row>
    <row r="403" spans="1:10" ht="13.5" customHeight="1">
      <c r="A403" s="2" t="s">
        <v>14</v>
      </c>
      <c r="B403" s="2"/>
      <c r="C403" s="1" t="s">
        <v>15</v>
      </c>
      <c r="D403" s="1"/>
      <c r="E403" s="2"/>
      <c r="F403" s="3"/>
      <c r="G403" s="1" t="s">
        <v>16</v>
      </c>
      <c r="H403" s="209" t="s">
        <v>68</v>
      </c>
      <c r="I403" s="209"/>
      <c r="J403" s="209"/>
    </row>
    <row r="404" spans="1:10" ht="13.5" customHeight="1">
      <c r="A404" s="2">
        <v>30</v>
      </c>
      <c r="B404" s="2"/>
      <c r="C404" s="2">
        <f>A404-H404</f>
        <v>4</v>
      </c>
      <c r="D404" s="2"/>
      <c r="E404" s="2"/>
      <c r="F404" s="3"/>
      <c r="G404" s="8" t="s">
        <v>18</v>
      </c>
      <c r="H404" s="197">
        <v>26</v>
      </c>
      <c r="I404" s="197"/>
      <c r="J404" s="197"/>
    </row>
    <row r="405" spans="1:10" ht="13.5" customHeight="1">
      <c r="A405" s="198" t="s">
        <v>19</v>
      </c>
      <c r="B405" s="199"/>
      <c r="C405" s="200"/>
      <c r="D405" s="13" t="s">
        <v>20</v>
      </c>
      <c r="E405" s="14" t="s">
        <v>21</v>
      </c>
      <c r="F405" s="15"/>
      <c r="G405" s="16" t="s">
        <v>20</v>
      </c>
      <c r="H405" s="201" t="s">
        <v>22</v>
      </c>
      <c r="I405" s="202"/>
      <c r="J405" s="203"/>
    </row>
    <row r="406" spans="1:10" ht="13.5" customHeight="1">
      <c r="A406" s="17" t="s">
        <v>56</v>
      </c>
      <c r="B406" s="1"/>
      <c r="C406" s="1"/>
      <c r="D406" s="2">
        <v>40000</v>
      </c>
      <c r="E406" s="17" t="s">
        <v>24</v>
      </c>
      <c r="F406" s="1"/>
      <c r="G406" s="2" t="s">
        <v>25</v>
      </c>
      <c r="H406" s="18" t="s">
        <v>26</v>
      </c>
      <c r="I406" s="23"/>
      <c r="J406" s="24"/>
    </row>
    <row r="407" spans="1:10" ht="13.5" customHeight="1">
      <c r="A407" s="17" t="s">
        <v>77</v>
      </c>
      <c r="B407" s="209"/>
      <c r="C407" s="209"/>
      <c r="D407" s="2" t="s">
        <v>25</v>
      </c>
      <c r="E407" s="17" t="s">
        <v>28</v>
      </c>
      <c r="F407" s="1"/>
      <c r="G407" s="2" t="s">
        <v>25</v>
      </c>
      <c r="H407" s="18" t="s">
        <v>29</v>
      </c>
      <c r="I407" s="23"/>
      <c r="J407" s="24"/>
    </row>
    <row r="408" spans="1:10" ht="13.5" customHeight="1">
      <c r="A408" s="17" t="s">
        <v>30</v>
      </c>
      <c r="B408" s="1"/>
      <c r="C408" s="1"/>
      <c r="D408" s="2">
        <v>29100</v>
      </c>
      <c r="E408" s="17" t="s">
        <v>40</v>
      </c>
      <c r="F408" s="1"/>
      <c r="G408" s="2" t="s">
        <v>25</v>
      </c>
      <c r="H408" s="18" t="s">
        <v>32</v>
      </c>
      <c r="I408" s="23"/>
      <c r="J408" s="24"/>
    </row>
    <row r="409" spans="1:10" ht="13.5" customHeight="1">
      <c r="A409" s="17" t="s">
        <v>27</v>
      </c>
      <c r="B409" s="1"/>
      <c r="C409" s="1"/>
      <c r="D409" s="2" t="s">
        <v>25</v>
      </c>
      <c r="E409" s="17" t="s">
        <v>35</v>
      </c>
      <c r="F409" s="1"/>
      <c r="G409" s="2">
        <v>5333</v>
      </c>
      <c r="H409" s="18"/>
      <c r="I409" s="6"/>
      <c r="J409" s="19"/>
    </row>
    <row r="410" spans="1:10" ht="13.5" customHeight="1">
      <c r="A410" s="17" t="s">
        <v>147</v>
      </c>
      <c r="B410" s="1"/>
      <c r="C410" s="1"/>
      <c r="D410" s="2" t="s">
        <v>25</v>
      </c>
      <c r="E410" s="17" t="s">
        <v>61</v>
      </c>
      <c r="F410" s="1"/>
      <c r="G410" s="2" t="s">
        <v>25</v>
      </c>
      <c r="H410" s="18"/>
      <c r="I410" s="6"/>
      <c r="J410" s="19"/>
    </row>
    <row r="411" spans="1:10" ht="13.5" customHeight="1">
      <c r="A411" s="17" t="s">
        <v>136</v>
      </c>
      <c r="B411" s="1"/>
      <c r="C411" s="1"/>
      <c r="D411" s="2" t="s">
        <v>25</v>
      </c>
      <c r="E411" s="17" t="s">
        <v>39</v>
      </c>
      <c r="F411" s="1"/>
      <c r="G411" s="2">
        <v>100</v>
      </c>
      <c r="H411" s="18"/>
      <c r="I411" s="6"/>
      <c r="J411" s="19"/>
    </row>
    <row r="412" spans="1:10" ht="13.5" customHeight="1">
      <c r="A412" s="18" t="s">
        <v>40</v>
      </c>
      <c r="B412" s="6"/>
      <c r="C412" s="6"/>
      <c r="D412" s="2" t="s">
        <v>25</v>
      </c>
      <c r="E412" s="17" t="s">
        <v>161</v>
      </c>
      <c r="F412" s="2">
        <v>10</v>
      </c>
      <c r="G412" s="2">
        <v>1667</v>
      </c>
      <c r="H412" s="18"/>
      <c r="I412" s="6"/>
      <c r="J412" s="19"/>
    </row>
    <row r="413" spans="1:10" ht="13.5" customHeight="1">
      <c r="A413" s="204" t="s">
        <v>63</v>
      </c>
      <c r="B413" s="205"/>
      <c r="C413" s="206"/>
      <c r="D413" s="229">
        <f>SUM(D406:D412)</f>
        <v>69100</v>
      </c>
      <c r="E413" s="1" t="s">
        <v>43</v>
      </c>
      <c r="F413" s="1"/>
      <c r="G413" s="2" t="s">
        <v>25</v>
      </c>
      <c r="H413" s="18"/>
      <c r="I413" s="6"/>
      <c r="J413" s="19"/>
    </row>
    <row r="414" spans="1:10" ht="13.5" customHeight="1">
      <c r="A414" s="207"/>
      <c r="B414" s="197"/>
      <c r="C414" s="208"/>
      <c r="D414" s="230"/>
      <c r="E414" s="21" t="s">
        <v>21</v>
      </c>
      <c r="F414" s="22"/>
      <c r="G414" s="13">
        <f>SUM(G406:G413)</f>
        <v>7100</v>
      </c>
      <c r="H414" s="21" t="s">
        <v>44</v>
      </c>
      <c r="I414" s="22"/>
      <c r="J414" s="13">
        <f>D413-G414</f>
        <v>62000</v>
      </c>
    </row>
    <row r="415" spans="1:10" ht="13.5" customHeight="1">
      <c r="A415" s="3" t="s">
        <v>45</v>
      </c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3.5" customHeight="1">
      <c r="A417" s="3"/>
      <c r="B417" s="3" t="s">
        <v>47</v>
      </c>
      <c r="C417" s="3"/>
      <c r="D417" s="3"/>
      <c r="E417" s="3" t="s">
        <v>48</v>
      </c>
      <c r="F417" s="3"/>
      <c r="G417" s="3"/>
      <c r="H417" s="3" t="s">
        <v>49</v>
      </c>
      <c r="I417" s="3"/>
      <c r="J417" s="3"/>
    </row>
    <row r="418" spans="1:10" ht="13.5" customHeight="1">
      <c r="A418" s="184" t="s">
        <v>0</v>
      </c>
      <c r="B418" s="185"/>
      <c r="C418" s="185"/>
      <c r="D418" s="185"/>
      <c r="E418" s="185"/>
      <c r="F418" s="185"/>
      <c r="G418" s="185"/>
      <c r="H418" s="185"/>
      <c r="I418" s="185"/>
      <c r="J418" s="186"/>
    </row>
    <row r="419" spans="1:10" ht="13.5" customHeight="1">
      <c r="A419" s="187" t="s">
        <v>1</v>
      </c>
      <c r="B419" s="188"/>
      <c r="C419" s="188"/>
      <c r="D419" s="188"/>
      <c r="E419" s="188"/>
      <c r="F419" s="188"/>
      <c r="G419" s="188"/>
      <c r="H419" s="188"/>
      <c r="I419" s="188"/>
      <c r="J419" s="189"/>
    </row>
    <row r="420" spans="1:10" ht="13.5" customHeight="1">
      <c r="A420" s="1" t="s">
        <v>2</v>
      </c>
      <c r="B420" s="1"/>
      <c r="C420" s="190" t="s">
        <v>162</v>
      </c>
      <c r="D420" s="190"/>
      <c r="E420" s="2"/>
      <c r="F420" s="3"/>
      <c r="G420" s="1" t="s">
        <v>4</v>
      </c>
      <c r="H420" s="191" t="s">
        <v>143</v>
      </c>
      <c r="I420" s="191"/>
      <c r="J420" s="191"/>
    </row>
    <row r="421" spans="1:10" ht="13.5" customHeight="1">
      <c r="A421" s="1" t="s">
        <v>6</v>
      </c>
      <c r="B421" s="1"/>
      <c r="C421" s="25" t="s">
        <v>163</v>
      </c>
      <c r="D421" s="25"/>
      <c r="E421" s="2"/>
      <c r="F421" s="3"/>
      <c r="G421" s="1" t="s">
        <v>8</v>
      </c>
      <c r="H421" s="193" t="s">
        <v>9</v>
      </c>
      <c r="I421" s="193"/>
      <c r="J421" s="193"/>
    </row>
    <row r="422" spans="1:10" ht="13.5" customHeight="1">
      <c r="A422" s="6" t="s">
        <v>10</v>
      </c>
      <c r="B422" s="6"/>
      <c r="C422" s="194" t="s">
        <v>164</v>
      </c>
      <c r="D422" s="194"/>
      <c r="E422" s="2"/>
      <c r="F422" s="3"/>
      <c r="G422" s="1" t="s">
        <v>12</v>
      </c>
      <c r="H422" s="195" t="s">
        <v>13</v>
      </c>
      <c r="I422" s="195"/>
      <c r="J422" s="195"/>
    </row>
    <row r="423" spans="1:10" ht="13.5" customHeight="1">
      <c r="A423" s="2" t="s">
        <v>14</v>
      </c>
      <c r="B423" s="2"/>
      <c r="C423" s="1" t="s">
        <v>15</v>
      </c>
      <c r="D423" s="1"/>
      <c r="E423" s="2"/>
      <c r="F423" s="3"/>
      <c r="G423" s="1" t="s">
        <v>16</v>
      </c>
      <c r="H423" s="209" t="s">
        <v>101</v>
      </c>
      <c r="I423" s="209"/>
      <c r="J423" s="209"/>
    </row>
    <row r="424" spans="1:10" ht="13.5" customHeight="1">
      <c r="A424" s="2">
        <v>30</v>
      </c>
      <c r="B424" s="2"/>
      <c r="C424" s="2">
        <f>A424-H424</f>
        <v>0</v>
      </c>
      <c r="D424" s="2"/>
      <c r="E424" s="2"/>
      <c r="F424" s="3"/>
      <c r="G424" s="8" t="s">
        <v>18</v>
      </c>
      <c r="H424" s="197">
        <v>30</v>
      </c>
      <c r="I424" s="197"/>
      <c r="J424" s="197"/>
    </row>
    <row r="425" spans="1:10" ht="13.5" customHeight="1">
      <c r="A425" s="198" t="s">
        <v>19</v>
      </c>
      <c r="B425" s="199"/>
      <c r="C425" s="200"/>
      <c r="D425" s="13" t="s">
        <v>20</v>
      </c>
      <c r="E425" s="14" t="s">
        <v>21</v>
      </c>
      <c r="F425" s="15"/>
      <c r="G425" s="16" t="s">
        <v>20</v>
      </c>
      <c r="H425" s="201" t="s">
        <v>22</v>
      </c>
      <c r="I425" s="202"/>
      <c r="J425" s="203"/>
    </row>
    <row r="426" spans="1:10" ht="13.5" customHeight="1">
      <c r="A426" s="17" t="s">
        <v>56</v>
      </c>
      <c r="B426" s="1"/>
      <c r="C426" s="1"/>
      <c r="D426" s="2">
        <v>50000</v>
      </c>
      <c r="E426" s="17" t="s">
        <v>24</v>
      </c>
      <c r="F426" s="1"/>
      <c r="G426" s="2" t="s">
        <v>25</v>
      </c>
      <c r="H426" s="18" t="s">
        <v>26</v>
      </c>
      <c r="I426" s="23"/>
      <c r="J426" s="24"/>
    </row>
    <row r="427" spans="1:10" ht="13.5" customHeight="1">
      <c r="A427" s="17" t="s">
        <v>77</v>
      </c>
      <c r="B427" s="209"/>
      <c r="C427" s="209"/>
      <c r="D427" s="2" t="s">
        <v>25</v>
      </c>
      <c r="E427" s="17" t="s">
        <v>28</v>
      </c>
      <c r="F427" s="1"/>
      <c r="G427" s="2" t="s">
        <v>25</v>
      </c>
      <c r="H427" s="18" t="s">
        <v>29</v>
      </c>
      <c r="I427" s="23"/>
      <c r="J427" s="24"/>
    </row>
    <row r="428" spans="1:10" ht="13.5" customHeight="1">
      <c r="A428" s="17" t="s">
        <v>30</v>
      </c>
      <c r="B428" s="1"/>
      <c r="C428" s="1"/>
      <c r="D428" s="2">
        <v>7957</v>
      </c>
      <c r="E428" s="17" t="s">
        <v>40</v>
      </c>
      <c r="F428" s="1"/>
      <c r="G428" s="2" t="s">
        <v>25</v>
      </c>
      <c r="H428" s="18" t="s">
        <v>32</v>
      </c>
      <c r="I428" s="23"/>
      <c r="J428" s="24"/>
    </row>
    <row r="429" spans="1:10" ht="13.5" customHeight="1">
      <c r="A429" s="17" t="s">
        <v>27</v>
      </c>
      <c r="B429" s="1"/>
      <c r="C429" s="1"/>
      <c r="D429" s="2" t="s">
        <v>25</v>
      </c>
      <c r="E429" s="17" t="s">
        <v>35</v>
      </c>
      <c r="F429" s="1"/>
      <c r="G429" s="2" t="s">
        <v>25</v>
      </c>
      <c r="H429" s="18"/>
      <c r="I429" s="6"/>
      <c r="J429" s="19"/>
    </row>
    <row r="430" spans="1:10" ht="13.5" customHeight="1">
      <c r="A430" s="17" t="s">
        <v>147</v>
      </c>
      <c r="B430" s="1"/>
      <c r="C430" s="1"/>
      <c r="D430" s="2" t="s">
        <v>25</v>
      </c>
      <c r="E430" s="17" t="s">
        <v>61</v>
      </c>
      <c r="F430" s="1"/>
      <c r="G430" s="2" t="s">
        <v>25</v>
      </c>
      <c r="H430" s="18"/>
      <c r="I430" s="6"/>
      <c r="J430" s="19"/>
    </row>
    <row r="431" spans="1:10" ht="13.5" customHeight="1">
      <c r="A431" s="17" t="s">
        <v>136</v>
      </c>
      <c r="B431" s="1"/>
      <c r="C431" s="1"/>
      <c r="D431" s="2" t="s">
        <v>25</v>
      </c>
      <c r="E431" s="17" t="s">
        <v>39</v>
      </c>
      <c r="F431" s="1"/>
      <c r="G431" s="2">
        <v>100</v>
      </c>
      <c r="H431" s="18"/>
      <c r="I431" s="6"/>
      <c r="J431" s="19"/>
    </row>
    <row r="432" spans="1:10" ht="13.5" customHeight="1">
      <c r="A432" s="18" t="s">
        <v>40</v>
      </c>
      <c r="B432" s="6"/>
      <c r="C432" s="6"/>
      <c r="D432" s="2" t="s">
        <v>25</v>
      </c>
      <c r="E432" s="17" t="s">
        <v>161</v>
      </c>
      <c r="F432" s="2">
        <v>12</v>
      </c>
      <c r="G432" s="2">
        <v>2857</v>
      </c>
      <c r="H432" s="18"/>
      <c r="I432" s="6"/>
      <c r="J432" s="19"/>
    </row>
    <row r="433" spans="1:10" ht="13.5" customHeight="1">
      <c r="A433" s="204" t="s">
        <v>63</v>
      </c>
      <c r="B433" s="205"/>
      <c r="C433" s="206"/>
      <c r="D433" s="229">
        <f>SUM(D426:D432)</f>
        <v>57957</v>
      </c>
      <c r="E433" s="1" t="s">
        <v>43</v>
      </c>
      <c r="F433" s="1"/>
      <c r="G433" s="2" t="s">
        <v>25</v>
      </c>
      <c r="H433" s="18"/>
      <c r="I433" s="6"/>
      <c r="J433" s="19"/>
    </row>
    <row r="434" spans="1:10" ht="13.5" customHeight="1">
      <c r="A434" s="207"/>
      <c r="B434" s="197"/>
      <c r="C434" s="208"/>
      <c r="D434" s="230"/>
      <c r="E434" s="21" t="s">
        <v>21</v>
      </c>
      <c r="F434" s="22"/>
      <c r="G434" s="13">
        <f>SUM(G426:G433)</f>
        <v>2957</v>
      </c>
      <c r="H434" s="21" t="s">
        <v>44</v>
      </c>
      <c r="I434" s="22"/>
      <c r="J434" s="13">
        <f>D433-G434</f>
        <v>55000</v>
      </c>
    </row>
    <row r="435" spans="1:10" ht="13.5" customHeight="1">
      <c r="A435" s="3" t="s">
        <v>45</v>
      </c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3.5" customHeight="1">
      <c r="A437" s="3"/>
      <c r="B437" s="3" t="s">
        <v>47</v>
      </c>
      <c r="C437" s="3"/>
      <c r="D437" s="3"/>
      <c r="E437" s="3" t="s">
        <v>48</v>
      </c>
      <c r="F437" s="3"/>
      <c r="G437" s="3"/>
      <c r="H437" s="3" t="s">
        <v>49</v>
      </c>
      <c r="I437" s="3"/>
      <c r="J437" s="3"/>
    </row>
    <row r="438" spans="1:10" ht="13.5" customHeight="1">
      <c r="A438" s="184" t="s">
        <v>0</v>
      </c>
      <c r="B438" s="185"/>
      <c r="C438" s="185"/>
      <c r="D438" s="185"/>
      <c r="E438" s="185"/>
      <c r="F438" s="185"/>
      <c r="G438" s="185"/>
      <c r="H438" s="185"/>
      <c r="I438" s="185"/>
      <c r="J438" s="186"/>
    </row>
    <row r="439" spans="1:10" ht="13.5" customHeight="1">
      <c r="A439" s="187" t="s">
        <v>1</v>
      </c>
      <c r="B439" s="188"/>
      <c r="C439" s="188"/>
      <c r="D439" s="188"/>
      <c r="E439" s="188"/>
      <c r="F439" s="188"/>
      <c r="G439" s="188"/>
      <c r="H439" s="188"/>
      <c r="I439" s="188"/>
      <c r="J439" s="189"/>
    </row>
    <row r="440" spans="1:10" ht="13.5" customHeight="1">
      <c r="A440" s="1" t="s">
        <v>2</v>
      </c>
      <c r="B440" s="1"/>
      <c r="C440" s="190" t="s">
        <v>165</v>
      </c>
      <c r="D440" s="190"/>
      <c r="E440" s="2"/>
      <c r="F440" s="3"/>
      <c r="G440" s="1" t="s">
        <v>4</v>
      </c>
      <c r="H440" s="191" t="s">
        <v>143</v>
      </c>
      <c r="I440" s="191"/>
      <c r="J440" s="191"/>
    </row>
    <row r="441" spans="1:10" ht="13.5" customHeight="1">
      <c r="A441" s="1" t="s">
        <v>6</v>
      </c>
      <c r="B441" s="1"/>
      <c r="C441" s="25" t="s">
        <v>166</v>
      </c>
      <c r="D441" s="25"/>
      <c r="E441" s="2"/>
      <c r="F441" s="3"/>
      <c r="G441" s="1" t="s">
        <v>8</v>
      </c>
      <c r="H441" s="193" t="s">
        <v>9</v>
      </c>
      <c r="I441" s="193"/>
      <c r="J441" s="193"/>
    </row>
    <row r="442" spans="1:10" ht="13.5" customHeight="1">
      <c r="A442" s="6" t="s">
        <v>10</v>
      </c>
      <c r="B442" s="6"/>
      <c r="C442" s="194" t="s">
        <v>100</v>
      </c>
      <c r="D442" s="194"/>
      <c r="E442" s="2"/>
      <c r="F442" s="3"/>
      <c r="G442" s="1" t="s">
        <v>12</v>
      </c>
      <c r="H442" s="195" t="s">
        <v>13</v>
      </c>
      <c r="I442" s="195"/>
      <c r="J442" s="195"/>
    </row>
    <row r="443" spans="1:10" ht="13.5" customHeight="1">
      <c r="A443" s="2" t="s">
        <v>14</v>
      </c>
      <c r="B443" s="2"/>
      <c r="C443" s="1" t="s">
        <v>15</v>
      </c>
      <c r="D443" s="1"/>
      <c r="E443" s="2"/>
      <c r="F443" s="3"/>
      <c r="G443" s="1" t="s">
        <v>16</v>
      </c>
      <c r="H443" s="209" t="s">
        <v>108</v>
      </c>
      <c r="I443" s="209"/>
      <c r="J443" s="209"/>
    </row>
    <row r="444" spans="1:10" ht="13.5" customHeight="1">
      <c r="A444" s="2">
        <v>30</v>
      </c>
      <c r="B444" s="2"/>
      <c r="C444" s="2">
        <f>A444-H444</f>
        <v>1</v>
      </c>
      <c r="D444" s="2"/>
      <c r="E444" s="2"/>
      <c r="F444" s="3"/>
      <c r="G444" s="8" t="s">
        <v>18</v>
      </c>
      <c r="H444" s="197">
        <v>29</v>
      </c>
      <c r="I444" s="197"/>
      <c r="J444" s="197"/>
    </row>
    <row r="445" spans="1:10" ht="13.5" customHeight="1">
      <c r="A445" s="198" t="s">
        <v>19</v>
      </c>
      <c r="B445" s="199"/>
      <c r="C445" s="200"/>
      <c r="D445" s="13" t="s">
        <v>20</v>
      </c>
      <c r="E445" s="14" t="s">
        <v>21</v>
      </c>
      <c r="F445" s="15"/>
      <c r="G445" s="16" t="s">
        <v>20</v>
      </c>
      <c r="H445" s="201" t="s">
        <v>22</v>
      </c>
      <c r="I445" s="202"/>
      <c r="J445" s="203"/>
    </row>
    <row r="446" spans="1:10" ht="13.5" customHeight="1">
      <c r="A446" s="17" t="s">
        <v>56</v>
      </c>
      <c r="B446" s="1"/>
      <c r="C446" s="1"/>
      <c r="D446" s="2">
        <v>50000</v>
      </c>
      <c r="E446" s="17" t="s">
        <v>24</v>
      </c>
      <c r="F446" s="1"/>
      <c r="G446" s="2" t="s">
        <v>25</v>
      </c>
      <c r="H446" s="18" t="s">
        <v>26</v>
      </c>
      <c r="I446" s="23"/>
      <c r="J446" s="24"/>
    </row>
    <row r="447" spans="1:10" ht="13.5" customHeight="1">
      <c r="A447" s="17" t="s">
        <v>77</v>
      </c>
      <c r="B447" s="209"/>
      <c r="C447" s="209"/>
      <c r="D447" s="2" t="s">
        <v>25</v>
      </c>
      <c r="E447" s="17" t="s">
        <v>28</v>
      </c>
      <c r="F447" s="1"/>
      <c r="G447" s="2" t="s">
        <v>25</v>
      </c>
      <c r="H447" s="18" t="s">
        <v>29</v>
      </c>
      <c r="I447" s="23"/>
      <c r="J447" s="24"/>
    </row>
    <row r="448" spans="1:10" ht="13.5" customHeight="1">
      <c r="A448" s="17" t="s">
        <v>30</v>
      </c>
      <c r="B448" s="1"/>
      <c r="C448" s="1"/>
      <c r="D448" s="2">
        <v>25671</v>
      </c>
      <c r="E448" s="17" t="s">
        <v>52</v>
      </c>
      <c r="F448" s="1"/>
      <c r="G448" s="2" t="s">
        <v>25</v>
      </c>
      <c r="H448" s="18" t="s">
        <v>32</v>
      </c>
      <c r="I448" s="23"/>
      <c r="J448" s="24"/>
    </row>
    <row r="449" spans="1:10" ht="13.5" customHeight="1">
      <c r="A449" s="17" t="s">
        <v>72</v>
      </c>
      <c r="B449" s="1"/>
      <c r="C449" s="1"/>
      <c r="D449" s="2" t="s">
        <v>25</v>
      </c>
      <c r="E449" s="17" t="s">
        <v>35</v>
      </c>
      <c r="F449" s="1"/>
      <c r="G449" s="2">
        <v>1666</v>
      </c>
      <c r="H449" s="18"/>
      <c r="I449" s="6"/>
      <c r="J449" s="19"/>
    </row>
    <row r="450" spans="1:10" ht="13.5" customHeight="1">
      <c r="A450" s="17" t="s">
        <v>147</v>
      </c>
      <c r="B450" s="1"/>
      <c r="C450" s="1"/>
      <c r="D450" s="2" t="s">
        <v>25</v>
      </c>
      <c r="E450" s="17" t="s">
        <v>61</v>
      </c>
      <c r="F450" s="1"/>
      <c r="G450" s="2" t="s">
        <v>25</v>
      </c>
      <c r="H450" s="18"/>
      <c r="I450" s="6"/>
      <c r="J450" s="19"/>
    </row>
    <row r="451" spans="1:10" ht="13.5" customHeight="1">
      <c r="A451" s="17" t="s">
        <v>136</v>
      </c>
      <c r="B451" s="1"/>
      <c r="C451" s="1"/>
      <c r="D451" s="2" t="s">
        <v>25</v>
      </c>
      <c r="E451" s="17" t="s">
        <v>39</v>
      </c>
      <c r="F451" s="1"/>
      <c r="G451" s="2">
        <v>100</v>
      </c>
      <c r="H451" s="18"/>
      <c r="I451" s="6"/>
      <c r="J451" s="19"/>
    </row>
    <row r="452" spans="1:10" ht="13.5" customHeight="1">
      <c r="A452" s="18" t="s">
        <v>40</v>
      </c>
      <c r="B452" s="6"/>
      <c r="C452" s="6"/>
      <c r="D452" s="2" t="s">
        <v>25</v>
      </c>
      <c r="E452" s="17" t="s">
        <v>161</v>
      </c>
      <c r="F452" s="2">
        <v>8</v>
      </c>
      <c r="G452" s="2">
        <v>1905</v>
      </c>
      <c r="H452" s="18"/>
      <c r="I452" s="6"/>
      <c r="J452" s="19"/>
    </row>
    <row r="453" spans="1:10" ht="13.5" customHeight="1">
      <c r="A453" s="204" t="s">
        <v>63</v>
      </c>
      <c r="B453" s="205"/>
      <c r="C453" s="206"/>
      <c r="D453" s="229">
        <f>SUM(D446:D452)</f>
        <v>75671</v>
      </c>
      <c r="E453" s="1" t="s">
        <v>43</v>
      </c>
      <c r="F453" s="1"/>
      <c r="G453" s="2" t="s">
        <v>25</v>
      </c>
      <c r="H453" s="18"/>
      <c r="I453" s="6"/>
      <c r="J453" s="19"/>
    </row>
    <row r="454" spans="1:10" ht="13.5" customHeight="1">
      <c r="A454" s="207"/>
      <c r="B454" s="197"/>
      <c r="C454" s="208"/>
      <c r="D454" s="230"/>
      <c r="E454" s="21" t="s">
        <v>21</v>
      </c>
      <c r="F454" s="22"/>
      <c r="G454" s="13">
        <f>SUM(G446:G453)</f>
        <v>3671</v>
      </c>
      <c r="H454" s="21" t="s">
        <v>44</v>
      </c>
      <c r="I454" s="22"/>
      <c r="J454" s="13">
        <f>D453-G454</f>
        <v>72000</v>
      </c>
    </row>
    <row r="455" spans="1:10" ht="13.5" customHeight="1">
      <c r="A455" s="3" t="s">
        <v>45</v>
      </c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3.5" customHeight="1">
      <c r="A457" s="3"/>
      <c r="B457" s="3" t="s">
        <v>47</v>
      </c>
      <c r="C457" s="3"/>
      <c r="D457" s="3"/>
      <c r="E457" s="3" t="s">
        <v>48</v>
      </c>
      <c r="F457" s="3"/>
      <c r="G457" s="3"/>
      <c r="H457" s="3" t="s">
        <v>49</v>
      </c>
      <c r="I457" s="3"/>
      <c r="J457" s="3"/>
    </row>
    <row r="458" spans="1:10" ht="13.5" customHeight="1">
      <c r="A458" s="184" t="s">
        <v>0</v>
      </c>
      <c r="B458" s="185"/>
      <c r="C458" s="185"/>
      <c r="D458" s="185"/>
      <c r="E458" s="185"/>
      <c r="F458" s="185"/>
      <c r="G458" s="185"/>
      <c r="H458" s="185"/>
      <c r="I458" s="185"/>
      <c r="J458" s="186"/>
    </row>
    <row r="459" spans="1:10" ht="13.5" customHeight="1">
      <c r="A459" s="187" t="s">
        <v>1</v>
      </c>
      <c r="B459" s="188"/>
      <c r="C459" s="188"/>
      <c r="D459" s="188"/>
      <c r="E459" s="188"/>
      <c r="F459" s="188"/>
      <c r="G459" s="188"/>
      <c r="H459" s="188"/>
      <c r="I459" s="188"/>
      <c r="J459" s="189"/>
    </row>
    <row r="460" spans="1:10" ht="13.5" customHeight="1">
      <c r="A460" s="1" t="s">
        <v>2</v>
      </c>
      <c r="B460" s="1"/>
      <c r="C460" s="194"/>
      <c r="D460" s="194"/>
      <c r="E460" s="2"/>
      <c r="F460" s="3"/>
      <c r="G460" s="1" t="s">
        <v>4</v>
      </c>
      <c r="H460" s="191" t="s">
        <v>143</v>
      </c>
      <c r="I460" s="191"/>
      <c r="J460" s="191"/>
    </row>
    <row r="461" spans="1:10" ht="13.5" customHeight="1">
      <c r="A461" s="1" t="s">
        <v>6</v>
      </c>
      <c r="B461" s="1"/>
      <c r="C461" s="192" t="s">
        <v>167</v>
      </c>
      <c r="D461" s="192"/>
      <c r="E461" s="2"/>
      <c r="F461" s="3"/>
      <c r="G461" s="1" t="s">
        <v>8</v>
      </c>
      <c r="H461" s="193" t="s">
        <v>9</v>
      </c>
      <c r="I461" s="193"/>
      <c r="J461" s="193"/>
    </row>
    <row r="462" spans="1:10" ht="13.5" customHeight="1">
      <c r="A462" s="6" t="s">
        <v>10</v>
      </c>
      <c r="B462" s="6"/>
      <c r="C462" s="194" t="s">
        <v>114</v>
      </c>
      <c r="D462" s="194"/>
      <c r="E462" s="2"/>
      <c r="F462" s="3"/>
      <c r="G462" s="1" t="s">
        <v>12</v>
      </c>
      <c r="H462" s="195" t="s">
        <v>13</v>
      </c>
      <c r="I462" s="195"/>
      <c r="J462" s="195"/>
    </row>
    <row r="463" spans="1:10" ht="13.5" customHeight="1">
      <c r="A463" s="2" t="s">
        <v>14</v>
      </c>
      <c r="B463" s="2"/>
      <c r="C463" s="1" t="s">
        <v>15</v>
      </c>
      <c r="D463" s="1"/>
      <c r="E463" s="2"/>
      <c r="F463" s="3"/>
      <c r="G463" s="1" t="s">
        <v>16</v>
      </c>
      <c r="H463" s="209" t="s">
        <v>108</v>
      </c>
      <c r="I463" s="209"/>
      <c r="J463" s="209"/>
    </row>
    <row r="464" spans="1:10" ht="13.5" customHeight="1">
      <c r="A464" s="2">
        <v>30</v>
      </c>
      <c r="B464" s="2"/>
      <c r="C464" s="2">
        <f>A464-H464</f>
        <v>2</v>
      </c>
      <c r="D464" s="2"/>
      <c r="E464" s="2"/>
      <c r="F464" s="3"/>
      <c r="G464" s="8" t="s">
        <v>18</v>
      </c>
      <c r="H464" s="197">
        <v>28</v>
      </c>
      <c r="I464" s="197"/>
      <c r="J464" s="197"/>
    </row>
    <row r="465" spans="1:10" ht="13.5" customHeight="1">
      <c r="A465" s="198" t="s">
        <v>19</v>
      </c>
      <c r="B465" s="199"/>
      <c r="C465" s="200"/>
      <c r="D465" s="13" t="s">
        <v>20</v>
      </c>
      <c r="E465" s="14" t="s">
        <v>21</v>
      </c>
      <c r="F465" s="15"/>
      <c r="G465" s="16" t="s">
        <v>20</v>
      </c>
      <c r="H465" s="201" t="s">
        <v>22</v>
      </c>
      <c r="I465" s="202"/>
      <c r="J465" s="203"/>
    </row>
    <row r="466" spans="1:10" ht="13.5" customHeight="1">
      <c r="A466" s="17" t="s">
        <v>56</v>
      </c>
      <c r="B466" s="1"/>
      <c r="C466" s="1"/>
      <c r="D466" s="2">
        <v>25000</v>
      </c>
      <c r="E466" s="17" t="s">
        <v>24</v>
      </c>
      <c r="F466" s="1"/>
      <c r="G466" s="2" t="s">
        <v>25</v>
      </c>
      <c r="H466" s="18" t="s">
        <v>26</v>
      </c>
      <c r="I466" s="23"/>
      <c r="J466" s="24"/>
    </row>
    <row r="467" spans="1:10" ht="13.5" customHeight="1">
      <c r="A467" s="17" t="s">
        <v>77</v>
      </c>
      <c r="B467" s="209"/>
      <c r="C467" s="209"/>
      <c r="D467" s="2" t="s">
        <v>25</v>
      </c>
      <c r="E467" s="17" t="s">
        <v>28</v>
      </c>
      <c r="F467" s="1"/>
      <c r="G467" s="2" t="s">
        <v>25</v>
      </c>
      <c r="H467" s="18" t="s">
        <v>29</v>
      </c>
      <c r="I467" s="23"/>
      <c r="J467" s="24"/>
    </row>
    <row r="468" spans="1:10" ht="13.5" customHeight="1">
      <c r="A468" s="17" t="s">
        <v>30</v>
      </c>
      <c r="B468" s="1"/>
      <c r="C468" s="1"/>
      <c r="D468" s="2">
        <v>24421</v>
      </c>
      <c r="E468" s="17" t="s">
        <v>40</v>
      </c>
      <c r="F468" s="1"/>
      <c r="G468" s="2" t="s">
        <v>25</v>
      </c>
      <c r="H468" s="18" t="s">
        <v>32</v>
      </c>
      <c r="I468" s="23"/>
      <c r="J468" s="24"/>
    </row>
    <row r="469" spans="1:10" ht="13.5" customHeight="1">
      <c r="A469" s="17" t="s">
        <v>34</v>
      </c>
      <c r="B469" s="1"/>
      <c r="C469" s="1"/>
      <c r="D469" s="2" t="s">
        <v>25</v>
      </c>
      <c r="E469" s="17" t="s">
        <v>35</v>
      </c>
      <c r="F469" s="1"/>
      <c r="G469" s="2">
        <v>1666</v>
      </c>
      <c r="I469" s="6"/>
      <c r="J469" s="19"/>
    </row>
    <row r="470" spans="1:10" ht="13.5" customHeight="1">
      <c r="A470" s="17" t="s">
        <v>168</v>
      </c>
      <c r="B470" s="1"/>
      <c r="C470" s="1"/>
      <c r="D470" s="2">
        <v>3000</v>
      </c>
      <c r="E470" s="17" t="s">
        <v>61</v>
      </c>
      <c r="F470" s="1"/>
      <c r="G470" s="2" t="s">
        <v>25</v>
      </c>
      <c r="H470" s="18"/>
      <c r="I470" s="6"/>
      <c r="J470" s="40"/>
    </row>
    <row r="471" spans="1:10" ht="13.5" customHeight="1">
      <c r="A471" s="17" t="s">
        <v>136</v>
      </c>
      <c r="B471" s="1"/>
      <c r="C471" s="1"/>
      <c r="D471" s="2" t="s">
        <v>25</v>
      </c>
      <c r="E471" s="17" t="s">
        <v>39</v>
      </c>
      <c r="F471" s="1"/>
      <c r="G471" s="2">
        <v>100</v>
      </c>
      <c r="H471" s="18"/>
      <c r="I471" s="6"/>
      <c r="J471" s="40"/>
    </row>
    <row r="472" spans="1:10" ht="13.5" customHeight="1">
      <c r="A472" s="18" t="s">
        <v>40</v>
      </c>
      <c r="B472" s="6"/>
      <c r="C472" s="6"/>
      <c r="D472" s="2" t="s">
        <v>25</v>
      </c>
      <c r="E472" s="17" t="s">
        <v>161</v>
      </c>
      <c r="F472" s="2">
        <v>5.5</v>
      </c>
      <c r="G472" s="2">
        <v>655</v>
      </c>
      <c r="H472" s="18"/>
      <c r="I472" s="6"/>
      <c r="J472" s="19"/>
    </row>
    <row r="473" spans="1:10" ht="13.5" customHeight="1">
      <c r="A473" s="204" t="s">
        <v>63</v>
      </c>
      <c r="B473" s="205"/>
      <c r="C473" s="206"/>
      <c r="D473" s="229">
        <f>SUM(D466:D472)</f>
        <v>52421</v>
      </c>
      <c r="E473" s="1" t="s">
        <v>43</v>
      </c>
      <c r="F473" s="1"/>
      <c r="G473" s="2" t="s">
        <v>25</v>
      </c>
      <c r="H473" s="18"/>
      <c r="I473" s="6"/>
      <c r="J473" s="19"/>
    </row>
    <row r="474" spans="1:10" ht="13.5" customHeight="1">
      <c r="A474" s="207"/>
      <c r="B474" s="197"/>
      <c r="C474" s="208"/>
      <c r="D474" s="230"/>
      <c r="E474" s="21" t="s">
        <v>21</v>
      </c>
      <c r="F474" s="22"/>
      <c r="G474" s="13">
        <f>SUM(G466:G473)</f>
        <v>2421</v>
      </c>
      <c r="H474" s="21" t="s">
        <v>44</v>
      </c>
      <c r="I474" s="22"/>
      <c r="J474" s="13">
        <f>D473-G474</f>
        <v>50000</v>
      </c>
    </row>
    <row r="475" spans="1:10" ht="13.5" customHeight="1">
      <c r="A475" s="3"/>
      <c r="B475" s="3" t="s">
        <v>47</v>
      </c>
      <c r="C475" s="3"/>
      <c r="D475" s="3"/>
      <c r="E475" s="3" t="s">
        <v>48</v>
      </c>
      <c r="F475" s="3"/>
      <c r="G475" s="3"/>
      <c r="H475" s="3" t="s">
        <v>49</v>
      </c>
      <c r="I475" s="3"/>
      <c r="J475" s="3"/>
    </row>
    <row r="476" spans="1:10" ht="13.5" customHeight="1">
      <c r="A476" s="3" t="s">
        <v>45</v>
      </c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3.5" customHeight="1"/>
    <row r="478" spans="1:10" ht="13.5" customHeight="1">
      <c r="A478" s="3"/>
      <c r="B478" s="3" t="s">
        <v>47</v>
      </c>
      <c r="C478" s="3"/>
      <c r="D478" s="3"/>
      <c r="E478" s="3" t="s">
        <v>48</v>
      </c>
      <c r="F478" s="3"/>
      <c r="G478" s="3"/>
      <c r="H478" s="3" t="s">
        <v>49</v>
      </c>
      <c r="I478" s="3"/>
      <c r="J478" s="3"/>
    </row>
    <row r="479" spans="1:10">
      <c r="A479" s="184" t="s">
        <v>0</v>
      </c>
      <c r="B479" s="185"/>
      <c r="C479" s="185"/>
      <c r="D479" s="185"/>
      <c r="E479" s="185"/>
      <c r="F479" s="185"/>
      <c r="G479" s="185"/>
      <c r="H479" s="185"/>
      <c r="I479" s="185"/>
      <c r="J479" s="186"/>
    </row>
    <row r="480" spans="1:10">
      <c r="A480" s="187" t="s">
        <v>1</v>
      </c>
      <c r="B480" s="188"/>
      <c r="C480" s="188"/>
      <c r="D480" s="188"/>
      <c r="E480" s="188"/>
      <c r="F480" s="188"/>
      <c r="G480" s="188"/>
      <c r="H480" s="188"/>
      <c r="I480" s="188"/>
      <c r="J480" s="189"/>
    </row>
    <row r="481" spans="1:10">
      <c r="A481" s="1" t="s">
        <v>2</v>
      </c>
      <c r="B481" s="1"/>
      <c r="C481" s="194" t="s">
        <v>169</v>
      </c>
      <c r="D481" s="194"/>
      <c r="E481" s="2"/>
      <c r="F481" s="3"/>
      <c r="G481" s="1" t="s">
        <v>4</v>
      </c>
      <c r="H481" s="191" t="s">
        <v>143</v>
      </c>
      <c r="I481" s="191"/>
      <c r="J481" s="191"/>
    </row>
    <row r="482" spans="1:10">
      <c r="A482" s="1" t="s">
        <v>6</v>
      </c>
      <c r="B482" s="1"/>
      <c r="C482" s="192" t="s">
        <v>170</v>
      </c>
      <c r="D482" s="192"/>
      <c r="E482" s="2"/>
      <c r="F482" s="3"/>
      <c r="G482" s="1" t="s">
        <v>8</v>
      </c>
      <c r="H482" s="193" t="s">
        <v>9</v>
      </c>
      <c r="I482" s="193"/>
      <c r="J482" s="193"/>
    </row>
    <row r="483" spans="1:10">
      <c r="A483" s="6" t="s">
        <v>10</v>
      </c>
      <c r="B483" s="6"/>
      <c r="C483" s="194" t="s">
        <v>114</v>
      </c>
      <c r="D483" s="194"/>
      <c r="E483" s="2"/>
      <c r="F483" s="3"/>
      <c r="G483" s="1" t="s">
        <v>12</v>
      </c>
      <c r="H483" s="195" t="s">
        <v>13</v>
      </c>
      <c r="I483" s="195"/>
      <c r="J483" s="195"/>
    </row>
    <row r="484" spans="1:10">
      <c r="A484" s="2" t="s">
        <v>14</v>
      </c>
      <c r="B484" s="2"/>
      <c r="C484" s="1" t="s">
        <v>15</v>
      </c>
      <c r="D484" s="1"/>
      <c r="E484" s="2"/>
      <c r="F484" s="3"/>
      <c r="G484" s="1" t="s">
        <v>16</v>
      </c>
      <c r="H484" s="209" t="s">
        <v>171</v>
      </c>
      <c r="I484" s="209"/>
      <c r="J484" s="209"/>
    </row>
    <row r="485" spans="1:10">
      <c r="A485" s="2">
        <v>30</v>
      </c>
      <c r="B485" s="2"/>
      <c r="C485" s="2">
        <f>A485-H485</f>
        <v>0</v>
      </c>
      <c r="D485" s="2"/>
      <c r="E485" s="2"/>
      <c r="F485" s="3"/>
      <c r="G485" s="8" t="s">
        <v>18</v>
      </c>
      <c r="H485" s="197">
        <v>30</v>
      </c>
      <c r="I485" s="197"/>
      <c r="J485" s="197"/>
    </row>
    <row r="486" spans="1:10">
      <c r="A486" s="198" t="s">
        <v>19</v>
      </c>
      <c r="B486" s="199"/>
      <c r="C486" s="200"/>
      <c r="D486" s="13" t="s">
        <v>20</v>
      </c>
      <c r="E486" s="14" t="s">
        <v>21</v>
      </c>
      <c r="F486" s="15"/>
      <c r="G486" s="16" t="s">
        <v>20</v>
      </c>
      <c r="H486" s="201" t="s">
        <v>22</v>
      </c>
      <c r="I486" s="202"/>
      <c r="J486" s="203"/>
    </row>
    <row r="487" spans="1:10">
      <c r="A487" s="17" t="s">
        <v>56</v>
      </c>
      <c r="B487" s="1"/>
      <c r="C487" s="1"/>
      <c r="D487" s="2">
        <v>25000</v>
      </c>
      <c r="E487" s="17" t="s">
        <v>24</v>
      </c>
      <c r="F487" s="1"/>
      <c r="G487" s="2" t="s">
        <v>25</v>
      </c>
      <c r="H487" s="18" t="s">
        <v>26</v>
      </c>
      <c r="I487" s="23"/>
      <c r="J487" s="24"/>
    </row>
    <row r="488" spans="1:10">
      <c r="A488" s="17" t="s">
        <v>77</v>
      </c>
      <c r="B488" s="209" t="s">
        <v>172</v>
      </c>
      <c r="C488" s="209"/>
      <c r="D488" s="2">
        <v>952</v>
      </c>
      <c r="E488" s="17" t="s">
        <v>28</v>
      </c>
      <c r="F488" s="1"/>
      <c r="G488" s="2" t="s">
        <v>25</v>
      </c>
      <c r="H488" s="18" t="s">
        <v>29</v>
      </c>
      <c r="I488" s="23"/>
      <c r="J488" s="24"/>
    </row>
    <row r="489" spans="1:10">
      <c r="A489" s="17" t="s">
        <v>30</v>
      </c>
      <c r="B489" s="1"/>
      <c r="C489" s="1"/>
      <c r="D489" s="2">
        <v>14148</v>
      </c>
      <c r="E489" s="17" t="s">
        <v>40</v>
      </c>
      <c r="F489" s="1"/>
      <c r="G489" s="2" t="s">
        <v>25</v>
      </c>
      <c r="H489" s="18" t="s">
        <v>32</v>
      </c>
      <c r="I489" s="23"/>
      <c r="J489" s="24"/>
    </row>
    <row r="490" spans="1:10">
      <c r="A490" s="17" t="s">
        <v>34</v>
      </c>
      <c r="B490" s="1"/>
      <c r="C490" s="1"/>
      <c r="D490" s="2" t="s">
        <v>25</v>
      </c>
      <c r="E490" s="17" t="s">
        <v>35</v>
      </c>
      <c r="F490" s="1"/>
      <c r="G490" s="2" t="s">
        <v>25</v>
      </c>
      <c r="H490" s="18"/>
      <c r="I490" s="6"/>
      <c r="J490" s="19"/>
    </row>
    <row r="491" spans="1:10">
      <c r="A491" s="17" t="s">
        <v>78</v>
      </c>
      <c r="B491" s="1"/>
      <c r="C491" s="1"/>
      <c r="D491" s="2" t="s">
        <v>25</v>
      </c>
      <c r="E491" s="17" t="s">
        <v>37</v>
      </c>
      <c r="F491" s="1"/>
      <c r="G491" s="2" t="s">
        <v>25</v>
      </c>
      <c r="H491" s="18"/>
      <c r="I491" s="6"/>
      <c r="J491" s="40"/>
    </row>
    <row r="492" spans="1:10">
      <c r="A492" s="17" t="s">
        <v>136</v>
      </c>
      <c r="B492" s="1"/>
      <c r="C492" s="1"/>
      <c r="D492" s="2" t="s">
        <v>25</v>
      </c>
      <c r="E492" s="17" t="s">
        <v>39</v>
      </c>
      <c r="F492" s="1"/>
      <c r="G492" s="2">
        <v>100</v>
      </c>
      <c r="H492" s="267"/>
      <c r="I492" s="268"/>
      <c r="J492" s="269"/>
    </row>
    <row r="493" spans="1:10">
      <c r="A493" s="18" t="s">
        <v>40</v>
      </c>
      <c r="B493" s="6"/>
      <c r="C493" s="6"/>
      <c r="D493" s="2" t="s">
        <v>25</v>
      </c>
      <c r="E493" s="17" t="s">
        <v>161</v>
      </c>
      <c r="F493" s="2"/>
      <c r="G493" s="2" t="s">
        <v>25</v>
      </c>
      <c r="H493" s="267"/>
      <c r="I493" s="268"/>
      <c r="J493" s="269"/>
    </row>
    <row r="494" spans="1:10">
      <c r="A494" s="204" t="s">
        <v>63</v>
      </c>
      <c r="B494" s="205"/>
      <c r="C494" s="206"/>
      <c r="D494" s="229">
        <f>SUM(D487:D493)</f>
        <v>40100</v>
      </c>
      <c r="E494" s="1" t="s">
        <v>43</v>
      </c>
      <c r="F494" s="1"/>
      <c r="G494" s="2" t="s">
        <v>25</v>
      </c>
      <c r="H494" s="18"/>
      <c r="I494" s="6"/>
      <c r="J494" s="19"/>
    </row>
    <row r="495" spans="1:10">
      <c r="A495" s="207"/>
      <c r="B495" s="197"/>
      <c r="C495" s="208"/>
      <c r="D495" s="230"/>
      <c r="E495" s="21" t="s">
        <v>21</v>
      </c>
      <c r="F495" s="22"/>
      <c r="G495" s="13">
        <f>SUM(G487:G494)</f>
        <v>100</v>
      </c>
      <c r="H495" s="21" t="s">
        <v>44</v>
      </c>
      <c r="I495" s="22"/>
      <c r="J495" s="13">
        <f>D494-G495</f>
        <v>40000</v>
      </c>
    </row>
    <row r="496" spans="1:10">
      <c r="A496" s="3"/>
      <c r="B496" s="3" t="s">
        <v>47</v>
      </c>
      <c r="C496" s="3"/>
      <c r="D496" s="3"/>
      <c r="E496" s="3" t="s">
        <v>48</v>
      </c>
      <c r="F496" s="3"/>
      <c r="G496" s="3"/>
      <c r="H496" s="3" t="s">
        <v>49</v>
      </c>
      <c r="I496" s="3"/>
      <c r="J496" s="3"/>
    </row>
    <row r="497" spans="1:10">
      <c r="A497" s="3" t="s">
        <v>45</v>
      </c>
      <c r="B497" s="3"/>
      <c r="C497" s="3"/>
      <c r="D497" s="3"/>
      <c r="E497" s="3"/>
      <c r="F497" s="3"/>
      <c r="G497" s="3"/>
      <c r="H497" s="3"/>
      <c r="I497" s="3"/>
      <c r="J497" s="3"/>
    </row>
    <row r="499" spans="1:10">
      <c r="A499" s="3"/>
      <c r="B499" s="3" t="s">
        <v>47</v>
      </c>
      <c r="C499" s="3"/>
      <c r="D499" s="3"/>
      <c r="E499" s="3" t="s">
        <v>48</v>
      </c>
      <c r="F499" s="3"/>
      <c r="G499" s="3"/>
      <c r="H499" s="3" t="s">
        <v>49</v>
      </c>
      <c r="I499" s="3"/>
      <c r="J499" s="3"/>
    </row>
    <row r="500" spans="1:10" ht="12.75" customHeight="1">
      <c r="A500" s="184" t="s">
        <v>0</v>
      </c>
      <c r="B500" s="185"/>
      <c r="C500" s="185"/>
      <c r="D500" s="185"/>
      <c r="E500" s="185"/>
      <c r="F500" s="185"/>
      <c r="G500" s="185"/>
      <c r="H500" s="185"/>
      <c r="I500" s="185"/>
      <c r="J500" s="186"/>
    </row>
    <row r="501" spans="1:10" ht="12.75" customHeight="1">
      <c r="A501" s="187" t="s">
        <v>1</v>
      </c>
      <c r="B501" s="188"/>
      <c r="C501" s="188"/>
      <c r="D501" s="188"/>
      <c r="E501" s="188"/>
      <c r="F501" s="188"/>
      <c r="G501" s="188"/>
      <c r="H501" s="188"/>
      <c r="I501" s="188"/>
      <c r="J501" s="189"/>
    </row>
    <row r="502" spans="1:10" ht="12.75" customHeight="1">
      <c r="A502" s="1" t="s">
        <v>2</v>
      </c>
      <c r="B502" s="1"/>
      <c r="C502" s="191" t="s">
        <v>173</v>
      </c>
      <c r="D502" s="191"/>
      <c r="E502" s="2"/>
      <c r="F502" s="3"/>
      <c r="G502" s="1" t="s">
        <v>4</v>
      </c>
      <c r="H502" s="191" t="s">
        <v>143</v>
      </c>
      <c r="I502" s="191"/>
      <c r="J502" s="191"/>
    </row>
    <row r="503" spans="1:10" ht="12.75" customHeight="1">
      <c r="A503" s="1" t="s">
        <v>6</v>
      </c>
      <c r="B503" s="1"/>
      <c r="C503" s="192" t="s">
        <v>174</v>
      </c>
      <c r="D503" s="192"/>
      <c r="E503" s="2"/>
      <c r="F503" s="3"/>
      <c r="G503" s="1" t="s">
        <v>8</v>
      </c>
      <c r="H503" s="193" t="s">
        <v>9</v>
      </c>
      <c r="I503" s="193"/>
      <c r="J503" s="193"/>
    </row>
    <row r="504" spans="1:10" ht="12.75" customHeight="1">
      <c r="A504" s="6" t="s">
        <v>10</v>
      </c>
      <c r="B504" s="6"/>
      <c r="C504" s="194" t="s">
        <v>175</v>
      </c>
      <c r="D504" s="194"/>
      <c r="E504" s="2"/>
      <c r="F504" s="3"/>
      <c r="G504" s="1" t="s">
        <v>12</v>
      </c>
      <c r="H504" s="195" t="s">
        <v>13</v>
      </c>
      <c r="I504" s="195"/>
      <c r="J504" s="195"/>
    </row>
    <row r="505" spans="1:10" ht="12.75" customHeight="1">
      <c r="A505" s="2" t="s">
        <v>14</v>
      </c>
      <c r="B505" s="2"/>
      <c r="C505" s="1" t="s">
        <v>15</v>
      </c>
      <c r="D505" s="1"/>
      <c r="E505" s="2"/>
      <c r="F505" s="3"/>
      <c r="G505" s="1" t="s">
        <v>16</v>
      </c>
      <c r="H505" s="209" t="s">
        <v>176</v>
      </c>
      <c r="I505" s="209"/>
      <c r="J505" s="209"/>
    </row>
    <row r="506" spans="1:10" ht="12.75" customHeight="1">
      <c r="A506" s="2">
        <v>30</v>
      </c>
      <c r="B506" s="2"/>
      <c r="C506" s="2">
        <f>A506-H506</f>
        <v>3</v>
      </c>
      <c r="D506" s="2"/>
      <c r="E506" s="2"/>
      <c r="F506" s="3"/>
      <c r="G506" s="8" t="s">
        <v>18</v>
      </c>
      <c r="H506" s="197">
        <v>27</v>
      </c>
      <c r="I506" s="197"/>
      <c r="J506" s="197"/>
    </row>
    <row r="507" spans="1:10" ht="12.75" customHeight="1">
      <c r="A507" s="198" t="s">
        <v>19</v>
      </c>
      <c r="B507" s="199"/>
      <c r="C507" s="200"/>
      <c r="D507" s="13" t="s">
        <v>20</v>
      </c>
      <c r="E507" s="14" t="s">
        <v>21</v>
      </c>
      <c r="F507" s="15"/>
      <c r="G507" s="16" t="s">
        <v>20</v>
      </c>
      <c r="H507" s="201" t="s">
        <v>22</v>
      </c>
      <c r="I507" s="202"/>
      <c r="J507" s="203"/>
    </row>
    <row r="508" spans="1:10" ht="12.75" customHeight="1">
      <c r="A508" s="17" t="s">
        <v>56</v>
      </c>
      <c r="B508" s="1"/>
      <c r="C508" s="1"/>
      <c r="D508" s="2">
        <v>25000</v>
      </c>
      <c r="E508" s="17" t="s">
        <v>24</v>
      </c>
      <c r="F508" s="1"/>
      <c r="G508" s="2" t="s">
        <v>25</v>
      </c>
      <c r="H508" s="18" t="s">
        <v>26</v>
      </c>
      <c r="I508" s="23"/>
      <c r="J508" s="24"/>
    </row>
    <row r="509" spans="1:10" ht="12.75" customHeight="1">
      <c r="A509" s="17" t="s">
        <v>77</v>
      </c>
      <c r="B509" s="209"/>
      <c r="C509" s="209"/>
      <c r="D509" s="2" t="s">
        <v>25</v>
      </c>
      <c r="E509" s="17" t="s">
        <v>28</v>
      </c>
      <c r="F509" s="1"/>
      <c r="G509" s="2" t="s">
        <v>25</v>
      </c>
      <c r="H509" s="18" t="s">
        <v>29</v>
      </c>
      <c r="I509" s="23"/>
      <c r="J509" s="24"/>
    </row>
    <row r="510" spans="1:10" ht="12.75" customHeight="1">
      <c r="A510" s="17" t="s">
        <v>30</v>
      </c>
      <c r="B510" s="1"/>
      <c r="C510" s="1"/>
      <c r="D510" s="2">
        <v>17600</v>
      </c>
      <c r="E510" s="17" t="s">
        <v>177</v>
      </c>
      <c r="F510" s="1"/>
      <c r="G510" s="2" t="s">
        <v>25</v>
      </c>
      <c r="H510" s="18" t="s">
        <v>32</v>
      </c>
      <c r="I510" s="23"/>
      <c r="J510" s="24"/>
    </row>
    <row r="511" spans="1:10" ht="12.75" customHeight="1">
      <c r="A511" s="17" t="s">
        <v>27</v>
      </c>
      <c r="B511" s="1"/>
      <c r="C511" s="1"/>
      <c r="D511" s="2" t="s">
        <v>25</v>
      </c>
      <c r="E511" s="17" t="s">
        <v>35</v>
      </c>
      <c r="F511" s="1"/>
      <c r="G511" s="2">
        <v>2500</v>
      </c>
      <c r="H511" s="18"/>
      <c r="I511" s="6"/>
      <c r="J511" s="19"/>
    </row>
    <row r="512" spans="1:10" ht="12.75" customHeight="1">
      <c r="A512" s="17" t="s">
        <v>147</v>
      </c>
      <c r="B512" s="1"/>
      <c r="C512" s="1"/>
      <c r="D512" s="2" t="s">
        <v>25</v>
      </c>
      <c r="E512" s="17" t="s">
        <v>61</v>
      </c>
      <c r="F512" s="1"/>
      <c r="G512" s="2" t="s">
        <v>25</v>
      </c>
      <c r="H512" s="18"/>
      <c r="I512" s="6"/>
      <c r="J512" s="19"/>
    </row>
    <row r="513" spans="1:10" ht="12.75" customHeight="1">
      <c r="A513" s="17" t="s">
        <v>136</v>
      </c>
      <c r="B513" s="1"/>
      <c r="C513" s="1"/>
      <c r="D513" s="2" t="s">
        <v>25</v>
      </c>
      <c r="E513" s="17" t="s">
        <v>39</v>
      </c>
      <c r="F513" s="1"/>
      <c r="G513" s="2">
        <v>100</v>
      </c>
      <c r="H513" s="18"/>
      <c r="I513" s="6"/>
      <c r="J513" s="19"/>
    </row>
    <row r="514" spans="1:10" ht="12.75" customHeight="1">
      <c r="A514" s="18" t="s">
        <v>40</v>
      </c>
      <c r="B514" s="6"/>
      <c r="C514" s="6"/>
      <c r="D514" s="2" t="s">
        <v>25</v>
      </c>
      <c r="E514" s="17" t="s">
        <v>161</v>
      </c>
      <c r="F514" s="2"/>
      <c r="G514" s="2" t="s">
        <v>25</v>
      </c>
      <c r="H514" s="18"/>
      <c r="I514" s="6"/>
      <c r="J514" s="19"/>
    </row>
    <row r="515" spans="1:10" ht="12.75" customHeight="1">
      <c r="A515" s="204" t="s">
        <v>63</v>
      </c>
      <c r="B515" s="205"/>
      <c r="C515" s="206"/>
      <c r="D515" s="229">
        <f>SUM(D508:D514)</f>
        <v>42600</v>
      </c>
      <c r="E515" s="1" t="s">
        <v>43</v>
      </c>
      <c r="F515" s="1"/>
      <c r="G515" s="2" t="s">
        <v>25</v>
      </c>
      <c r="H515" s="18"/>
      <c r="I515" s="6"/>
      <c r="J515" s="19"/>
    </row>
    <row r="516" spans="1:10" ht="12.75" customHeight="1">
      <c r="A516" s="207"/>
      <c r="B516" s="197"/>
      <c r="C516" s="208"/>
      <c r="D516" s="230"/>
      <c r="E516" s="21" t="s">
        <v>21</v>
      </c>
      <c r="F516" s="22"/>
      <c r="G516" s="13">
        <f>SUM(G508:G515)</f>
        <v>2600</v>
      </c>
      <c r="H516" s="21" t="s">
        <v>44</v>
      </c>
      <c r="I516" s="22"/>
      <c r="J516" s="13">
        <f>D515-G516</f>
        <v>40000</v>
      </c>
    </row>
    <row r="517" spans="1:10" ht="12.75" customHeight="1">
      <c r="A517" s="3" t="s">
        <v>45</v>
      </c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2.75" customHeight="1">
      <c r="A519" s="3"/>
      <c r="B519" s="3" t="s">
        <v>47</v>
      </c>
      <c r="C519" s="3"/>
      <c r="D519" s="3"/>
      <c r="E519" s="3" t="s">
        <v>48</v>
      </c>
      <c r="F519" s="3"/>
      <c r="G519" s="3"/>
      <c r="H519" s="3" t="s">
        <v>49</v>
      </c>
      <c r="I519" s="3"/>
      <c r="J519" s="3"/>
    </row>
    <row r="520" spans="1:10" ht="12.75" customHeight="1">
      <c r="A520" s="184" t="s">
        <v>0</v>
      </c>
      <c r="B520" s="185"/>
      <c r="C520" s="185"/>
      <c r="D520" s="185"/>
      <c r="E520" s="185"/>
      <c r="F520" s="185"/>
      <c r="G520" s="185"/>
      <c r="H520" s="185"/>
      <c r="I520" s="185"/>
      <c r="J520" s="186"/>
    </row>
    <row r="521" spans="1:10" ht="12.75" customHeight="1">
      <c r="A521" s="187" t="s">
        <v>1</v>
      </c>
      <c r="B521" s="188"/>
      <c r="C521" s="188"/>
      <c r="D521" s="188"/>
      <c r="E521" s="188"/>
      <c r="F521" s="188"/>
      <c r="G521" s="188"/>
      <c r="H521" s="188"/>
      <c r="I521" s="188"/>
      <c r="J521" s="189"/>
    </row>
    <row r="522" spans="1:10" ht="12.75" customHeight="1">
      <c r="A522" s="1" t="s">
        <v>2</v>
      </c>
      <c r="B522" s="1"/>
      <c r="C522" s="209" t="s">
        <v>178</v>
      </c>
      <c r="D522" s="209"/>
      <c r="E522" s="2"/>
      <c r="F522" s="3"/>
      <c r="G522" s="1" t="s">
        <v>4</v>
      </c>
      <c r="H522" s="191" t="s">
        <v>143</v>
      </c>
      <c r="I522" s="191"/>
      <c r="J522" s="191"/>
    </row>
    <row r="523" spans="1:10" ht="12.75" customHeight="1">
      <c r="A523" s="1" t="s">
        <v>6</v>
      </c>
      <c r="B523" s="1"/>
      <c r="C523" s="25" t="s">
        <v>179</v>
      </c>
      <c r="D523" s="25"/>
      <c r="E523" s="2"/>
      <c r="F523" s="3"/>
      <c r="G523" s="1" t="s">
        <v>8</v>
      </c>
      <c r="H523" s="193" t="s">
        <v>9</v>
      </c>
      <c r="I523" s="193"/>
      <c r="J523" s="193"/>
    </row>
    <row r="524" spans="1:10" ht="12.75" customHeight="1">
      <c r="A524" s="6" t="s">
        <v>10</v>
      </c>
      <c r="B524" s="6"/>
      <c r="C524" s="6" t="s">
        <v>180</v>
      </c>
      <c r="D524" s="6"/>
      <c r="E524" s="2"/>
      <c r="F524" s="3"/>
      <c r="G524" s="1" t="s">
        <v>12</v>
      </c>
      <c r="H524" s="195" t="s">
        <v>13</v>
      </c>
      <c r="I524" s="195"/>
      <c r="J524" s="195"/>
    </row>
    <row r="525" spans="1:10" ht="12.75" customHeight="1">
      <c r="A525" s="2" t="s">
        <v>14</v>
      </c>
      <c r="B525" s="2"/>
      <c r="C525" s="1" t="s">
        <v>15</v>
      </c>
      <c r="D525" s="1"/>
      <c r="E525" s="2"/>
      <c r="F525" s="3"/>
      <c r="G525" s="1" t="s">
        <v>16</v>
      </c>
      <c r="H525" s="209" t="s">
        <v>151</v>
      </c>
      <c r="I525" s="209"/>
      <c r="J525" s="209"/>
    </row>
    <row r="526" spans="1:10" ht="12.75" customHeight="1">
      <c r="A526" s="2">
        <v>30</v>
      </c>
      <c r="B526" s="2"/>
      <c r="C526" s="2">
        <f>A526-H526</f>
        <v>2</v>
      </c>
      <c r="D526" s="2"/>
      <c r="E526" s="2"/>
      <c r="F526" s="3"/>
      <c r="G526" s="8" t="s">
        <v>18</v>
      </c>
      <c r="H526" s="197">
        <v>28</v>
      </c>
      <c r="I526" s="197"/>
      <c r="J526" s="197"/>
    </row>
    <row r="527" spans="1:10" ht="12.75" customHeight="1">
      <c r="A527" s="198" t="s">
        <v>19</v>
      </c>
      <c r="B527" s="199"/>
      <c r="C527" s="200"/>
      <c r="D527" s="13" t="s">
        <v>20</v>
      </c>
      <c r="E527" s="14" t="s">
        <v>21</v>
      </c>
      <c r="F527" s="15"/>
      <c r="G527" s="16" t="s">
        <v>20</v>
      </c>
      <c r="H527" s="201" t="s">
        <v>22</v>
      </c>
      <c r="I527" s="202"/>
      <c r="J527" s="203"/>
    </row>
    <row r="528" spans="1:10" ht="12.75" customHeight="1">
      <c r="A528" s="17" t="s">
        <v>56</v>
      </c>
      <c r="B528" s="1"/>
      <c r="C528" s="1"/>
      <c r="D528" s="2">
        <v>75000</v>
      </c>
      <c r="E528" s="17" t="s">
        <v>24</v>
      </c>
      <c r="F528" s="1"/>
      <c r="G528" s="2" t="s">
        <v>25</v>
      </c>
      <c r="H528" s="18" t="s">
        <v>26</v>
      </c>
      <c r="I528" s="6"/>
      <c r="J528" s="19"/>
    </row>
    <row r="529" spans="1:10" ht="12.75" customHeight="1">
      <c r="A529" s="17" t="s">
        <v>57</v>
      </c>
      <c r="B529" s="209"/>
      <c r="C529" s="209"/>
      <c r="D529" s="2" t="s">
        <v>25</v>
      </c>
      <c r="E529" s="17" t="s">
        <v>28</v>
      </c>
      <c r="F529" s="1"/>
      <c r="G529" s="2" t="s">
        <v>25</v>
      </c>
      <c r="H529" s="18" t="s">
        <v>29</v>
      </c>
      <c r="I529" s="6"/>
      <c r="J529" s="19"/>
    </row>
    <row r="530" spans="1:10" ht="12.75" customHeight="1">
      <c r="A530" s="17" t="s">
        <v>30</v>
      </c>
      <c r="B530" s="1"/>
      <c r="C530" s="1"/>
      <c r="D530" s="2">
        <v>100</v>
      </c>
      <c r="E530" s="17" t="s">
        <v>146</v>
      </c>
      <c r="F530" s="1"/>
      <c r="G530" s="2" t="s">
        <v>25</v>
      </c>
      <c r="H530" s="18" t="s">
        <v>32</v>
      </c>
      <c r="I530" s="6"/>
      <c r="J530" s="19"/>
    </row>
    <row r="531" spans="1:10" ht="12.75" customHeight="1">
      <c r="A531" s="17" t="s">
        <v>147</v>
      </c>
      <c r="B531" s="1"/>
      <c r="C531" s="1"/>
      <c r="D531" s="2" t="s">
        <v>25</v>
      </c>
      <c r="E531" s="17" t="s">
        <v>35</v>
      </c>
      <c r="F531" s="1"/>
      <c r="G531" s="2">
        <v>5000</v>
      </c>
      <c r="H531" s="18"/>
      <c r="I531" s="6"/>
      <c r="J531" s="19"/>
    </row>
    <row r="532" spans="1:10" ht="12.75" customHeight="1">
      <c r="A532" s="17" t="s">
        <v>72</v>
      </c>
      <c r="B532" s="6"/>
      <c r="C532" s="6"/>
      <c r="D532" s="2" t="s">
        <v>25</v>
      </c>
      <c r="E532" s="17" t="s">
        <v>62</v>
      </c>
      <c r="F532" s="1"/>
      <c r="G532" s="2" t="s">
        <v>25</v>
      </c>
      <c r="H532" s="18"/>
      <c r="I532" s="6"/>
      <c r="J532" s="19"/>
    </row>
    <row r="533" spans="1:10" ht="12.75" customHeight="1">
      <c r="A533" s="17" t="s">
        <v>136</v>
      </c>
      <c r="B533" s="1"/>
      <c r="C533" s="1"/>
      <c r="D533" s="2" t="s">
        <v>25</v>
      </c>
      <c r="E533" s="17" t="s">
        <v>39</v>
      </c>
      <c r="F533" s="1"/>
      <c r="G533" s="2">
        <v>100</v>
      </c>
      <c r="H533" s="18"/>
      <c r="I533" s="6"/>
      <c r="J533" s="19"/>
    </row>
    <row r="534" spans="1:10" ht="12.75" customHeight="1">
      <c r="A534" s="18" t="s">
        <v>40</v>
      </c>
      <c r="B534" s="6"/>
      <c r="C534" s="6"/>
      <c r="D534" s="2" t="s">
        <v>25</v>
      </c>
      <c r="E534" s="17" t="s">
        <v>62</v>
      </c>
      <c r="F534" s="1"/>
      <c r="G534" s="2" t="s">
        <v>25</v>
      </c>
      <c r="H534" s="18"/>
      <c r="I534" s="6"/>
      <c r="J534" s="19"/>
    </row>
    <row r="535" spans="1:10" ht="12.75" customHeight="1">
      <c r="A535" s="204" t="s">
        <v>63</v>
      </c>
      <c r="B535" s="205"/>
      <c r="C535" s="206"/>
      <c r="D535" s="229">
        <f>SUM(D528:D534)</f>
        <v>75100</v>
      </c>
      <c r="E535" s="1" t="s">
        <v>43</v>
      </c>
      <c r="F535" s="1"/>
      <c r="G535" s="2" t="s">
        <v>25</v>
      </c>
      <c r="H535" s="18"/>
      <c r="I535" s="6"/>
      <c r="J535" s="19"/>
    </row>
    <row r="536" spans="1:10" ht="12.75" customHeight="1">
      <c r="A536" s="207"/>
      <c r="B536" s="197"/>
      <c r="C536" s="208"/>
      <c r="D536" s="230"/>
      <c r="E536" s="21" t="s">
        <v>21</v>
      </c>
      <c r="F536" s="22"/>
      <c r="G536" s="13">
        <f>SUM(G528:G535)</f>
        <v>5100</v>
      </c>
      <c r="H536" s="21" t="s">
        <v>44</v>
      </c>
      <c r="I536" s="22"/>
      <c r="J536" s="13">
        <f>D535-G536</f>
        <v>70000</v>
      </c>
    </row>
    <row r="537" spans="1:10" ht="12.75" customHeight="1">
      <c r="A537" s="3" t="s">
        <v>45</v>
      </c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2.75" customHeight="1">
      <c r="A539" s="3"/>
      <c r="B539" s="3" t="s">
        <v>47</v>
      </c>
      <c r="C539" s="3"/>
      <c r="D539" s="3"/>
      <c r="E539" s="3" t="s">
        <v>48</v>
      </c>
      <c r="F539" s="3"/>
      <c r="G539" s="3"/>
      <c r="H539" s="3" t="s">
        <v>49</v>
      </c>
      <c r="I539" s="3"/>
      <c r="J539" s="3"/>
    </row>
    <row r="540" spans="1:10" ht="12.75" customHeight="1">
      <c r="A540" s="184" t="s">
        <v>0</v>
      </c>
      <c r="B540" s="185"/>
      <c r="C540" s="185"/>
      <c r="D540" s="185"/>
      <c r="E540" s="185"/>
      <c r="F540" s="185"/>
      <c r="G540" s="185"/>
      <c r="H540" s="185"/>
      <c r="I540" s="185"/>
      <c r="J540" s="186"/>
    </row>
    <row r="541" spans="1:10" ht="12.75" customHeight="1">
      <c r="A541" s="187" t="s">
        <v>1</v>
      </c>
      <c r="B541" s="188"/>
      <c r="C541" s="188"/>
      <c r="D541" s="188"/>
      <c r="E541" s="188"/>
      <c r="F541" s="188"/>
      <c r="G541" s="188"/>
      <c r="H541" s="188"/>
      <c r="I541" s="188"/>
      <c r="J541" s="189"/>
    </row>
    <row r="542" spans="1:10" ht="12.75" customHeight="1">
      <c r="A542" s="1" t="s">
        <v>2</v>
      </c>
      <c r="B542" s="1"/>
      <c r="C542" s="209" t="s">
        <v>181</v>
      </c>
      <c r="D542" s="209"/>
      <c r="E542" s="2"/>
      <c r="F542" s="3"/>
      <c r="G542" s="1" t="s">
        <v>4</v>
      </c>
      <c r="H542" s="209" t="s">
        <v>182</v>
      </c>
      <c r="I542" s="209"/>
      <c r="J542" s="209"/>
    </row>
    <row r="543" spans="1:10" ht="12.75" customHeight="1">
      <c r="A543" s="1" t="s">
        <v>6</v>
      </c>
      <c r="B543" s="1"/>
      <c r="C543" s="25" t="s">
        <v>183</v>
      </c>
      <c r="D543" s="25"/>
      <c r="E543" s="2"/>
      <c r="F543" s="3"/>
      <c r="G543" s="1" t="s">
        <v>8</v>
      </c>
      <c r="H543" s="193" t="s">
        <v>9</v>
      </c>
      <c r="I543" s="193"/>
      <c r="J543" s="193"/>
    </row>
    <row r="544" spans="1:10" ht="12.75" customHeight="1">
      <c r="A544" s="6" t="s">
        <v>10</v>
      </c>
      <c r="B544" s="6"/>
      <c r="C544" s="194" t="s">
        <v>184</v>
      </c>
      <c r="D544" s="194"/>
      <c r="E544" s="2"/>
      <c r="F544" s="3"/>
      <c r="G544" s="1" t="s">
        <v>12</v>
      </c>
      <c r="H544" s="195" t="s">
        <v>13</v>
      </c>
      <c r="I544" s="195"/>
      <c r="J544" s="195"/>
    </row>
    <row r="545" spans="1:10" ht="12.75" customHeight="1">
      <c r="A545" s="2" t="s">
        <v>14</v>
      </c>
      <c r="B545" s="2"/>
      <c r="C545" s="1" t="s">
        <v>15</v>
      </c>
      <c r="D545" s="1"/>
      <c r="E545" s="2"/>
      <c r="F545" s="3"/>
      <c r="G545" s="1" t="s">
        <v>16</v>
      </c>
      <c r="H545" s="209" t="s">
        <v>185</v>
      </c>
      <c r="I545" s="209"/>
      <c r="J545" s="209"/>
    </row>
    <row r="546" spans="1:10" ht="12.75" customHeight="1">
      <c r="A546" s="2">
        <v>30</v>
      </c>
      <c r="B546" s="2"/>
      <c r="C546" s="2">
        <f>A546-H546</f>
        <v>4</v>
      </c>
      <c r="D546" s="2"/>
      <c r="E546" s="2"/>
      <c r="F546" s="3"/>
      <c r="G546" s="8" t="s">
        <v>18</v>
      </c>
      <c r="H546" s="197">
        <v>26</v>
      </c>
      <c r="I546" s="197"/>
      <c r="J546" s="197"/>
    </row>
    <row r="547" spans="1:10" ht="12.75" customHeight="1">
      <c r="A547" s="198" t="s">
        <v>19</v>
      </c>
      <c r="B547" s="199"/>
      <c r="C547" s="200"/>
      <c r="D547" s="13" t="s">
        <v>20</v>
      </c>
      <c r="E547" s="14" t="s">
        <v>21</v>
      </c>
      <c r="F547" s="15"/>
      <c r="G547" s="16" t="s">
        <v>20</v>
      </c>
      <c r="H547" s="201" t="s">
        <v>22</v>
      </c>
      <c r="I547" s="202"/>
      <c r="J547" s="203"/>
    </row>
    <row r="548" spans="1:10" ht="12.75" customHeight="1">
      <c r="A548" s="17" t="s">
        <v>56</v>
      </c>
      <c r="B548" s="1"/>
      <c r="C548" s="1"/>
      <c r="D548" s="2">
        <v>100000</v>
      </c>
      <c r="E548" s="17" t="s">
        <v>24</v>
      </c>
      <c r="F548" s="1"/>
      <c r="G548" s="2" t="s">
        <v>25</v>
      </c>
      <c r="H548" s="18" t="s">
        <v>26</v>
      </c>
      <c r="I548" s="6"/>
      <c r="J548" s="19"/>
    </row>
    <row r="549" spans="1:10" ht="12.75" customHeight="1">
      <c r="A549" s="17" t="s">
        <v>57</v>
      </c>
      <c r="B549" s="209"/>
      <c r="C549" s="209"/>
      <c r="D549" s="2" t="s">
        <v>25</v>
      </c>
      <c r="E549" s="17" t="s">
        <v>28</v>
      </c>
      <c r="F549" s="1"/>
      <c r="G549" s="2" t="s">
        <v>25</v>
      </c>
      <c r="H549" s="18" t="s">
        <v>29</v>
      </c>
      <c r="I549" s="6"/>
      <c r="J549" s="19"/>
    </row>
    <row r="550" spans="1:10" ht="12.75" customHeight="1">
      <c r="A550" s="17" t="s">
        <v>30</v>
      </c>
      <c r="B550" s="1"/>
      <c r="C550" s="1"/>
      <c r="D550" s="2">
        <v>3433</v>
      </c>
      <c r="E550" s="17" t="s">
        <v>146</v>
      </c>
      <c r="F550" s="1"/>
      <c r="G550" s="2" t="s">
        <v>25</v>
      </c>
      <c r="H550" s="18" t="s">
        <v>32</v>
      </c>
      <c r="I550" s="6"/>
      <c r="J550" s="19"/>
    </row>
    <row r="551" spans="1:10" ht="12.75" customHeight="1">
      <c r="A551" s="17" t="s">
        <v>147</v>
      </c>
      <c r="B551" s="1"/>
      <c r="C551" s="1"/>
      <c r="D551" s="2" t="s">
        <v>25</v>
      </c>
      <c r="E551" s="17" t="s">
        <v>35</v>
      </c>
      <c r="F551" s="1"/>
      <c r="G551" s="2">
        <v>13333</v>
      </c>
      <c r="H551" s="18"/>
      <c r="I551" s="6"/>
      <c r="J551" s="19"/>
    </row>
    <row r="552" spans="1:10" ht="12.75" customHeight="1">
      <c r="A552" s="17" t="s">
        <v>72</v>
      </c>
      <c r="B552" s="6"/>
      <c r="C552" s="6"/>
      <c r="D552" s="2" t="s">
        <v>25</v>
      </c>
      <c r="E552" s="17" t="s">
        <v>62</v>
      </c>
      <c r="F552" s="1"/>
      <c r="G552" s="2" t="s">
        <v>25</v>
      </c>
      <c r="H552" s="18"/>
      <c r="I552" s="6"/>
      <c r="J552" s="19"/>
    </row>
    <row r="553" spans="1:10" ht="12.75" customHeight="1">
      <c r="A553" s="17" t="s">
        <v>136</v>
      </c>
      <c r="B553" s="1"/>
      <c r="C553" s="1"/>
      <c r="D553" s="2" t="s">
        <v>25</v>
      </c>
      <c r="E553" s="17" t="s">
        <v>39</v>
      </c>
      <c r="F553" s="1"/>
      <c r="G553" s="2">
        <v>100</v>
      </c>
      <c r="H553" s="18"/>
      <c r="I553" s="6"/>
      <c r="J553" s="19"/>
    </row>
    <row r="554" spans="1:10" ht="12.75" customHeight="1">
      <c r="A554" s="18" t="s">
        <v>40</v>
      </c>
      <c r="B554" s="6"/>
      <c r="C554" s="6"/>
      <c r="D554" s="2" t="s">
        <v>25</v>
      </c>
      <c r="E554" s="17" t="s">
        <v>62</v>
      </c>
      <c r="F554" s="1"/>
      <c r="G554" s="2" t="s">
        <v>25</v>
      </c>
      <c r="H554" s="18"/>
      <c r="I554" s="6"/>
      <c r="J554" s="19"/>
    </row>
    <row r="555" spans="1:10" ht="12.75" customHeight="1">
      <c r="A555" s="204" t="s">
        <v>63</v>
      </c>
      <c r="B555" s="205"/>
      <c r="C555" s="206"/>
      <c r="D555" s="229">
        <f>SUM(D548:D554)</f>
        <v>103433</v>
      </c>
      <c r="E555" s="1" t="s">
        <v>43</v>
      </c>
      <c r="F555" s="1"/>
      <c r="G555" s="2" t="s">
        <v>25</v>
      </c>
      <c r="H555" s="18"/>
      <c r="I555" s="6"/>
      <c r="J555" s="19"/>
    </row>
    <row r="556" spans="1:10" ht="12.75" customHeight="1">
      <c r="A556" s="207"/>
      <c r="B556" s="197"/>
      <c r="C556" s="208"/>
      <c r="D556" s="230"/>
      <c r="E556" s="21" t="s">
        <v>21</v>
      </c>
      <c r="F556" s="22"/>
      <c r="G556" s="13">
        <f>SUM(G548:G555)</f>
        <v>13433</v>
      </c>
      <c r="H556" s="21" t="s">
        <v>44</v>
      </c>
      <c r="I556" s="22"/>
      <c r="J556" s="13">
        <f>D555-G556</f>
        <v>90000</v>
      </c>
    </row>
    <row r="557" spans="1:10" ht="12.75" customHeight="1">
      <c r="A557" s="3" t="s">
        <v>45</v>
      </c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2.75" customHeight="1">
      <c r="A559" s="3"/>
      <c r="B559" s="3" t="s">
        <v>47</v>
      </c>
      <c r="C559" s="3"/>
      <c r="D559" s="3"/>
      <c r="E559" s="3" t="s">
        <v>48</v>
      </c>
      <c r="F559" s="3"/>
      <c r="G559" s="3"/>
      <c r="H559" s="3" t="s">
        <v>49</v>
      </c>
      <c r="I559" s="3"/>
      <c r="J559" s="3"/>
    </row>
    <row r="560" spans="1:10" ht="12.75" customHeight="1">
      <c r="A560" s="184" t="s">
        <v>0</v>
      </c>
      <c r="B560" s="185"/>
      <c r="C560" s="185"/>
      <c r="D560" s="185"/>
      <c r="E560" s="185"/>
      <c r="F560" s="185"/>
      <c r="G560" s="185"/>
      <c r="H560" s="185"/>
      <c r="I560" s="185"/>
      <c r="J560" s="186"/>
    </row>
    <row r="561" spans="1:10" ht="12.75" customHeight="1">
      <c r="A561" s="187" t="s">
        <v>1</v>
      </c>
      <c r="B561" s="188"/>
      <c r="C561" s="188"/>
      <c r="D561" s="188"/>
      <c r="E561" s="188"/>
      <c r="F561" s="188"/>
      <c r="G561" s="188"/>
      <c r="H561" s="188"/>
      <c r="I561" s="188"/>
      <c r="J561" s="189"/>
    </row>
    <row r="562" spans="1:10" ht="12.75" customHeight="1">
      <c r="A562" s="1" t="s">
        <v>2</v>
      </c>
      <c r="B562" s="1"/>
      <c r="C562" s="209" t="s">
        <v>186</v>
      </c>
      <c r="D562" s="209"/>
      <c r="E562" s="2"/>
      <c r="F562" s="3"/>
      <c r="G562" s="1" t="s">
        <v>4</v>
      </c>
      <c r="H562" s="209" t="s">
        <v>182</v>
      </c>
      <c r="I562" s="209"/>
      <c r="J562" s="209"/>
    </row>
    <row r="563" spans="1:10" ht="12.75" customHeight="1">
      <c r="A563" s="1" t="s">
        <v>6</v>
      </c>
      <c r="B563" s="1"/>
      <c r="C563" s="25" t="s">
        <v>187</v>
      </c>
      <c r="D563" s="25"/>
      <c r="E563" s="2"/>
      <c r="F563" s="3"/>
      <c r="G563" s="1" t="s">
        <v>8</v>
      </c>
      <c r="H563" s="193" t="s">
        <v>9</v>
      </c>
      <c r="I563" s="193"/>
      <c r="J563" s="193"/>
    </row>
    <row r="564" spans="1:10" ht="12.75" customHeight="1">
      <c r="A564" s="6" t="s">
        <v>10</v>
      </c>
      <c r="B564" s="6"/>
      <c r="C564" s="194" t="s">
        <v>188</v>
      </c>
      <c r="D564" s="194"/>
      <c r="E564" s="2"/>
      <c r="F564" s="3"/>
      <c r="G564" s="1" t="s">
        <v>12</v>
      </c>
      <c r="H564" s="195" t="s">
        <v>13</v>
      </c>
      <c r="I564" s="195"/>
      <c r="J564" s="195"/>
    </row>
    <row r="565" spans="1:10" ht="12.75" customHeight="1">
      <c r="A565" s="2" t="s">
        <v>14</v>
      </c>
      <c r="B565" s="2"/>
      <c r="C565" s="1" t="s">
        <v>15</v>
      </c>
      <c r="D565" s="1"/>
      <c r="E565" s="2"/>
      <c r="F565" s="3"/>
      <c r="G565" s="1" t="s">
        <v>16</v>
      </c>
      <c r="H565" s="209" t="s">
        <v>189</v>
      </c>
      <c r="I565" s="209"/>
      <c r="J565" s="209"/>
    </row>
    <row r="566" spans="1:10" ht="12.75" customHeight="1">
      <c r="A566" s="2">
        <v>30</v>
      </c>
      <c r="B566" s="2"/>
      <c r="C566" s="2">
        <f>A566-H566</f>
        <v>11</v>
      </c>
      <c r="D566" s="2"/>
      <c r="E566" s="2"/>
      <c r="F566" s="3"/>
      <c r="G566" s="8" t="s">
        <v>18</v>
      </c>
      <c r="H566" s="197">
        <v>19</v>
      </c>
      <c r="I566" s="197"/>
      <c r="J566" s="197"/>
    </row>
    <row r="567" spans="1:10" ht="12.75" customHeight="1">
      <c r="A567" s="198" t="s">
        <v>19</v>
      </c>
      <c r="B567" s="199"/>
      <c r="C567" s="200"/>
      <c r="D567" s="13" t="s">
        <v>20</v>
      </c>
      <c r="E567" s="14" t="s">
        <v>21</v>
      </c>
      <c r="F567" s="15"/>
      <c r="G567" s="16" t="s">
        <v>20</v>
      </c>
      <c r="H567" s="201" t="s">
        <v>22</v>
      </c>
      <c r="I567" s="202"/>
      <c r="J567" s="203"/>
    </row>
    <row r="568" spans="1:10" ht="12.75" customHeight="1">
      <c r="A568" s="17" t="s">
        <v>56</v>
      </c>
      <c r="B568" s="1"/>
      <c r="C568" s="1"/>
      <c r="D568" s="2">
        <v>75000</v>
      </c>
      <c r="E568" s="17" t="s">
        <v>24</v>
      </c>
      <c r="F568" s="1"/>
      <c r="G568" s="2" t="s">
        <v>25</v>
      </c>
      <c r="H568" s="18" t="s">
        <v>26</v>
      </c>
      <c r="I568" s="6"/>
      <c r="J568" s="19"/>
    </row>
    <row r="569" spans="1:10" ht="12.75" customHeight="1">
      <c r="A569" s="17" t="s">
        <v>57</v>
      </c>
      <c r="B569" s="209"/>
      <c r="C569" s="209"/>
      <c r="D569" s="2" t="s">
        <v>25</v>
      </c>
      <c r="E569" s="17" t="s">
        <v>28</v>
      </c>
      <c r="F569" s="1"/>
      <c r="G569" s="2" t="s">
        <v>25</v>
      </c>
      <c r="H569" s="18" t="s">
        <v>29</v>
      </c>
      <c r="I569" s="6"/>
      <c r="J569" s="19"/>
    </row>
    <row r="570" spans="1:10" ht="12.75" customHeight="1">
      <c r="A570" s="17" t="s">
        <v>30</v>
      </c>
      <c r="B570" s="1"/>
      <c r="C570" s="1"/>
      <c r="D570" s="2">
        <v>2600</v>
      </c>
      <c r="E570" s="17" t="s">
        <v>146</v>
      </c>
      <c r="F570" s="1"/>
      <c r="G570" s="2" t="s">
        <v>25</v>
      </c>
      <c r="H570" s="18" t="s">
        <v>32</v>
      </c>
      <c r="I570" s="6"/>
      <c r="J570" s="19"/>
    </row>
    <row r="571" spans="1:10" ht="12.75" customHeight="1">
      <c r="A571" s="17" t="s">
        <v>147</v>
      </c>
      <c r="B571" s="1"/>
      <c r="C571" s="1"/>
      <c r="D571" s="2" t="s">
        <v>25</v>
      </c>
      <c r="E571" s="17" t="s">
        <v>35</v>
      </c>
      <c r="F571" s="1"/>
      <c r="G571" s="2">
        <v>27500</v>
      </c>
      <c r="H571" s="18"/>
      <c r="I571" s="6"/>
      <c r="J571" s="19"/>
    </row>
    <row r="572" spans="1:10" ht="12.75" customHeight="1">
      <c r="A572" s="17" t="s">
        <v>72</v>
      </c>
      <c r="B572" s="6"/>
      <c r="C572" s="6"/>
      <c r="D572" s="2" t="s">
        <v>25</v>
      </c>
      <c r="E572" s="17" t="s">
        <v>62</v>
      </c>
      <c r="F572" s="1"/>
      <c r="G572" s="2" t="s">
        <v>1115</v>
      </c>
      <c r="H572" s="18"/>
      <c r="I572" s="6"/>
      <c r="J572" s="19"/>
    </row>
    <row r="573" spans="1:10" ht="12.75" customHeight="1">
      <c r="A573" s="17" t="s">
        <v>136</v>
      </c>
      <c r="B573" s="1"/>
      <c r="C573" s="1"/>
      <c r="D573" s="2" t="s">
        <v>25</v>
      </c>
      <c r="E573" s="17" t="s">
        <v>39</v>
      </c>
      <c r="F573" s="1"/>
      <c r="G573" s="2">
        <v>100</v>
      </c>
      <c r="H573" s="18"/>
      <c r="I573" s="6"/>
      <c r="J573" s="19"/>
    </row>
    <row r="574" spans="1:10" ht="12.75" customHeight="1">
      <c r="A574" s="18" t="s">
        <v>40</v>
      </c>
      <c r="B574" s="6"/>
      <c r="C574" s="6"/>
      <c r="D574" s="2" t="s">
        <v>25</v>
      </c>
      <c r="E574" s="17" t="s">
        <v>62</v>
      </c>
      <c r="F574" s="1"/>
      <c r="G574" s="2" t="s">
        <v>25</v>
      </c>
      <c r="H574" s="18"/>
      <c r="I574" s="6"/>
      <c r="J574" s="19"/>
    </row>
    <row r="575" spans="1:10" ht="12.75" customHeight="1">
      <c r="A575" s="204" t="s">
        <v>63</v>
      </c>
      <c r="B575" s="205"/>
      <c r="C575" s="206"/>
      <c r="D575" s="229">
        <f>SUM(D568:D574)</f>
        <v>77600</v>
      </c>
      <c r="E575" s="1" t="s">
        <v>43</v>
      </c>
      <c r="F575" s="1"/>
      <c r="G575" s="2" t="s">
        <v>25</v>
      </c>
      <c r="H575" s="18"/>
      <c r="I575" s="6"/>
      <c r="J575" s="19"/>
    </row>
    <row r="576" spans="1:10" ht="12.75" customHeight="1">
      <c r="A576" s="207"/>
      <c r="B576" s="197"/>
      <c r="C576" s="208"/>
      <c r="D576" s="230"/>
      <c r="E576" s="21" t="s">
        <v>21</v>
      </c>
      <c r="F576" s="22"/>
      <c r="G576" s="13">
        <f>SUM(G568:G575)</f>
        <v>27600</v>
      </c>
      <c r="H576" s="21" t="s">
        <v>44</v>
      </c>
      <c r="I576" s="22"/>
      <c r="J576" s="13">
        <f>D575-G576</f>
        <v>50000</v>
      </c>
    </row>
    <row r="577" spans="1:10" ht="12.75" customHeight="1">
      <c r="A577" s="3" t="s">
        <v>45</v>
      </c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2.75" customHeight="1">
      <c r="A579" s="3"/>
      <c r="B579" s="3" t="s">
        <v>47</v>
      </c>
      <c r="C579" s="3"/>
      <c r="D579" s="3"/>
      <c r="E579" s="3" t="s">
        <v>48</v>
      </c>
      <c r="F579" s="3"/>
      <c r="G579" s="3"/>
      <c r="H579" s="3" t="s">
        <v>49</v>
      </c>
      <c r="I579" s="3"/>
      <c r="J579" s="3"/>
    </row>
    <row r="580" spans="1:10" ht="12.75" customHeight="1">
      <c r="A580" s="184" t="s">
        <v>0</v>
      </c>
      <c r="B580" s="185"/>
      <c r="C580" s="185"/>
      <c r="D580" s="185"/>
      <c r="E580" s="185"/>
      <c r="F580" s="185"/>
      <c r="G580" s="185"/>
      <c r="H580" s="185"/>
      <c r="I580" s="185"/>
      <c r="J580" s="186"/>
    </row>
    <row r="581" spans="1:10" ht="12.75" customHeight="1">
      <c r="A581" s="187" t="s">
        <v>1</v>
      </c>
      <c r="B581" s="188"/>
      <c r="C581" s="188"/>
      <c r="D581" s="188"/>
      <c r="E581" s="188"/>
      <c r="F581" s="188"/>
      <c r="G581" s="188"/>
      <c r="H581" s="188"/>
      <c r="I581" s="188"/>
      <c r="J581" s="189"/>
    </row>
    <row r="582" spans="1:10" ht="12.75" customHeight="1">
      <c r="A582" s="1" t="s">
        <v>2</v>
      </c>
      <c r="B582" s="1"/>
      <c r="C582" s="209" t="s">
        <v>190</v>
      </c>
      <c r="D582" s="209"/>
      <c r="E582" s="2"/>
      <c r="F582" s="3"/>
      <c r="G582" s="1" t="s">
        <v>4</v>
      </c>
      <c r="H582" s="209" t="s">
        <v>191</v>
      </c>
      <c r="I582" s="209"/>
      <c r="J582" s="209"/>
    </row>
    <row r="583" spans="1:10" ht="12.75" customHeight="1">
      <c r="A583" s="1" t="s">
        <v>6</v>
      </c>
      <c r="B583" s="1"/>
      <c r="C583" s="25" t="s">
        <v>192</v>
      </c>
      <c r="D583" s="25"/>
      <c r="E583" s="2"/>
      <c r="F583" s="3"/>
      <c r="G583" s="1" t="s">
        <v>8</v>
      </c>
      <c r="H583" s="193" t="s">
        <v>9</v>
      </c>
      <c r="I583" s="193"/>
      <c r="J583" s="193"/>
    </row>
    <row r="584" spans="1:10" ht="12.75" customHeight="1">
      <c r="A584" s="6" t="s">
        <v>10</v>
      </c>
      <c r="B584" s="6"/>
      <c r="C584" s="194" t="s">
        <v>145</v>
      </c>
      <c r="D584" s="194"/>
      <c r="E584" s="2"/>
      <c r="F584" s="3"/>
      <c r="G584" s="1" t="s">
        <v>12</v>
      </c>
      <c r="H584" s="195" t="s">
        <v>13</v>
      </c>
      <c r="I584" s="195"/>
      <c r="J584" s="195"/>
    </row>
    <row r="585" spans="1:10" ht="12.75" customHeight="1">
      <c r="A585" s="2" t="s">
        <v>14</v>
      </c>
      <c r="B585" s="2"/>
      <c r="C585" s="1" t="s">
        <v>15</v>
      </c>
      <c r="D585" s="1"/>
      <c r="E585" s="2"/>
      <c r="F585" s="3"/>
      <c r="G585" s="1" t="s">
        <v>16</v>
      </c>
      <c r="H585" s="209" t="s">
        <v>76</v>
      </c>
      <c r="I585" s="209"/>
      <c r="J585" s="209"/>
    </row>
    <row r="586" spans="1:10" ht="12.75" customHeight="1">
      <c r="A586" s="2">
        <v>30</v>
      </c>
      <c r="B586" s="2"/>
      <c r="C586" s="2">
        <f>A586-H586</f>
        <v>0</v>
      </c>
      <c r="D586" s="2"/>
      <c r="E586" s="2"/>
      <c r="F586" s="3"/>
      <c r="G586" s="8" t="s">
        <v>18</v>
      </c>
      <c r="H586" s="197">
        <v>30</v>
      </c>
      <c r="I586" s="197"/>
      <c r="J586" s="197"/>
    </row>
    <row r="587" spans="1:10" ht="12.75" customHeight="1">
      <c r="A587" s="198" t="s">
        <v>19</v>
      </c>
      <c r="B587" s="199"/>
      <c r="C587" s="200"/>
      <c r="D587" s="13" t="s">
        <v>20</v>
      </c>
      <c r="E587" s="14" t="s">
        <v>21</v>
      </c>
      <c r="F587" s="15"/>
      <c r="G587" s="16" t="s">
        <v>20</v>
      </c>
      <c r="H587" s="201" t="s">
        <v>22</v>
      </c>
      <c r="I587" s="202"/>
      <c r="J587" s="203"/>
    </row>
    <row r="588" spans="1:10" ht="12.75" customHeight="1">
      <c r="A588" s="17" t="s">
        <v>56</v>
      </c>
      <c r="B588" s="1"/>
      <c r="C588" s="1"/>
      <c r="D588" s="2">
        <v>75000</v>
      </c>
      <c r="E588" s="17" t="s">
        <v>24</v>
      </c>
      <c r="F588" s="1"/>
      <c r="G588" s="2" t="s">
        <v>25</v>
      </c>
      <c r="H588" s="18" t="s">
        <v>26</v>
      </c>
      <c r="I588" s="6"/>
      <c r="J588" s="19"/>
    </row>
    <row r="589" spans="1:10" ht="12.75" customHeight="1">
      <c r="A589" s="17" t="s">
        <v>57</v>
      </c>
      <c r="B589" s="209"/>
      <c r="C589" s="209"/>
      <c r="D589" s="2" t="s">
        <v>25</v>
      </c>
      <c r="E589" s="17" t="s">
        <v>28</v>
      </c>
      <c r="F589" s="1"/>
      <c r="G589" s="2" t="s">
        <v>25</v>
      </c>
      <c r="H589" s="18" t="s">
        <v>29</v>
      </c>
      <c r="I589" s="6"/>
      <c r="J589" s="19"/>
    </row>
    <row r="590" spans="1:10" ht="12.75" customHeight="1">
      <c r="A590" s="17" t="s">
        <v>30</v>
      </c>
      <c r="B590" s="1"/>
      <c r="C590" s="1"/>
      <c r="D590" s="2">
        <v>1506</v>
      </c>
      <c r="E590" s="17" t="s">
        <v>146</v>
      </c>
      <c r="F590" s="1"/>
      <c r="G590" s="2" t="s">
        <v>25</v>
      </c>
      <c r="H590" s="18" t="s">
        <v>32</v>
      </c>
      <c r="I590" s="6"/>
      <c r="J590" s="19"/>
    </row>
    <row r="591" spans="1:10" ht="12.75" customHeight="1">
      <c r="A591" s="17" t="s">
        <v>147</v>
      </c>
      <c r="B591" s="1"/>
      <c r="C591" s="1"/>
      <c r="D591" s="2" t="s">
        <v>25</v>
      </c>
      <c r="E591" s="17" t="s">
        <v>35</v>
      </c>
      <c r="F591" s="1"/>
      <c r="G591" s="2" t="s">
        <v>25</v>
      </c>
      <c r="H591" s="18"/>
      <c r="I591" s="6"/>
      <c r="J591" s="19"/>
    </row>
    <row r="592" spans="1:10" ht="12.75" customHeight="1">
      <c r="A592" s="17" t="s">
        <v>72</v>
      </c>
      <c r="B592" s="6"/>
      <c r="C592" s="6"/>
      <c r="D592" s="2" t="s">
        <v>25</v>
      </c>
      <c r="E592" s="17" t="s">
        <v>62</v>
      </c>
      <c r="F592" s="1"/>
      <c r="G592" s="2" t="s">
        <v>25</v>
      </c>
      <c r="H592" s="18"/>
      <c r="I592" s="6"/>
      <c r="J592" s="19"/>
    </row>
    <row r="593" spans="1:10" ht="12.75" customHeight="1">
      <c r="A593" s="17" t="s">
        <v>136</v>
      </c>
      <c r="B593" s="1"/>
      <c r="C593" s="1"/>
      <c r="D593" s="2" t="s">
        <v>25</v>
      </c>
      <c r="E593" s="17" t="s">
        <v>39</v>
      </c>
      <c r="F593" s="1"/>
      <c r="G593" s="2">
        <v>100</v>
      </c>
      <c r="H593" s="18"/>
      <c r="I593" s="6"/>
      <c r="J593" s="19"/>
    </row>
    <row r="594" spans="1:10" ht="12.75" customHeight="1">
      <c r="A594" s="18" t="s">
        <v>40</v>
      </c>
      <c r="B594" s="6"/>
      <c r="C594" s="6"/>
      <c r="D594" s="2" t="s">
        <v>25</v>
      </c>
      <c r="E594" s="17" t="s">
        <v>62</v>
      </c>
      <c r="F594" s="1">
        <v>4.5</v>
      </c>
      <c r="G594" s="2">
        <v>1406</v>
      </c>
      <c r="H594" s="18"/>
      <c r="I594" s="6"/>
      <c r="J594" s="19"/>
    </row>
    <row r="595" spans="1:10" ht="12.75" customHeight="1">
      <c r="A595" s="204" t="s">
        <v>63</v>
      </c>
      <c r="B595" s="205"/>
      <c r="C595" s="206"/>
      <c r="D595" s="229">
        <f>SUM(D588:D594)</f>
        <v>76506</v>
      </c>
      <c r="E595" s="1" t="s">
        <v>43</v>
      </c>
      <c r="F595" s="1"/>
      <c r="G595" s="2" t="s">
        <v>25</v>
      </c>
      <c r="H595" s="18"/>
      <c r="I595" s="6"/>
      <c r="J595" s="19"/>
    </row>
    <row r="596" spans="1:10" ht="12.75" customHeight="1">
      <c r="A596" s="207"/>
      <c r="B596" s="197"/>
      <c r="C596" s="208"/>
      <c r="D596" s="230"/>
      <c r="E596" s="21" t="s">
        <v>21</v>
      </c>
      <c r="F596" s="22"/>
      <c r="G596" s="13">
        <f>SUM(G588:G595)</f>
        <v>1506</v>
      </c>
      <c r="H596" s="21" t="s">
        <v>44</v>
      </c>
      <c r="I596" s="22"/>
      <c r="J596" s="13">
        <f>D595-G596</f>
        <v>75000</v>
      </c>
    </row>
    <row r="597" spans="1:10" ht="12.75" customHeight="1">
      <c r="A597" s="3" t="s">
        <v>45</v>
      </c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2.75" customHeight="1">
      <c r="A599" s="3"/>
      <c r="B599" s="3" t="s">
        <v>47</v>
      </c>
      <c r="C599" s="3"/>
      <c r="D599" s="3"/>
      <c r="E599" s="3" t="s">
        <v>48</v>
      </c>
      <c r="F599" s="3"/>
      <c r="G599" s="3"/>
      <c r="H599" s="3" t="s">
        <v>49</v>
      </c>
      <c r="I599" s="3"/>
      <c r="J599" s="3"/>
    </row>
    <row r="600" spans="1:10" ht="13.5" customHeight="1">
      <c r="A600" s="184" t="s">
        <v>0</v>
      </c>
      <c r="B600" s="185"/>
      <c r="C600" s="185"/>
      <c r="D600" s="185"/>
      <c r="E600" s="185"/>
      <c r="F600" s="185"/>
      <c r="G600" s="185"/>
      <c r="H600" s="185"/>
      <c r="I600" s="185"/>
      <c r="J600" s="186"/>
    </row>
    <row r="601" spans="1:10" ht="13.5" customHeight="1">
      <c r="A601" s="187" t="s">
        <v>1</v>
      </c>
      <c r="B601" s="188"/>
      <c r="C601" s="188"/>
      <c r="D601" s="188"/>
      <c r="E601" s="188"/>
      <c r="F601" s="188"/>
      <c r="G601" s="188"/>
      <c r="H601" s="188"/>
      <c r="I601" s="188"/>
      <c r="J601" s="189"/>
    </row>
    <row r="602" spans="1:10" ht="13.5" customHeight="1">
      <c r="A602" s="1" t="s">
        <v>2</v>
      </c>
      <c r="B602" s="1"/>
      <c r="C602" s="209" t="s">
        <v>193</v>
      </c>
      <c r="D602" s="209"/>
      <c r="E602" s="2"/>
      <c r="F602" s="3"/>
      <c r="G602" s="1" t="s">
        <v>4</v>
      </c>
      <c r="H602" s="191" t="s">
        <v>191</v>
      </c>
      <c r="I602" s="191"/>
      <c r="J602" s="191"/>
    </row>
    <row r="603" spans="1:10" ht="13.5" customHeight="1">
      <c r="A603" s="1" t="s">
        <v>6</v>
      </c>
      <c r="B603" s="1"/>
      <c r="C603" s="196" t="s">
        <v>194</v>
      </c>
      <c r="D603" s="196"/>
      <c r="E603" s="2"/>
      <c r="F603" s="3"/>
      <c r="G603" s="1" t="s">
        <v>8</v>
      </c>
      <c r="H603" s="193" t="s">
        <v>9</v>
      </c>
      <c r="I603" s="193"/>
      <c r="J603" s="193"/>
    </row>
    <row r="604" spans="1:10" ht="13.5" customHeight="1">
      <c r="A604" s="6" t="s">
        <v>10</v>
      </c>
      <c r="B604" s="6"/>
      <c r="C604" s="209" t="s">
        <v>195</v>
      </c>
      <c r="D604" s="209"/>
      <c r="E604" s="2"/>
      <c r="F604" s="3"/>
      <c r="G604" s="1" t="s">
        <v>12</v>
      </c>
      <c r="H604" s="195" t="s">
        <v>13</v>
      </c>
      <c r="I604" s="195"/>
      <c r="J604" s="195"/>
    </row>
    <row r="605" spans="1:10" ht="13.5" customHeight="1">
      <c r="A605" s="6" t="s">
        <v>14</v>
      </c>
      <c r="B605" s="6"/>
      <c r="C605" s="2" t="s">
        <v>15</v>
      </c>
      <c r="D605" s="2"/>
      <c r="E605" s="2"/>
      <c r="F605" s="3"/>
      <c r="G605" s="1" t="s">
        <v>16</v>
      </c>
      <c r="H605" s="196" t="s">
        <v>76</v>
      </c>
      <c r="I605" s="196"/>
      <c r="J605" s="196"/>
    </row>
    <row r="606" spans="1:10" ht="13.5" customHeight="1">
      <c r="A606" s="6">
        <v>30</v>
      </c>
      <c r="B606" s="6"/>
      <c r="C606" s="2">
        <f>A606-I606</f>
        <v>0</v>
      </c>
      <c r="D606" s="2"/>
      <c r="E606" s="2"/>
      <c r="F606" s="3"/>
      <c r="G606" s="8" t="s">
        <v>18</v>
      </c>
      <c r="H606" s="8"/>
      <c r="I606" s="9">
        <v>30</v>
      </c>
      <c r="J606" s="9"/>
    </row>
    <row r="607" spans="1:10" ht="13.5" customHeight="1">
      <c r="A607" s="198" t="s">
        <v>19</v>
      </c>
      <c r="B607" s="199"/>
      <c r="C607" s="200"/>
      <c r="D607" s="13" t="s">
        <v>20</v>
      </c>
      <c r="E607" s="14" t="s">
        <v>21</v>
      </c>
      <c r="F607" s="15"/>
      <c r="G607" s="16" t="s">
        <v>20</v>
      </c>
      <c r="H607" s="201" t="s">
        <v>22</v>
      </c>
      <c r="I607" s="202"/>
      <c r="J607" s="203"/>
    </row>
    <row r="608" spans="1:10" ht="13.5" customHeight="1">
      <c r="A608" s="17" t="s">
        <v>23</v>
      </c>
      <c r="B608" s="1"/>
      <c r="C608" s="1"/>
      <c r="D608" s="2">
        <v>55000</v>
      </c>
      <c r="E608" s="17" t="s">
        <v>24</v>
      </c>
      <c r="F608" s="1"/>
      <c r="G608" s="2" t="s">
        <v>25</v>
      </c>
      <c r="H608" s="18" t="s">
        <v>26</v>
      </c>
      <c r="I608" s="6"/>
      <c r="J608" s="19"/>
    </row>
    <row r="609" spans="1:10" ht="13.5" customHeight="1">
      <c r="A609" s="17" t="s">
        <v>77</v>
      </c>
      <c r="B609" s="209" t="s">
        <v>196</v>
      </c>
      <c r="C609" s="209"/>
      <c r="D609" s="2">
        <v>5500</v>
      </c>
      <c r="E609" s="17" t="s">
        <v>58</v>
      </c>
      <c r="F609" s="1"/>
      <c r="G609" s="2">
        <v>1444</v>
      </c>
      <c r="H609" s="18" t="s">
        <v>29</v>
      </c>
      <c r="I609" s="6"/>
      <c r="J609" s="19"/>
    </row>
    <row r="610" spans="1:10" ht="13.5" customHeight="1">
      <c r="A610" s="17" t="s">
        <v>30</v>
      </c>
      <c r="B610" s="1"/>
      <c r="C610" s="1"/>
      <c r="D610" s="2">
        <v>11450</v>
      </c>
      <c r="E610" s="17" t="s">
        <v>52</v>
      </c>
      <c r="F610" s="1"/>
      <c r="G610" s="2" t="s">
        <v>25</v>
      </c>
      <c r="H610" s="18" t="s">
        <v>32</v>
      </c>
      <c r="I610" s="6"/>
      <c r="J610" s="19"/>
    </row>
    <row r="611" spans="1:10" ht="13.5" customHeight="1">
      <c r="A611" s="17" t="s">
        <v>96</v>
      </c>
      <c r="B611" s="1"/>
      <c r="C611" s="1"/>
      <c r="D611" s="2" t="s">
        <v>25</v>
      </c>
      <c r="E611" s="17" t="s">
        <v>35</v>
      </c>
      <c r="F611" s="1"/>
      <c r="G611" s="2" t="s">
        <v>25</v>
      </c>
      <c r="H611" s="18"/>
      <c r="I611" s="6"/>
      <c r="J611" s="19"/>
    </row>
    <row r="612" spans="1:10" ht="13.5" customHeight="1">
      <c r="A612" s="17" t="s">
        <v>60</v>
      </c>
      <c r="B612" s="1"/>
      <c r="C612" s="1"/>
      <c r="D612" s="2" t="s">
        <v>25</v>
      </c>
      <c r="E612" s="17" t="s">
        <v>61</v>
      </c>
      <c r="F612" s="2"/>
      <c r="G612" s="2" t="s">
        <v>25</v>
      </c>
      <c r="H612" s="18" t="s">
        <v>197</v>
      </c>
      <c r="I612" s="6"/>
      <c r="J612" s="40"/>
    </row>
    <row r="613" spans="1:10" ht="13.5" customHeight="1">
      <c r="A613" s="17" t="s">
        <v>136</v>
      </c>
      <c r="B613" s="1"/>
      <c r="C613" s="1"/>
      <c r="D613" s="2" t="s">
        <v>25</v>
      </c>
      <c r="E613" s="17" t="s">
        <v>39</v>
      </c>
      <c r="F613" s="1"/>
      <c r="G613" s="2">
        <v>100</v>
      </c>
      <c r="H613" s="18" t="s">
        <v>198</v>
      </c>
      <c r="I613" s="6"/>
      <c r="J613" s="19"/>
    </row>
    <row r="614" spans="1:10" ht="13.5" customHeight="1">
      <c r="A614" s="18" t="s">
        <v>40</v>
      </c>
      <c r="B614" s="6"/>
      <c r="C614" s="6"/>
      <c r="D614" s="2" t="s">
        <v>25</v>
      </c>
      <c r="E614" s="17" t="s">
        <v>98</v>
      </c>
      <c r="F614" s="2">
        <v>10.5</v>
      </c>
      <c r="G614" s="2">
        <v>2406</v>
      </c>
      <c r="H614" s="18"/>
      <c r="I614" s="6"/>
      <c r="J614" s="19"/>
    </row>
    <row r="615" spans="1:10" ht="13.5" customHeight="1">
      <c r="A615" s="204" t="s">
        <v>63</v>
      </c>
      <c r="B615" s="205"/>
      <c r="C615" s="206"/>
      <c r="D615" s="229">
        <f>SUM(D608:D614)</f>
        <v>71950</v>
      </c>
      <c r="E615" s="1" t="s">
        <v>43</v>
      </c>
      <c r="F615" s="1"/>
      <c r="G615" s="2" t="s">
        <v>25</v>
      </c>
      <c r="H615" s="18"/>
      <c r="I615" s="6"/>
      <c r="J615" s="19"/>
    </row>
    <row r="616" spans="1:10" ht="13.5" customHeight="1">
      <c r="A616" s="207"/>
      <c r="B616" s="197"/>
      <c r="C616" s="208"/>
      <c r="D616" s="230"/>
      <c r="E616" s="21" t="s">
        <v>21</v>
      </c>
      <c r="F616" s="22"/>
      <c r="G616" s="13">
        <f>SUM(G608:G615)</f>
        <v>3950</v>
      </c>
      <c r="H616" s="21" t="s">
        <v>44</v>
      </c>
      <c r="I616" s="22"/>
      <c r="J616" s="13">
        <f>D615-G616</f>
        <v>68000</v>
      </c>
    </row>
    <row r="617" spans="1:10" ht="13.5" customHeight="1">
      <c r="A617" s="3" t="s">
        <v>45</v>
      </c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3.5" customHeight="1">
      <c r="A619" s="3"/>
      <c r="B619" s="3" t="s">
        <v>47</v>
      </c>
      <c r="C619" s="3"/>
      <c r="D619" s="3"/>
      <c r="E619" s="3" t="s">
        <v>48</v>
      </c>
      <c r="F619" s="3"/>
      <c r="G619" s="3"/>
      <c r="H619" s="3" t="s">
        <v>49</v>
      </c>
      <c r="I619" s="3"/>
      <c r="J619" s="3"/>
    </row>
    <row r="620" spans="1:10" ht="13.5" customHeight="1">
      <c r="A620" s="231" t="s">
        <v>0</v>
      </c>
      <c r="B620" s="232"/>
      <c r="C620" s="232"/>
      <c r="D620" s="232"/>
      <c r="E620" s="232"/>
      <c r="F620" s="232"/>
      <c r="G620" s="232"/>
      <c r="H620" s="232"/>
      <c r="I620" s="232"/>
      <c r="J620" s="233"/>
    </row>
    <row r="621" spans="1:10" ht="13.5" customHeight="1">
      <c r="A621" s="187" t="s">
        <v>1</v>
      </c>
      <c r="B621" s="188"/>
      <c r="C621" s="188"/>
      <c r="D621" s="188"/>
      <c r="E621" s="188"/>
      <c r="F621" s="188"/>
      <c r="G621" s="188"/>
      <c r="H621" s="188"/>
      <c r="I621" s="188"/>
      <c r="J621" s="189"/>
    </row>
    <row r="622" spans="1:10" ht="13.5" customHeight="1">
      <c r="A622" s="119" t="s">
        <v>2</v>
      </c>
      <c r="B622" s="119"/>
      <c r="C622" s="234" t="s">
        <v>199</v>
      </c>
      <c r="D622" s="234"/>
      <c r="E622" s="120"/>
      <c r="F622" s="121"/>
      <c r="G622" s="119" t="s">
        <v>4</v>
      </c>
      <c r="H622" s="191" t="s">
        <v>191</v>
      </c>
      <c r="I622" s="191"/>
      <c r="J622" s="191"/>
    </row>
    <row r="623" spans="1:10" ht="13.5" customHeight="1">
      <c r="A623" s="119" t="s">
        <v>6</v>
      </c>
      <c r="B623" s="119"/>
      <c r="C623" s="167" t="s">
        <v>200</v>
      </c>
      <c r="D623" s="167"/>
      <c r="E623" s="120"/>
      <c r="F623" s="121"/>
      <c r="G623" s="119" t="s">
        <v>8</v>
      </c>
      <c r="H623" s="257" t="s">
        <v>9</v>
      </c>
      <c r="I623" s="257"/>
      <c r="J623" s="257"/>
    </row>
    <row r="624" spans="1:10" ht="13.5" customHeight="1">
      <c r="A624" s="122" t="s">
        <v>10</v>
      </c>
      <c r="B624" s="122"/>
      <c r="C624" s="122" t="s">
        <v>201</v>
      </c>
      <c r="D624" s="122"/>
      <c r="E624" s="120"/>
      <c r="F624" s="121"/>
      <c r="G624" s="119" t="s">
        <v>12</v>
      </c>
      <c r="H624" s="195" t="s">
        <v>13</v>
      </c>
      <c r="I624" s="195"/>
      <c r="J624" s="195"/>
    </row>
    <row r="625" spans="1:10" ht="13.5" customHeight="1">
      <c r="A625" s="120" t="s">
        <v>14</v>
      </c>
      <c r="B625" s="120"/>
      <c r="C625" s="120" t="s">
        <v>15</v>
      </c>
      <c r="D625" s="120"/>
      <c r="E625" s="120"/>
      <c r="F625" s="121"/>
      <c r="G625" s="119" t="s">
        <v>16</v>
      </c>
      <c r="H625" s="258" t="s">
        <v>202</v>
      </c>
      <c r="I625" s="258"/>
      <c r="J625" s="258"/>
    </row>
    <row r="626" spans="1:10" ht="13.5" customHeight="1">
      <c r="A626" s="120">
        <v>30</v>
      </c>
      <c r="B626" s="120"/>
      <c r="C626" s="120">
        <f>A626-H626</f>
        <v>1</v>
      </c>
      <c r="D626" s="120"/>
      <c r="E626" s="120"/>
      <c r="F626" s="121"/>
      <c r="G626" s="123" t="s">
        <v>18</v>
      </c>
      <c r="H626" s="259">
        <v>29</v>
      </c>
      <c r="I626" s="259"/>
      <c r="J626" s="259"/>
    </row>
    <row r="627" spans="1:10" ht="13.5" customHeight="1">
      <c r="A627" s="260" t="s">
        <v>19</v>
      </c>
      <c r="B627" s="261"/>
      <c r="C627" s="262"/>
      <c r="D627" s="124" t="s">
        <v>20</v>
      </c>
      <c r="E627" s="125" t="s">
        <v>21</v>
      </c>
      <c r="F627" s="126"/>
      <c r="G627" s="127" t="s">
        <v>20</v>
      </c>
      <c r="H627" s="263" t="s">
        <v>22</v>
      </c>
      <c r="I627" s="264"/>
      <c r="J627" s="265"/>
    </row>
    <row r="628" spans="1:10" ht="13.5" customHeight="1">
      <c r="A628" s="128" t="s">
        <v>23</v>
      </c>
      <c r="B628" s="119"/>
      <c r="C628" s="119"/>
      <c r="D628" s="120">
        <v>60000</v>
      </c>
      <c r="E628" s="128" t="s">
        <v>24</v>
      </c>
      <c r="F628" s="119"/>
      <c r="G628" s="120" t="s">
        <v>25</v>
      </c>
      <c r="H628" s="18" t="s">
        <v>26</v>
      </c>
      <c r="I628" s="122"/>
      <c r="J628" s="130"/>
    </row>
    <row r="629" spans="1:10" ht="13.5" customHeight="1">
      <c r="A629" s="128" t="s">
        <v>57</v>
      </c>
      <c r="B629" s="266"/>
      <c r="C629" s="266"/>
      <c r="D629" s="120" t="s">
        <v>25</v>
      </c>
      <c r="E629" s="128" t="s">
        <v>203</v>
      </c>
      <c r="F629" s="119"/>
      <c r="G629" s="120" t="s">
        <v>25</v>
      </c>
      <c r="H629" s="18" t="s">
        <v>29</v>
      </c>
      <c r="I629" s="122"/>
      <c r="J629" s="130"/>
    </row>
    <row r="630" spans="1:10" ht="13.5" customHeight="1">
      <c r="A630" s="128" t="s">
        <v>147</v>
      </c>
      <c r="B630" s="119"/>
      <c r="C630" s="119"/>
      <c r="D630" s="120" t="s">
        <v>25</v>
      </c>
      <c r="E630" s="128" t="s">
        <v>83</v>
      </c>
      <c r="F630" s="119"/>
      <c r="G630" s="120" t="s">
        <v>25</v>
      </c>
      <c r="H630" s="18" t="s">
        <v>32</v>
      </c>
      <c r="I630" s="122"/>
      <c r="J630" s="130"/>
    </row>
    <row r="631" spans="1:10" ht="13.5" customHeight="1">
      <c r="A631" s="128" t="s">
        <v>72</v>
      </c>
      <c r="B631" s="119"/>
      <c r="C631" s="119"/>
      <c r="D631" s="120" t="s">
        <v>25</v>
      </c>
      <c r="E631" s="128" t="s">
        <v>35</v>
      </c>
      <c r="F631" s="119"/>
      <c r="G631" s="120">
        <v>2000</v>
      </c>
      <c r="H631" s="129"/>
      <c r="I631" s="122"/>
      <c r="J631" s="130"/>
    </row>
    <row r="632" spans="1:10" ht="13.5" customHeight="1">
      <c r="A632" s="128" t="s">
        <v>78</v>
      </c>
      <c r="B632" s="119"/>
      <c r="C632" s="119"/>
      <c r="D632" s="120" t="s">
        <v>25</v>
      </c>
      <c r="E632" s="128" t="s">
        <v>39</v>
      </c>
      <c r="F632" s="119"/>
      <c r="G632" s="120">
        <v>100</v>
      </c>
      <c r="H632" s="129"/>
      <c r="I632" s="122"/>
      <c r="J632" s="131"/>
    </row>
    <row r="633" spans="1:10" ht="13.5" customHeight="1">
      <c r="A633" s="128" t="s">
        <v>136</v>
      </c>
      <c r="B633" s="119"/>
      <c r="C633" s="119"/>
      <c r="D633" s="120" t="s">
        <v>25</v>
      </c>
      <c r="E633" s="128" t="s">
        <v>61</v>
      </c>
      <c r="F633" s="119"/>
      <c r="G633" s="120" t="s">
        <v>25</v>
      </c>
      <c r="H633" s="129"/>
      <c r="I633" s="122"/>
      <c r="J633" s="131"/>
    </row>
    <row r="634" spans="1:10" ht="13.5" customHeight="1">
      <c r="A634" s="129" t="s">
        <v>40</v>
      </c>
      <c r="B634" s="122"/>
      <c r="C634" s="122"/>
      <c r="D634" s="120" t="s">
        <v>25</v>
      </c>
      <c r="E634" s="128" t="s">
        <v>41</v>
      </c>
      <c r="F634" s="119"/>
      <c r="G634" s="120" t="s">
        <v>25</v>
      </c>
      <c r="H634" s="129"/>
      <c r="I634" s="122"/>
      <c r="J634" s="130"/>
    </row>
    <row r="635" spans="1:10" ht="13.5" customHeight="1">
      <c r="A635" s="270" t="s">
        <v>63</v>
      </c>
      <c r="B635" s="271"/>
      <c r="C635" s="272"/>
      <c r="D635" s="255">
        <f>SUM(D628:D634)</f>
        <v>60000</v>
      </c>
      <c r="E635" s="119" t="s">
        <v>43</v>
      </c>
      <c r="F635" s="119"/>
      <c r="G635" s="120" t="s">
        <v>25</v>
      </c>
      <c r="H635" s="129"/>
      <c r="I635" s="122"/>
      <c r="J635" s="130"/>
    </row>
    <row r="636" spans="1:10" ht="13.5" customHeight="1">
      <c r="A636" s="273"/>
      <c r="B636" s="259"/>
      <c r="C636" s="274"/>
      <c r="D636" s="256"/>
      <c r="E636" s="132" t="s">
        <v>21</v>
      </c>
      <c r="F636" s="133"/>
      <c r="G636" s="124">
        <f>SUM(G628:G635)</f>
        <v>2100</v>
      </c>
      <c r="H636" s="132" t="s">
        <v>44</v>
      </c>
      <c r="I636" s="133"/>
      <c r="J636" s="124">
        <f>D635-G636</f>
        <v>57900</v>
      </c>
    </row>
    <row r="637" spans="1:10" ht="13.5" customHeight="1">
      <c r="A637" s="121" t="s">
        <v>45</v>
      </c>
      <c r="B637" s="121"/>
      <c r="C637" s="121"/>
      <c r="D637" s="121"/>
      <c r="E637" s="121"/>
      <c r="F637" s="121"/>
      <c r="G637" s="121"/>
      <c r="H637" s="121"/>
      <c r="I637" s="121"/>
      <c r="J637" s="121"/>
    </row>
    <row r="638" spans="1:10" ht="13.5" customHeight="1"/>
    <row r="639" spans="1:10" ht="13.5" customHeight="1">
      <c r="A639" s="121"/>
      <c r="B639" s="121" t="s">
        <v>47</v>
      </c>
      <c r="C639" s="121"/>
      <c r="D639" s="121"/>
      <c r="E639" s="121" t="s">
        <v>48</v>
      </c>
      <c r="F639" s="121"/>
      <c r="G639" s="121"/>
      <c r="H639" s="121" t="s">
        <v>49</v>
      </c>
      <c r="I639" s="121"/>
      <c r="J639" s="121"/>
    </row>
    <row r="640" spans="1:10" ht="13.5" customHeight="1">
      <c r="A640" s="184" t="s">
        <v>0</v>
      </c>
      <c r="B640" s="185"/>
      <c r="C640" s="185"/>
      <c r="D640" s="185"/>
      <c r="E640" s="185"/>
      <c r="F640" s="185"/>
      <c r="G640" s="185"/>
      <c r="H640" s="185"/>
      <c r="I640" s="185"/>
      <c r="J640" s="186"/>
    </row>
    <row r="641" spans="1:10" ht="13.5" customHeight="1">
      <c r="A641" s="187" t="s">
        <v>1</v>
      </c>
      <c r="B641" s="188"/>
      <c r="C641" s="188"/>
      <c r="D641" s="188"/>
      <c r="E641" s="188"/>
      <c r="F641" s="188"/>
      <c r="G641" s="188"/>
      <c r="H641" s="188"/>
      <c r="I641" s="188"/>
      <c r="J641" s="189"/>
    </row>
    <row r="642" spans="1:10" ht="13.5" customHeight="1">
      <c r="A642" s="1" t="s">
        <v>2</v>
      </c>
      <c r="B642" s="1"/>
      <c r="C642" s="194" t="s">
        <v>204</v>
      </c>
      <c r="D642" s="194"/>
      <c r="E642" s="2"/>
      <c r="F642" s="3"/>
      <c r="G642" s="1" t="s">
        <v>4</v>
      </c>
      <c r="H642" s="191" t="s">
        <v>205</v>
      </c>
      <c r="I642" s="191"/>
      <c r="J642" s="191"/>
    </row>
    <row r="643" spans="1:10" ht="13.5" customHeight="1">
      <c r="A643" s="1" t="s">
        <v>6</v>
      </c>
      <c r="B643" s="1"/>
      <c r="C643" s="5" t="s">
        <v>206</v>
      </c>
      <c r="D643" s="5"/>
      <c r="E643" s="2"/>
      <c r="F643" s="3"/>
      <c r="G643" s="1" t="s">
        <v>8</v>
      </c>
      <c r="H643" s="193" t="s">
        <v>9</v>
      </c>
      <c r="I643" s="193"/>
      <c r="J643" s="193"/>
    </row>
    <row r="644" spans="1:10" ht="13.5" customHeight="1">
      <c r="A644" s="6" t="s">
        <v>10</v>
      </c>
      <c r="B644" s="6"/>
      <c r="C644" s="194" t="s">
        <v>67</v>
      </c>
      <c r="D644" s="194"/>
      <c r="E644" s="2"/>
      <c r="F644" s="3"/>
      <c r="G644" s="1" t="s">
        <v>12</v>
      </c>
      <c r="H644" s="195" t="s">
        <v>13</v>
      </c>
      <c r="I644" s="195"/>
      <c r="J644" s="195"/>
    </row>
    <row r="645" spans="1:10" ht="13.5" customHeight="1">
      <c r="A645" s="2"/>
      <c r="B645" s="2"/>
      <c r="C645" s="2" t="s">
        <v>15</v>
      </c>
      <c r="D645" s="2"/>
      <c r="E645" s="2"/>
      <c r="F645" s="3"/>
      <c r="G645" s="1" t="s">
        <v>16</v>
      </c>
      <c r="H645" s="196" t="s">
        <v>207</v>
      </c>
      <c r="I645" s="196"/>
      <c r="J645" s="196"/>
    </row>
    <row r="646" spans="1:10" ht="13.5" customHeight="1">
      <c r="A646" s="2">
        <v>30</v>
      </c>
      <c r="B646" s="2"/>
      <c r="C646" s="2">
        <f>A646-I646</f>
        <v>6</v>
      </c>
      <c r="D646" s="2"/>
      <c r="E646" s="2"/>
      <c r="F646" s="3"/>
      <c r="G646" s="8" t="s">
        <v>18</v>
      </c>
      <c r="H646" s="8"/>
      <c r="I646" s="9">
        <v>24</v>
      </c>
      <c r="J646" s="9"/>
    </row>
    <row r="647" spans="1:10" ht="13.5" customHeight="1">
      <c r="A647" s="198" t="s">
        <v>19</v>
      </c>
      <c r="B647" s="199"/>
      <c r="C647" s="200"/>
      <c r="D647" s="13" t="s">
        <v>20</v>
      </c>
      <c r="E647" s="14" t="s">
        <v>21</v>
      </c>
      <c r="F647" s="15"/>
      <c r="G647" s="16" t="s">
        <v>20</v>
      </c>
      <c r="H647" s="201" t="s">
        <v>22</v>
      </c>
      <c r="I647" s="202"/>
      <c r="J647" s="203"/>
    </row>
    <row r="648" spans="1:10" ht="13.5" customHeight="1">
      <c r="A648" s="17" t="s">
        <v>23</v>
      </c>
      <c r="B648" s="1"/>
      <c r="C648" s="1"/>
      <c r="D648" s="2">
        <v>55000</v>
      </c>
      <c r="E648" s="17" t="s">
        <v>24</v>
      </c>
      <c r="F648" s="1"/>
      <c r="G648" s="2" t="s">
        <v>25</v>
      </c>
      <c r="H648" s="18" t="s">
        <v>26</v>
      </c>
      <c r="I648" s="6"/>
      <c r="J648" s="19"/>
    </row>
    <row r="649" spans="1:10" ht="13.5" customHeight="1">
      <c r="A649" s="17" t="s">
        <v>57</v>
      </c>
      <c r="B649" s="209"/>
      <c r="C649" s="209"/>
      <c r="D649" s="2" t="s">
        <v>25</v>
      </c>
      <c r="E649" s="17" t="s">
        <v>58</v>
      </c>
      <c r="F649" s="1"/>
      <c r="G649" s="2" t="s">
        <v>25</v>
      </c>
      <c r="H649" s="18" t="s">
        <v>29</v>
      </c>
      <c r="I649" s="6"/>
      <c r="J649" s="19"/>
    </row>
    <row r="650" spans="1:10" ht="13.5" customHeight="1">
      <c r="A650" s="17" t="s">
        <v>30</v>
      </c>
      <c r="B650" s="1"/>
      <c r="C650" s="1"/>
      <c r="D650" s="2">
        <v>1100</v>
      </c>
      <c r="E650" s="17" t="s">
        <v>70</v>
      </c>
      <c r="F650" s="1"/>
      <c r="G650" s="2" t="s">
        <v>25</v>
      </c>
      <c r="H650" s="18" t="s">
        <v>32</v>
      </c>
      <c r="I650" s="6"/>
      <c r="J650" s="19"/>
    </row>
    <row r="651" spans="1:10" ht="13.5" customHeight="1">
      <c r="A651" s="17" t="s">
        <v>34</v>
      </c>
      <c r="B651" s="1"/>
      <c r="C651" s="1"/>
      <c r="D651" s="2" t="s">
        <v>25</v>
      </c>
      <c r="E651" s="17" t="s">
        <v>71</v>
      </c>
      <c r="F651" s="1"/>
      <c r="G651" s="2">
        <v>11000</v>
      </c>
      <c r="H651" s="18"/>
      <c r="I651" s="6"/>
      <c r="J651" s="19"/>
    </row>
    <row r="652" spans="1:10" ht="13.5" customHeight="1">
      <c r="A652" s="17" t="s">
        <v>72</v>
      </c>
      <c r="B652" s="1"/>
      <c r="C652" s="1"/>
      <c r="D652" s="2" t="s">
        <v>25</v>
      </c>
      <c r="E652" s="17" t="s">
        <v>61</v>
      </c>
      <c r="F652" s="1"/>
      <c r="G652" s="2" t="s">
        <v>25</v>
      </c>
      <c r="H652" s="211" t="s">
        <v>90</v>
      </c>
      <c r="I652" s="194"/>
      <c r="J652" s="212"/>
    </row>
    <row r="653" spans="1:10" ht="13.5" customHeight="1">
      <c r="A653" s="17" t="s">
        <v>136</v>
      </c>
      <c r="B653" s="1"/>
      <c r="C653" s="1"/>
      <c r="D653" s="2" t="s">
        <v>25</v>
      </c>
      <c r="E653" s="17" t="s">
        <v>39</v>
      </c>
      <c r="F653" s="1"/>
      <c r="G653" s="2">
        <v>100</v>
      </c>
      <c r="H653" s="18"/>
      <c r="I653" s="6"/>
      <c r="J653" s="19"/>
    </row>
    <row r="654" spans="1:10" ht="13.5" customHeight="1">
      <c r="A654" s="18" t="s">
        <v>40</v>
      </c>
      <c r="B654" s="6"/>
      <c r="C654" s="6"/>
      <c r="D654" s="2" t="s">
        <v>25</v>
      </c>
      <c r="E654" s="17" t="s">
        <v>62</v>
      </c>
      <c r="F654" s="1"/>
      <c r="G654" s="2" t="s">
        <v>25</v>
      </c>
      <c r="H654" s="18"/>
      <c r="I654" s="6"/>
      <c r="J654" s="19"/>
    </row>
    <row r="655" spans="1:10" ht="13.5" customHeight="1">
      <c r="A655" s="204" t="s">
        <v>63</v>
      </c>
      <c r="B655" s="205"/>
      <c r="C655" s="206"/>
      <c r="D655" s="229">
        <f>SUM(D648:D654)</f>
        <v>56100</v>
      </c>
      <c r="E655" s="1" t="s">
        <v>43</v>
      </c>
      <c r="F655" s="1"/>
      <c r="G655" s="2" t="s">
        <v>25</v>
      </c>
      <c r="H655" s="18"/>
      <c r="I655" s="6"/>
      <c r="J655" s="19"/>
    </row>
    <row r="656" spans="1:10" ht="13.5" customHeight="1">
      <c r="A656" s="207"/>
      <c r="B656" s="197"/>
      <c r="C656" s="208"/>
      <c r="D656" s="230"/>
      <c r="E656" s="21" t="s">
        <v>21</v>
      </c>
      <c r="F656" s="22"/>
      <c r="G656" s="13">
        <f>SUM(G648:G655)</f>
        <v>11100</v>
      </c>
      <c r="H656" s="21" t="s">
        <v>44</v>
      </c>
      <c r="I656" s="22"/>
      <c r="J656" s="13">
        <f>D655-G656</f>
        <v>45000</v>
      </c>
    </row>
    <row r="657" spans="1:10" ht="13.5" customHeight="1">
      <c r="A657" s="2"/>
      <c r="B657" s="2"/>
      <c r="C657" s="2"/>
      <c r="D657" s="2"/>
      <c r="E657" s="1"/>
      <c r="F657" s="1"/>
      <c r="G657" s="2"/>
      <c r="H657" s="1"/>
      <c r="I657" s="1"/>
      <c r="J657" s="2"/>
    </row>
    <row r="658" spans="1:10" ht="13.5" customHeight="1">
      <c r="A658" s="3" t="s">
        <v>45</v>
      </c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3.5" customHeight="1">
      <c r="A659" s="3"/>
      <c r="B659" s="3" t="s">
        <v>47</v>
      </c>
      <c r="C659" s="3"/>
      <c r="D659" s="3" t="s">
        <v>73</v>
      </c>
      <c r="E659" s="3" t="s">
        <v>48</v>
      </c>
      <c r="F659" s="3"/>
      <c r="G659" s="3"/>
      <c r="H659" s="3" t="s">
        <v>49</v>
      </c>
      <c r="I659" s="3"/>
      <c r="J659" s="3"/>
    </row>
    <row r="660" spans="1:10" ht="13.5" customHeight="1">
      <c r="A660" s="184" t="s">
        <v>0</v>
      </c>
      <c r="B660" s="185"/>
      <c r="C660" s="185"/>
      <c r="D660" s="185"/>
      <c r="E660" s="185"/>
      <c r="F660" s="185"/>
      <c r="G660" s="185"/>
      <c r="H660" s="185"/>
      <c r="I660" s="185"/>
      <c r="J660" s="186"/>
    </row>
    <row r="661" spans="1:10" ht="13.5" customHeight="1">
      <c r="A661" s="187" t="s">
        <v>1</v>
      </c>
      <c r="B661" s="188"/>
      <c r="C661" s="188"/>
      <c r="D661" s="188"/>
      <c r="E661" s="188"/>
      <c r="F661" s="188"/>
      <c r="G661" s="188"/>
      <c r="H661" s="188"/>
      <c r="I661" s="188"/>
      <c r="J661" s="189"/>
    </row>
    <row r="662" spans="1:10" ht="13.5" customHeight="1">
      <c r="A662" s="1" t="s">
        <v>2</v>
      </c>
      <c r="B662" s="1"/>
      <c r="C662" s="235" t="s">
        <v>210</v>
      </c>
      <c r="D662" s="235"/>
      <c r="E662" s="2"/>
      <c r="F662" s="3"/>
      <c r="G662" s="1" t="s">
        <v>4</v>
      </c>
      <c r="H662" s="193" t="s">
        <v>211</v>
      </c>
      <c r="I662" s="193"/>
      <c r="J662" s="193"/>
    </row>
    <row r="663" spans="1:10" ht="13.5" customHeight="1">
      <c r="A663" s="1" t="s">
        <v>6</v>
      </c>
      <c r="B663" s="1"/>
      <c r="C663" s="236" t="s">
        <v>212</v>
      </c>
      <c r="D663" s="236"/>
      <c r="E663" s="2"/>
      <c r="F663" s="3"/>
      <c r="G663" s="1" t="s">
        <v>8</v>
      </c>
      <c r="H663" s="193" t="s">
        <v>9</v>
      </c>
      <c r="I663" s="193"/>
      <c r="J663" s="193"/>
    </row>
    <row r="664" spans="1:10" ht="13.5" customHeight="1">
      <c r="A664" s="6" t="s">
        <v>10</v>
      </c>
      <c r="B664" s="6"/>
      <c r="C664" s="237" t="s">
        <v>67</v>
      </c>
      <c r="D664" s="237"/>
      <c r="E664" s="2"/>
      <c r="F664" s="3"/>
      <c r="G664" s="1" t="s">
        <v>12</v>
      </c>
      <c r="H664" s="195" t="s">
        <v>13</v>
      </c>
      <c r="I664" s="195"/>
      <c r="J664" s="195"/>
    </row>
    <row r="665" spans="1:10" ht="13.5" customHeight="1">
      <c r="A665" s="2" t="s">
        <v>14</v>
      </c>
      <c r="B665" s="2"/>
      <c r="C665" s="2" t="s">
        <v>15</v>
      </c>
      <c r="D665" s="2"/>
      <c r="E665" s="2"/>
      <c r="F665" s="3"/>
      <c r="G665" s="1" t="s">
        <v>16</v>
      </c>
      <c r="H665" s="196" t="s">
        <v>68</v>
      </c>
      <c r="I665" s="196"/>
      <c r="J665" s="196"/>
    </row>
    <row r="666" spans="1:10" ht="13.5" customHeight="1">
      <c r="A666" s="2">
        <v>30</v>
      </c>
      <c r="B666" s="2"/>
      <c r="C666" s="2">
        <f>A666-H666</f>
        <v>0</v>
      </c>
      <c r="D666" s="2"/>
      <c r="E666" s="2"/>
      <c r="F666" s="3"/>
      <c r="G666" s="8" t="s">
        <v>18</v>
      </c>
      <c r="H666" s="197">
        <v>30</v>
      </c>
      <c r="I666" s="197"/>
      <c r="J666" s="197"/>
    </row>
    <row r="667" spans="1:10" ht="13.5" customHeight="1">
      <c r="A667" s="198" t="s">
        <v>19</v>
      </c>
      <c r="B667" s="199"/>
      <c r="C667" s="200"/>
      <c r="D667" s="13" t="s">
        <v>20</v>
      </c>
      <c r="E667" s="14" t="s">
        <v>21</v>
      </c>
      <c r="F667" s="15"/>
      <c r="G667" s="16" t="s">
        <v>20</v>
      </c>
      <c r="H667" s="201" t="s">
        <v>22</v>
      </c>
      <c r="I667" s="202"/>
      <c r="J667" s="203"/>
    </row>
    <row r="668" spans="1:10" ht="13.5" customHeight="1">
      <c r="A668" s="17" t="s">
        <v>23</v>
      </c>
      <c r="B668" s="1"/>
      <c r="C668" s="1"/>
      <c r="D668" s="2">
        <v>55000</v>
      </c>
      <c r="E668" s="17" t="s">
        <v>24</v>
      </c>
      <c r="F668" s="1"/>
      <c r="G668" s="2" t="s">
        <v>25</v>
      </c>
      <c r="H668" s="18" t="s">
        <v>26</v>
      </c>
      <c r="I668" s="6"/>
      <c r="J668" s="19"/>
    </row>
    <row r="669" spans="1:10" ht="13.5" customHeight="1">
      <c r="A669" s="17" t="s">
        <v>77</v>
      </c>
      <c r="B669" s="209" t="s">
        <v>82</v>
      </c>
      <c r="C669" s="209"/>
      <c r="D669" s="2">
        <v>3667</v>
      </c>
      <c r="E669" s="17" t="s">
        <v>28</v>
      </c>
      <c r="F669" s="1"/>
      <c r="G669" s="2" t="s">
        <v>25</v>
      </c>
      <c r="H669" s="18" t="s">
        <v>29</v>
      </c>
      <c r="I669" s="6"/>
      <c r="J669" s="19"/>
    </row>
    <row r="670" spans="1:10" ht="13.5" customHeight="1">
      <c r="A670" s="17" t="s">
        <v>30</v>
      </c>
      <c r="B670" s="1"/>
      <c r="C670" s="1"/>
      <c r="D670" s="2" t="s">
        <v>25</v>
      </c>
      <c r="E670" s="17" t="s">
        <v>58</v>
      </c>
      <c r="F670" s="1"/>
      <c r="G670" s="2" t="s">
        <v>25</v>
      </c>
      <c r="H670" s="18" t="s">
        <v>32</v>
      </c>
      <c r="I670" s="6"/>
      <c r="J670" s="19"/>
    </row>
    <row r="671" spans="1:10" ht="13.5" customHeight="1">
      <c r="A671" s="17" t="s">
        <v>147</v>
      </c>
      <c r="B671" s="1"/>
      <c r="C671" s="1"/>
      <c r="D671" s="2" t="s">
        <v>25</v>
      </c>
      <c r="E671" s="17" t="s">
        <v>141</v>
      </c>
      <c r="F671" s="1"/>
      <c r="G671" s="2" t="s">
        <v>25</v>
      </c>
      <c r="H671" s="18"/>
      <c r="I671" s="36"/>
      <c r="J671" s="19"/>
    </row>
    <row r="672" spans="1:10" ht="13.5" customHeight="1">
      <c r="A672" s="18" t="s">
        <v>72</v>
      </c>
      <c r="B672" s="6"/>
      <c r="C672" s="6"/>
      <c r="D672" s="2" t="s">
        <v>25</v>
      </c>
      <c r="E672" s="17" t="s">
        <v>35</v>
      </c>
      <c r="F672" s="1"/>
      <c r="G672" s="2" t="s">
        <v>25</v>
      </c>
      <c r="H672" s="18" t="s">
        <v>213</v>
      </c>
      <c r="I672" s="6"/>
      <c r="J672" s="19"/>
    </row>
    <row r="673" spans="1:10" ht="13.5" customHeight="1">
      <c r="A673" s="17" t="s">
        <v>136</v>
      </c>
      <c r="B673" s="1"/>
      <c r="C673" s="1"/>
      <c r="D673" s="2" t="s">
        <v>25</v>
      </c>
      <c r="E673" s="17" t="s">
        <v>39</v>
      </c>
      <c r="F673" s="1"/>
      <c r="G673" s="2">
        <v>100</v>
      </c>
      <c r="H673" s="18"/>
      <c r="I673" s="6"/>
      <c r="J673" s="19"/>
    </row>
    <row r="674" spans="1:10" ht="13.5" customHeight="1">
      <c r="A674" s="18" t="s">
        <v>40</v>
      </c>
      <c r="B674" s="6"/>
      <c r="C674" s="6"/>
      <c r="D674" s="2" t="s">
        <v>25</v>
      </c>
      <c r="E674" s="17" t="s">
        <v>61</v>
      </c>
      <c r="F674" s="1"/>
      <c r="G674" s="2" t="s">
        <v>25</v>
      </c>
      <c r="H674" s="18"/>
      <c r="I674" s="6"/>
      <c r="J674" s="19"/>
    </row>
    <row r="675" spans="1:10" ht="13.5" customHeight="1">
      <c r="A675" s="204" t="s">
        <v>63</v>
      </c>
      <c r="B675" s="205"/>
      <c r="C675" s="206"/>
      <c r="D675" s="229">
        <f>SUM(D668:D674)</f>
        <v>58667</v>
      </c>
      <c r="E675" s="1" t="s">
        <v>214</v>
      </c>
      <c r="F675" s="1"/>
      <c r="G675" s="2" t="s">
        <v>25</v>
      </c>
      <c r="H675" s="18"/>
      <c r="I675" s="6"/>
      <c r="J675" s="19"/>
    </row>
    <row r="676" spans="1:10" ht="13.5" customHeight="1">
      <c r="A676" s="207"/>
      <c r="B676" s="197"/>
      <c r="C676" s="208"/>
      <c r="D676" s="230"/>
      <c r="E676" s="21" t="s">
        <v>21</v>
      </c>
      <c r="F676" s="22"/>
      <c r="G676" s="13">
        <f>SUM(G668:G675)</f>
        <v>100</v>
      </c>
      <c r="H676" s="21" t="s">
        <v>44</v>
      </c>
      <c r="I676" s="22"/>
      <c r="J676" s="13">
        <f>D675-G676</f>
        <v>58567</v>
      </c>
    </row>
    <row r="677" spans="1:10" ht="13.5" customHeight="1">
      <c r="A677" s="3" t="s">
        <v>45</v>
      </c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3.5" customHeight="1">
      <c r="A679" s="3"/>
      <c r="B679" s="3" t="s">
        <v>47</v>
      </c>
      <c r="C679" s="3"/>
      <c r="D679" s="3"/>
      <c r="E679" s="3" t="s">
        <v>48</v>
      </c>
      <c r="F679" s="3"/>
      <c r="G679" s="3"/>
      <c r="H679" s="3" t="s">
        <v>49</v>
      </c>
      <c r="I679" s="3"/>
      <c r="J679" s="3"/>
    </row>
    <row r="680" spans="1:10" ht="13.5" customHeight="1">
      <c r="A680" s="213" t="s">
        <v>0</v>
      </c>
      <c r="B680" s="214"/>
      <c r="C680" s="214"/>
      <c r="D680" s="214"/>
      <c r="E680" s="214"/>
      <c r="F680" s="214"/>
      <c r="G680" s="214"/>
      <c r="H680" s="214"/>
      <c r="I680" s="214"/>
      <c r="J680" s="215"/>
    </row>
    <row r="681" spans="1:10" ht="13.5" customHeight="1">
      <c r="A681" s="187" t="s">
        <v>1</v>
      </c>
      <c r="B681" s="188"/>
      <c r="C681" s="188"/>
      <c r="D681" s="188"/>
      <c r="E681" s="188"/>
      <c r="F681" s="188"/>
      <c r="G681" s="188"/>
      <c r="H681" s="188"/>
      <c r="I681" s="188"/>
      <c r="J681" s="189"/>
    </row>
    <row r="682" spans="1:10" ht="13.5" customHeight="1">
      <c r="A682" s="134" t="s">
        <v>2</v>
      </c>
      <c r="B682" s="134"/>
      <c r="C682" s="218"/>
      <c r="D682" s="218"/>
      <c r="E682" s="135"/>
      <c r="F682" s="136"/>
      <c r="G682" s="134" t="s">
        <v>4</v>
      </c>
      <c r="H682" s="191" t="s">
        <v>215</v>
      </c>
      <c r="I682" s="191"/>
      <c r="J682" s="191"/>
    </row>
    <row r="683" spans="1:10" ht="13.5" customHeight="1">
      <c r="A683" s="134" t="s">
        <v>6</v>
      </c>
      <c r="B683" s="134"/>
      <c r="C683" s="160" t="s">
        <v>217</v>
      </c>
      <c r="D683" s="160"/>
      <c r="E683" s="135"/>
      <c r="F683" s="136"/>
      <c r="G683" s="134" t="s">
        <v>8</v>
      </c>
      <c r="H683" s="217" t="s">
        <v>9</v>
      </c>
      <c r="I683" s="217"/>
      <c r="J683" s="217"/>
    </row>
    <row r="684" spans="1:10" ht="13.5" customHeight="1">
      <c r="A684" s="23" t="s">
        <v>10</v>
      </c>
      <c r="B684" s="23"/>
      <c r="C684" s="218" t="s">
        <v>218</v>
      </c>
      <c r="D684" s="218"/>
      <c r="E684" s="135"/>
      <c r="F684" s="136"/>
      <c r="G684" s="134" t="s">
        <v>12</v>
      </c>
      <c r="H684" s="195" t="s">
        <v>13</v>
      </c>
      <c r="I684" s="195"/>
      <c r="J684" s="195"/>
    </row>
    <row r="685" spans="1:10" ht="13.5" customHeight="1">
      <c r="A685" s="135" t="s">
        <v>14</v>
      </c>
      <c r="B685" s="135"/>
      <c r="C685" s="135" t="s">
        <v>15</v>
      </c>
      <c r="D685" s="135"/>
      <c r="E685" s="135"/>
      <c r="F685" s="136"/>
      <c r="G685" s="134" t="s">
        <v>16</v>
      </c>
      <c r="H685" s="219" t="s">
        <v>68</v>
      </c>
      <c r="I685" s="219"/>
      <c r="J685" s="219"/>
    </row>
    <row r="686" spans="1:10" ht="13.5" customHeight="1">
      <c r="A686" s="135">
        <v>30</v>
      </c>
      <c r="B686" s="135"/>
      <c r="C686" s="135">
        <f>A686-H686</f>
        <v>0</v>
      </c>
      <c r="D686" s="135"/>
      <c r="E686" s="135"/>
      <c r="F686" s="136"/>
      <c r="G686" s="137" t="s">
        <v>18</v>
      </c>
      <c r="H686" s="220">
        <v>30</v>
      </c>
      <c r="I686" s="220"/>
      <c r="J686" s="220"/>
    </row>
    <row r="687" spans="1:10" ht="13.5" customHeight="1">
      <c r="A687" s="221" t="s">
        <v>19</v>
      </c>
      <c r="B687" s="222"/>
      <c r="C687" s="223"/>
      <c r="D687" s="138" t="s">
        <v>20</v>
      </c>
      <c r="E687" s="139" t="s">
        <v>21</v>
      </c>
      <c r="F687" s="140"/>
      <c r="G687" s="141" t="s">
        <v>20</v>
      </c>
      <c r="H687" s="224" t="s">
        <v>22</v>
      </c>
      <c r="I687" s="225"/>
      <c r="J687" s="226"/>
    </row>
    <row r="688" spans="1:10" ht="13.5" customHeight="1">
      <c r="A688" s="142" t="s">
        <v>23</v>
      </c>
      <c r="B688" s="134"/>
      <c r="C688" s="134"/>
      <c r="D688" s="135">
        <v>25000</v>
      </c>
      <c r="E688" s="142" t="s">
        <v>24</v>
      </c>
      <c r="F688" s="134"/>
      <c r="G688" s="135" t="s">
        <v>25</v>
      </c>
      <c r="H688" s="18" t="s">
        <v>26</v>
      </c>
      <c r="I688" s="23"/>
      <c r="J688" s="24"/>
    </row>
    <row r="689" spans="1:10" ht="13.5" customHeight="1">
      <c r="A689" s="142" t="s">
        <v>77</v>
      </c>
      <c r="B689" s="227"/>
      <c r="C689" s="227"/>
      <c r="D689" s="135" t="s">
        <v>25</v>
      </c>
      <c r="E689" s="142" t="s">
        <v>28</v>
      </c>
      <c r="F689" s="134"/>
      <c r="G689" s="135" t="s">
        <v>25</v>
      </c>
      <c r="H689" s="18" t="s">
        <v>29</v>
      </c>
      <c r="I689" s="23"/>
      <c r="J689" s="24"/>
    </row>
    <row r="690" spans="1:10" ht="13.5" customHeight="1">
      <c r="A690" s="142" t="s">
        <v>30</v>
      </c>
      <c r="B690" s="134"/>
      <c r="C690" s="134"/>
      <c r="D690" s="135" t="s">
        <v>25</v>
      </c>
      <c r="E690" s="142" t="s">
        <v>40</v>
      </c>
      <c r="F690" s="134"/>
      <c r="G690" s="135" t="s">
        <v>25</v>
      </c>
      <c r="H690" s="18" t="s">
        <v>32</v>
      </c>
      <c r="I690" s="23"/>
      <c r="J690" s="24"/>
    </row>
    <row r="691" spans="1:10" ht="13.5" customHeight="1">
      <c r="A691" s="142" t="s">
        <v>34</v>
      </c>
      <c r="B691" s="134"/>
      <c r="C691" s="134"/>
      <c r="D691" s="135" t="s">
        <v>25</v>
      </c>
      <c r="E691" s="142" t="s">
        <v>35</v>
      </c>
      <c r="F691" s="134"/>
      <c r="G691" s="135" t="s">
        <v>25</v>
      </c>
      <c r="H691" s="143"/>
      <c r="I691" s="23"/>
      <c r="J691" s="24"/>
    </row>
    <row r="692" spans="1:10" ht="13.5" customHeight="1">
      <c r="A692" s="142" t="s">
        <v>110</v>
      </c>
      <c r="B692" s="134"/>
      <c r="C692" s="134"/>
      <c r="D692" s="135" t="s">
        <v>25</v>
      </c>
      <c r="E692" s="142" t="s">
        <v>61</v>
      </c>
      <c r="F692" s="135"/>
      <c r="G692" s="135" t="s">
        <v>25</v>
      </c>
      <c r="H692" s="161" t="s">
        <v>219</v>
      </c>
      <c r="I692" s="162"/>
      <c r="J692" s="169">
        <v>22669</v>
      </c>
    </row>
    <row r="693" spans="1:10" ht="13.5" customHeight="1">
      <c r="A693" s="142" t="s">
        <v>136</v>
      </c>
      <c r="B693" s="134"/>
      <c r="C693" s="134"/>
      <c r="D693" s="135" t="s">
        <v>25</v>
      </c>
      <c r="E693" s="142" t="s">
        <v>39</v>
      </c>
      <c r="F693" s="134"/>
      <c r="G693" s="135">
        <v>100</v>
      </c>
      <c r="H693" s="164"/>
      <c r="I693" s="165"/>
      <c r="J693" s="166"/>
    </row>
    <row r="694" spans="1:10" ht="13.5" customHeight="1">
      <c r="A694" s="143" t="s">
        <v>40</v>
      </c>
      <c r="B694" s="23"/>
      <c r="C694" s="23"/>
      <c r="D694" s="135" t="s">
        <v>25</v>
      </c>
      <c r="E694" s="142" t="s">
        <v>62</v>
      </c>
      <c r="F694" s="135"/>
      <c r="G694" s="135" t="s">
        <v>25</v>
      </c>
      <c r="H694" s="143"/>
      <c r="I694" s="23"/>
      <c r="J694" s="24"/>
    </row>
    <row r="695" spans="1:10" ht="13.5" customHeight="1">
      <c r="A695" s="243" t="s">
        <v>63</v>
      </c>
      <c r="B695" s="244"/>
      <c r="C695" s="245"/>
      <c r="D695" s="238">
        <f>SUM(D688:D694)</f>
        <v>25000</v>
      </c>
      <c r="E695" s="134" t="s">
        <v>43</v>
      </c>
      <c r="F695" s="134"/>
      <c r="G695" s="135" t="s">
        <v>25</v>
      </c>
      <c r="H695" s="143"/>
      <c r="I695" s="23"/>
      <c r="J695" s="24"/>
    </row>
    <row r="696" spans="1:10" ht="13.5" customHeight="1">
      <c r="A696" s="246"/>
      <c r="B696" s="247"/>
      <c r="C696" s="248"/>
      <c r="D696" s="239"/>
      <c r="E696" s="146" t="s">
        <v>21</v>
      </c>
      <c r="F696" s="147"/>
      <c r="G696" s="138">
        <f>SUM(G688:G695)</f>
        <v>100</v>
      </c>
      <c r="H696" s="146" t="s">
        <v>44</v>
      </c>
      <c r="I696" s="147"/>
      <c r="J696" s="138">
        <v>22669</v>
      </c>
    </row>
    <row r="697" spans="1:10" ht="13.5" customHeight="1">
      <c r="A697" s="136" t="s">
        <v>45</v>
      </c>
      <c r="B697" s="136"/>
      <c r="C697" s="136"/>
      <c r="D697" s="136"/>
      <c r="E697" s="136"/>
      <c r="F697" s="136"/>
      <c r="G697" s="136"/>
      <c r="H697" s="136"/>
      <c r="I697" s="136"/>
      <c r="J697" s="136"/>
    </row>
    <row r="698" spans="1:10" ht="13.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</row>
    <row r="699" spans="1:10" ht="13.5" customHeight="1">
      <c r="A699" s="136"/>
      <c r="B699" s="136" t="s">
        <v>47</v>
      </c>
      <c r="C699" s="136"/>
      <c r="D699" s="136"/>
      <c r="E699" s="136" t="s">
        <v>48</v>
      </c>
      <c r="F699" s="136"/>
      <c r="G699" s="136"/>
      <c r="H699" s="136" t="s">
        <v>49</v>
      </c>
      <c r="I699" s="136"/>
      <c r="J699" s="136"/>
    </row>
    <row r="700" spans="1:10" ht="13.5" customHeight="1">
      <c r="A700" s="213" t="s">
        <v>0</v>
      </c>
      <c r="B700" s="214"/>
      <c r="C700" s="214"/>
      <c r="D700" s="214"/>
      <c r="E700" s="214"/>
      <c r="F700" s="214"/>
      <c r="G700" s="214"/>
      <c r="H700" s="214"/>
      <c r="I700" s="214"/>
      <c r="J700" s="215"/>
    </row>
    <row r="701" spans="1:10" ht="13.5" customHeight="1">
      <c r="A701" s="187" t="s">
        <v>1</v>
      </c>
      <c r="B701" s="188"/>
      <c r="C701" s="188"/>
      <c r="D701" s="188"/>
      <c r="E701" s="188"/>
      <c r="F701" s="188"/>
      <c r="G701" s="188"/>
      <c r="H701" s="188"/>
      <c r="I701" s="188"/>
      <c r="J701" s="189"/>
    </row>
    <row r="702" spans="1:10" ht="13.5" customHeight="1">
      <c r="A702" s="134" t="s">
        <v>2</v>
      </c>
      <c r="B702" s="134"/>
      <c r="C702" s="218" t="s">
        <v>220</v>
      </c>
      <c r="D702" s="218"/>
      <c r="E702" s="135"/>
      <c r="F702" s="136"/>
      <c r="G702" s="134" t="s">
        <v>4</v>
      </c>
      <c r="H702" s="191" t="s">
        <v>221</v>
      </c>
      <c r="I702" s="191"/>
      <c r="J702" s="191"/>
    </row>
    <row r="703" spans="1:10" ht="13.5" customHeight="1">
      <c r="A703" s="134" t="s">
        <v>6</v>
      </c>
      <c r="B703" s="134"/>
      <c r="C703" s="160" t="s">
        <v>222</v>
      </c>
      <c r="D703" s="160"/>
      <c r="E703" s="135"/>
      <c r="F703" s="136"/>
      <c r="G703" s="134" t="s">
        <v>8</v>
      </c>
      <c r="H703" s="217" t="s">
        <v>9</v>
      </c>
      <c r="I703" s="217"/>
      <c r="J703" s="217"/>
    </row>
    <row r="704" spans="1:10" ht="13.5" customHeight="1">
      <c r="A704" s="23" t="s">
        <v>10</v>
      </c>
      <c r="B704" s="23"/>
      <c r="C704" s="218" t="s">
        <v>67</v>
      </c>
      <c r="D704" s="218"/>
      <c r="E704" s="135"/>
      <c r="F704" s="136"/>
      <c r="G704" s="134" t="s">
        <v>12</v>
      </c>
      <c r="H704" s="195" t="s">
        <v>13</v>
      </c>
      <c r="I704" s="195"/>
      <c r="J704" s="195"/>
    </row>
    <row r="705" spans="1:10" ht="13.5" customHeight="1">
      <c r="A705" s="135" t="s">
        <v>14</v>
      </c>
      <c r="B705" s="135"/>
      <c r="C705" s="135" t="s">
        <v>15</v>
      </c>
      <c r="D705" s="135"/>
      <c r="E705" s="135"/>
      <c r="F705" s="136"/>
      <c r="G705" s="134" t="s">
        <v>16</v>
      </c>
      <c r="H705" s="219" t="s">
        <v>55</v>
      </c>
      <c r="I705" s="219"/>
      <c r="J705" s="219"/>
    </row>
    <row r="706" spans="1:10" ht="13.5" customHeight="1">
      <c r="A706" s="135">
        <v>30</v>
      </c>
      <c r="B706" s="135"/>
      <c r="C706" s="135">
        <f>A706-H706</f>
        <v>0</v>
      </c>
      <c r="D706" s="135"/>
      <c r="E706" s="135"/>
      <c r="F706" s="136"/>
      <c r="G706" s="137" t="s">
        <v>18</v>
      </c>
      <c r="H706" s="220">
        <v>30</v>
      </c>
      <c r="I706" s="220"/>
      <c r="J706" s="220"/>
    </row>
    <row r="707" spans="1:10" ht="13.5" customHeight="1">
      <c r="A707" s="221" t="s">
        <v>19</v>
      </c>
      <c r="B707" s="222"/>
      <c r="C707" s="223"/>
      <c r="D707" s="138" t="s">
        <v>20</v>
      </c>
      <c r="E707" s="139" t="s">
        <v>21</v>
      </c>
      <c r="F707" s="140"/>
      <c r="G707" s="141" t="s">
        <v>20</v>
      </c>
      <c r="H707" s="224" t="s">
        <v>22</v>
      </c>
      <c r="I707" s="225"/>
      <c r="J707" s="226"/>
    </row>
    <row r="708" spans="1:10" ht="13.5" customHeight="1">
      <c r="A708" s="142" t="s">
        <v>23</v>
      </c>
      <c r="B708" s="134"/>
      <c r="C708" s="134"/>
      <c r="D708" s="135">
        <v>80000</v>
      </c>
      <c r="E708" s="142" t="s">
        <v>24</v>
      </c>
      <c r="F708" s="134"/>
      <c r="G708" s="135" t="s">
        <v>25</v>
      </c>
      <c r="H708" s="18" t="s">
        <v>26</v>
      </c>
      <c r="I708" s="23"/>
      <c r="J708" s="24"/>
    </row>
    <row r="709" spans="1:10" ht="13.5" customHeight="1">
      <c r="A709" s="142" t="s">
        <v>77</v>
      </c>
      <c r="B709" s="227" t="s">
        <v>223</v>
      </c>
      <c r="C709" s="227"/>
      <c r="D709" s="135">
        <v>2667</v>
      </c>
      <c r="E709" s="142" t="s">
        <v>28</v>
      </c>
      <c r="F709" s="134"/>
      <c r="G709" s="135" t="s">
        <v>25</v>
      </c>
      <c r="H709" s="18" t="s">
        <v>29</v>
      </c>
      <c r="I709" s="23"/>
      <c r="J709" s="24"/>
    </row>
    <row r="710" spans="1:10" ht="13.5" customHeight="1">
      <c r="A710" s="142" t="s">
        <v>30</v>
      </c>
      <c r="B710" s="134"/>
      <c r="C710" s="134"/>
      <c r="D710" s="135" t="s">
        <v>25</v>
      </c>
      <c r="E710" s="142" t="s">
        <v>224</v>
      </c>
      <c r="F710" s="134"/>
      <c r="G710" s="135" t="s">
        <v>25</v>
      </c>
      <c r="H710" s="18" t="s">
        <v>32</v>
      </c>
      <c r="I710" s="23"/>
      <c r="J710" s="24"/>
    </row>
    <row r="711" spans="1:10" ht="13.5" customHeight="1">
      <c r="A711" s="142" t="s">
        <v>34</v>
      </c>
      <c r="B711" s="134"/>
      <c r="C711" s="134"/>
      <c r="D711" s="135" t="s">
        <v>25</v>
      </c>
      <c r="E711" s="142" t="s">
        <v>35</v>
      </c>
      <c r="F711" s="134"/>
      <c r="G711" s="135" t="s">
        <v>25</v>
      </c>
      <c r="H711" s="143"/>
      <c r="I711" s="23"/>
      <c r="J711" s="24"/>
    </row>
    <row r="712" spans="1:10" ht="13.5" customHeight="1">
      <c r="A712" s="142" t="s">
        <v>110</v>
      </c>
      <c r="B712" s="134"/>
      <c r="C712" s="134"/>
      <c r="D712" s="135" t="s">
        <v>25</v>
      </c>
      <c r="E712" s="142" t="s">
        <v>61</v>
      </c>
      <c r="F712" s="135"/>
      <c r="G712" s="135" t="s">
        <v>25</v>
      </c>
      <c r="H712" s="161" t="s">
        <v>225</v>
      </c>
      <c r="I712" s="162"/>
      <c r="J712" s="163"/>
    </row>
    <row r="713" spans="1:10" ht="13.5" customHeight="1">
      <c r="A713" s="142" t="s">
        <v>136</v>
      </c>
      <c r="B713" s="134"/>
      <c r="C713" s="134"/>
      <c r="D713" s="135" t="s">
        <v>25</v>
      </c>
      <c r="E713" s="142" t="s">
        <v>39</v>
      </c>
      <c r="F713" s="134"/>
      <c r="G713" s="135">
        <v>100</v>
      </c>
      <c r="H713" s="164" t="s">
        <v>226</v>
      </c>
      <c r="I713" s="165"/>
      <c r="J713" s="166"/>
    </row>
    <row r="714" spans="1:10" ht="13.5" customHeight="1">
      <c r="A714" s="143" t="s">
        <v>40</v>
      </c>
      <c r="B714" s="23"/>
      <c r="C714" s="23"/>
      <c r="D714" s="135" t="s">
        <v>25</v>
      </c>
      <c r="E714" s="142" t="s">
        <v>62</v>
      </c>
      <c r="F714" s="135">
        <v>36</v>
      </c>
      <c r="G714" s="135">
        <v>8000</v>
      </c>
      <c r="H714" s="143"/>
      <c r="I714" s="23"/>
      <c r="J714" s="24"/>
    </row>
    <row r="715" spans="1:10" ht="13.5" customHeight="1">
      <c r="A715" s="243" t="s">
        <v>63</v>
      </c>
      <c r="B715" s="244"/>
      <c r="C715" s="245"/>
      <c r="D715" s="238">
        <f>SUM(D708:D714)</f>
        <v>82667</v>
      </c>
      <c r="E715" s="134" t="s">
        <v>43</v>
      </c>
      <c r="F715" s="134"/>
      <c r="G715" s="135" t="s">
        <v>25</v>
      </c>
      <c r="H715" s="143"/>
      <c r="I715" s="23"/>
      <c r="J715" s="24"/>
    </row>
    <row r="716" spans="1:10" ht="13.5" customHeight="1">
      <c r="A716" s="246"/>
      <c r="B716" s="247"/>
      <c r="C716" s="248"/>
      <c r="D716" s="239"/>
      <c r="E716" s="146" t="s">
        <v>21</v>
      </c>
      <c r="F716" s="147"/>
      <c r="G716" s="138">
        <f>SUM(G708:G715)</f>
        <v>8100</v>
      </c>
      <c r="H716" s="146" t="s">
        <v>44</v>
      </c>
      <c r="I716" s="147"/>
      <c r="J716" s="138">
        <f>D715-G716</f>
        <v>74567</v>
      </c>
    </row>
    <row r="717" spans="1:10" ht="13.5" customHeight="1">
      <c r="A717" s="136" t="s">
        <v>45</v>
      </c>
      <c r="B717" s="136"/>
      <c r="C717" s="136"/>
      <c r="D717" s="136"/>
      <c r="E717" s="136"/>
      <c r="F717" s="136"/>
      <c r="G717" s="136"/>
      <c r="H717" s="136"/>
      <c r="I717" s="136"/>
      <c r="J717" s="136"/>
    </row>
    <row r="718" spans="1:10" ht="13.5" customHeight="1">
      <c r="A718" s="136"/>
      <c r="B718" s="136" t="s">
        <v>47</v>
      </c>
      <c r="C718" s="136"/>
      <c r="D718" s="136"/>
      <c r="E718" s="136" t="s">
        <v>48</v>
      </c>
      <c r="F718" s="136"/>
      <c r="G718" s="136"/>
      <c r="H718" s="136" t="s">
        <v>49</v>
      </c>
      <c r="I718" s="136"/>
      <c r="J718" s="136"/>
    </row>
    <row r="719" spans="1:10" ht="13.5" customHeight="1"/>
    <row r="720" spans="1:10" ht="13.5" customHeight="1">
      <c r="A720" s="184" t="s">
        <v>0</v>
      </c>
      <c r="B720" s="185"/>
      <c r="C720" s="185"/>
      <c r="D720" s="185"/>
      <c r="E720" s="185"/>
      <c r="F720" s="185"/>
      <c r="G720" s="185"/>
      <c r="H720" s="185"/>
      <c r="I720" s="185"/>
      <c r="J720" s="186"/>
    </row>
    <row r="721" spans="1:10" ht="13.5" customHeight="1">
      <c r="A721" s="187" t="s">
        <v>1</v>
      </c>
      <c r="B721" s="188"/>
      <c r="C721" s="188"/>
      <c r="D721" s="188"/>
      <c r="E721" s="188"/>
      <c r="F721" s="188"/>
      <c r="G721" s="188"/>
      <c r="H721" s="188"/>
      <c r="I721" s="188"/>
      <c r="J721" s="189"/>
    </row>
    <row r="722" spans="1:10" ht="13.5" customHeight="1">
      <c r="A722" s="1" t="s">
        <v>2</v>
      </c>
      <c r="B722" s="1"/>
      <c r="C722" s="209"/>
      <c r="D722" s="209"/>
      <c r="E722" s="2"/>
      <c r="F722" s="3"/>
      <c r="G722" s="1" t="s">
        <v>4</v>
      </c>
      <c r="H722" s="191" t="s">
        <v>227</v>
      </c>
      <c r="I722" s="191"/>
      <c r="J722" s="191"/>
    </row>
    <row r="723" spans="1:10" ht="13.5" customHeight="1">
      <c r="A723" s="1" t="s">
        <v>6</v>
      </c>
      <c r="B723" s="1"/>
      <c r="C723" s="192" t="s">
        <v>228</v>
      </c>
      <c r="D723" s="192"/>
      <c r="E723" s="2"/>
      <c r="F723" s="3"/>
      <c r="G723" s="1" t="s">
        <v>8</v>
      </c>
      <c r="H723" s="193" t="s">
        <v>9</v>
      </c>
      <c r="I723" s="193"/>
      <c r="J723" s="193"/>
    </row>
    <row r="724" spans="1:10" ht="13.5" customHeight="1">
      <c r="A724" s="6" t="s">
        <v>10</v>
      </c>
      <c r="B724" s="6"/>
      <c r="C724" s="194" t="s">
        <v>67</v>
      </c>
      <c r="D724" s="194"/>
      <c r="E724" s="2"/>
      <c r="F724" s="3"/>
      <c r="G724" s="1" t="s">
        <v>12</v>
      </c>
      <c r="H724" s="195" t="s">
        <v>13</v>
      </c>
      <c r="I724" s="195"/>
      <c r="J724" s="195"/>
    </row>
    <row r="725" spans="1:10" ht="13.5" customHeight="1">
      <c r="A725" s="2" t="s">
        <v>14</v>
      </c>
      <c r="B725" s="2"/>
      <c r="C725" s="1" t="s">
        <v>15</v>
      </c>
      <c r="D725" s="1"/>
      <c r="E725" s="2"/>
      <c r="F725" s="3"/>
      <c r="G725" s="1" t="s">
        <v>16</v>
      </c>
      <c r="H725" s="209" t="s">
        <v>68</v>
      </c>
      <c r="I725" s="209"/>
      <c r="J725" s="209"/>
    </row>
    <row r="726" spans="1:10" ht="13.5" customHeight="1">
      <c r="A726" s="2">
        <v>30</v>
      </c>
      <c r="B726" s="2"/>
      <c r="C726" s="2">
        <f>A726-H726</f>
        <v>0</v>
      </c>
      <c r="D726" s="2"/>
      <c r="E726" s="2"/>
      <c r="F726" s="3"/>
      <c r="G726" s="8" t="s">
        <v>18</v>
      </c>
      <c r="H726" s="197">
        <v>30</v>
      </c>
      <c r="I726" s="197"/>
      <c r="J726" s="197"/>
    </row>
    <row r="727" spans="1:10" ht="13.5" customHeight="1">
      <c r="A727" s="198" t="s">
        <v>19</v>
      </c>
      <c r="B727" s="199"/>
      <c r="C727" s="200"/>
      <c r="D727" s="13" t="s">
        <v>20</v>
      </c>
      <c r="E727" s="14" t="s">
        <v>21</v>
      </c>
      <c r="F727" s="15"/>
      <c r="G727" s="16" t="s">
        <v>20</v>
      </c>
      <c r="H727" s="201" t="s">
        <v>22</v>
      </c>
      <c r="I727" s="202"/>
      <c r="J727" s="203"/>
    </row>
    <row r="728" spans="1:10" ht="13.5" customHeight="1">
      <c r="A728" s="17" t="s">
        <v>56</v>
      </c>
      <c r="B728" s="1"/>
      <c r="C728" s="1"/>
      <c r="D728" s="2">
        <v>65000</v>
      </c>
      <c r="E728" s="17" t="s">
        <v>24</v>
      </c>
      <c r="F728" s="1"/>
      <c r="G728" s="2" t="s">
        <v>25</v>
      </c>
      <c r="H728" s="18" t="s">
        <v>26</v>
      </c>
      <c r="I728" s="6"/>
      <c r="J728" s="19"/>
    </row>
    <row r="729" spans="1:10" ht="13.5" customHeight="1">
      <c r="A729" s="17" t="s">
        <v>57</v>
      </c>
      <c r="B729" s="209" t="s">
        <v>229</v>
      </c>
      <c r="C729" s="209"/>
      <c r="D729" s="2">
        <v>1083</v>
      </c>
      <c r="E729" s="17" t="s">
        <v>28</v>
      </c>
      <c r="F729" s="1"/>
      <c r="G729" s="2" t="s">
        <v>25</v>
      </c>
      <c r="H729" s="18" t="s">
        <v>29</v>
      </c>
      <c r="I729" s="6"/>
      <c r="J729" s="19"/>
    </row>
    <row r="730" spans="1:10" ht="13.5" customHeight="1">
      <c r="A730" s="17" t="s">
        <v>30</v>
      </c>
      <c r="B730" s="1"/>
      <c r="C730" s="1"/>
      <c r="D730" s="2">
        <v>1017</v>
      </c>
      <c r="E730" s="17" t="s">
        <v>146</v>
      </c>
      <c r="F730" s="1"/>
      <c r="G730" s="2" t="s">
        <v>25</v>
      </c>
      <c r="H730" s="18" t="s">
        <v>32</v>
      </c>
      <c r="I730" s="6"/>
      <c r="J730" s="19"/>
    </row>
    <row r="731" spans="1:10" ht="13.5" customHeight="1">
      <c r="A731" s="17" t="s">
        <v>72</v>
      </c>
      <c r="B731" s="1"/>
      <c r="C731" s="1"/>
      <c r="D731" s="2" t="s">
        <v>25</v>
      </c>
      <c r="E731" s="17" t="s">
        <v>35</v>
      </c>
      <c r="F731" s="1"/>
      <c r="G731" s="2" t="s">
        <v>25</v>
      </c>
      <c r="H731" s="18"/>
      <c r="I731" s="6"/>
      <c r="J731" s="19"/>
    </row>
    <row r="732" spans="1:10" ht="13.5" customHeight="1">
      <c r="A732" s="17" t="s">
        <v>230</v>
      </c>
      <c r="B732" s="6"/>
      <c r="C732" s="6"/>
      <c r="D732" s="2">
        <v>8000</v>
      </c>
      <c r="E732" s="17" t="s">
        <v>62</v>
      </c>
      <c r="F732" s="1"/>
      <c r="G732" s="2" t="s">
        <v>25</v>
      </c>
      <c r="H732" s="18" t="s">
        <v>231</v>
      </c>
      <c r="I732" s="6"/>
      <c r="J732" s="19"/>
    </row>
    <row r="733" spans="1:10" ht="13.5" customHeight="1">
      <c r="A733" s="17" t="s">
        <v>136</v>
      </c>
      <c r="B733" s="1"/>
      <c r="C733" s="1"/>
      <c r="D733" s="2" t="s">
        <v>25</v>
      </c>
      <c r="E733" s="17" t="s">
        <v>39</v>
      </c>
      <c r="F733" s="1"/>
      <c r="G733" s="2">
        <v>100</v>
      </c>
      <c r="H733" s="18"/>
      <c r="I733" s="6"/>
      <c r="J733" s="19"/>
    </row>
    <row r="734" spans="1:10" ht="13.5" customHeight="1">
      <c r="A734" s="18" t="s">
        <v>40</v>
      </c>
      <c r="B734" s="6"/>
      <c r="C734" s="6"/>
      <c r="D734" s="2" t="s">
        <v>25</v>
      </c>
      <c r="E734" s="17" t="s">
        <v>62</v>
      </c>
      <c r="F734" s="1"/>
      <c r="G734" s="2" t="s">
        <v>25</v>
      </c>
      <c r="H734" s="18"/>
      <c r="I734" s="6"/>
      <c r="J734" s="19"/>
    </row>
    <row r="735" spans="1:10" ht="13.5" customHeight="1">
      <c r="A735" s="204" t="s">
        <v>63</v>
      </c>
      <c r="B735" s="205"/>
      <c r="C735" s="206"/>
      <c r="D735" s="229">
        <f>SUM(D728:D734)</f>
        <v>75100</v>
      </c>
      <c r="E735" s="1" t="s">
        <v>43</v>
      </c>
      <c r="F735" s="1"/>
      <c r="G735" s="2" t="s">
        <v>25</v>
      </c>
      <c r="H735" s="18"/>
      <c r="I735" s="6"/>
      <c r="J735" s="19"/>
    </row>
    <row r="736" spans="1:10" ht="13.5" customHeight="1">
      <c r="A736" s="207"/>
      <c r="B736" s="197"/>
      <c r="C736" s="208"/>
      <c r="D736" s="230"/>
      <c r="E736" s="21" t="s">
        <v>21</v>
      </c>
      <c r="F736" s="22"/>
      <c r="G736" s="13">
        <f>SUM(G728:G735)</f>
        <v>100</v>
      </c>
      <c r="H736" s="21" t="s">
        <v>44</v>
      </c>
      <c r="I736" s="22"/>
      <c r="J736" s="13">
        <f>D735-G736</f>
        <v>75000</v>
      </c>
    </row>
    <row r="737" spans="1:10" ht="13.5" customHeight="1">
      <c r="A737" s="3" t="s">
        <v>45</v>
      </c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3.5" customHeight="1">
      <c r="A739" s="3"/>
      <c r="B739" s="3" t="s">
        <v>47</v>
      </c>
      <c r="C739" s="3"/>
      <c r="D739" s="3"/>
      <c r="E739" s="3" t="s">
        <v>48</v>
      </c>
      <c r="F739" s="3"/>
      <c r="G739" s="3"/>
      <c r="H739" s="3" t="s">
        <v>49</v>
      </c>
      <c r="I739" s="3"/>
      <c r="J739" s="3"/>
    </row>
    <row r="740" spans="1:10" ht="12.75" customHeight="1">
      <c r="A740" s="184" t="s">
        <v>0</v>
      </c>
      <c r="B740" s="185"/>
      <c r="C740" s="185"/>
      <c r="D740" s="185"/>
      <c r="E740" s="185"/>
      <c r="F740" s="185"/>
      <c r="G740" s="185"/>
      <c r="H740" s="185"/>
      <c r="I740" s="185"/>
      <c r="J740" s="186"/>
    </row>
    <row r="741" spans="1:10" ht="12.75" customHeight="1">
      <c r="A741" s="187" t="s">
        <v>1</v>
      </c>
      <c r="B741" s="188"/>
      <c r="C741" s="188"/>
      <c r="D741" s="188"/>
      <c r="E741" s="188"/>
      <c r="F741" s="188"/>
      <c r="G741" s="188"/>
      <c r="H741" s="188"/>
      <c r="I741" s="188"/>
      <c r="J741" s="189"/>
    </row>
    <row r="742" spans="1:10" ht="12.75" customHeight="1">
      <c r="A742" s="1" t="s">
        <v>2</v>
      </c>
      <c r="B742" s="1"/>
      <c r="C742" s="190" t="s">
        <v>232</v>
      </c>
      <c r="D742" s="190"/>
      <c r="E742" s="2"/>
      <c r="F742" s="3"/>
      <c r="G742" s="1" t="s">
        <v>4</v>
      </c>
      <c r="H742" s="191" t="s">
        <v>227</v>
      </c>
      <c r="I742" s="191"/>
      <c r="J742" s="191"/>
    </row>
    <row r="743" spans="1:10" ht="12.75" customHeight="1">
      <c r="A743" s="1" t="s">
        <v>6</v>
      </c>
      <c r="B743" s="1"/>
      <c r="C743" s="25" t="s">
        <v>233</v>
      </c>
      <c r="D743" s="25"/>
      <c r="E743" s="2"/>
      <c r="F743" s="3"/>
      <c r="G743" s="1" t="s">
        <v>8</v>
      </c>
      <c r="H743" s="193" t="s">
        <v>9</v>
      </c>
      <c r="I743" s="193"/>
      <c r="J743" s="193"/>
    </row>
    <row r="744" spans="1:10" ht="12.75" customHeight="1">
      <c r="A744" s="6" t="s">
        <v>10</v>
      </c>
      <c r="B744" s="6"/>
      <c r="C744" s="194" t="s">
        <v>67</v>
      </c>
      <c r="D744" s="194"/>
      <c r="E744" s="2"/>
      <c r="F744" s="3"/>
      <c r="G744" s="1" t="s">
        <v>12</v>
      </c>
      <c r="H744" s="195" t="s">
        <v>13</v>
      </c>
      <c r="I744" s="195"/>
      <c r="J744" s="195"/>
    </row>
    <row r="745" spans="1:10" ht="12.75" customHeight="1">
      <c r="A745" s="2" t="s">
        <v>14</v>
      </c>
      <c r="B745" s="2"/>
      <c r="C745" s="1" t="s">
        <v>15</v>
      </c>
      <c r="D745" s="1"/>
      <c r="E745" s="2"/>
      <c r="F745" s="3"/>
      <c r="G745" s="1" t="s">
        <v>16</v>
      </c>
      <c r="H745" s="209" t="s">
        <v>234</v>
      </c>
      <c r="I745" s="209"/>
      <c r="J745" s="209"/>
    </row>
    <row r="746" spans="1:10" ht="12.75" customHeight="1">
      <c r="A746" s="2">
        <v>30</v>
      </c>
      <c r="B746" s="2"/>
      <c r="C746" s="2">
        <f>A746-H746</f>
        <v>0</v>
      </c>
      <c r="D746" s="2"/>
      <c r="E746" s="2"/>
      <c r="F746" s="3"/>
      <c r="G746" s="8" t="s">
        <v>18</v>
      </c>
      <c r="H746" s="197">
        <v>30</v>
      </c>
      <c r="I746" s="197"/>
      <c r="J746" s="197"/>
    </row>
    <row r="747" spans="1:10" ht="12.75" customHeight="1">
      <c r="A747" s="198" t="s">
        <v>19</v>
      </c>
      <c r="B747" s="199"/>
      <c r="C747" s="200"/>
      <c r="D747" s="13" t="s">
        <v>20</v>
      </c>
      <c r="E747" s="14" t="s">
        <v>21</v>
      </c>
      <c r="F747" s="15"/>
      <c r="G747" s="16" t="s">
        <v>20</v>
      </c>
      <c r="H747" s="201" t="s">
        <v>22</v>
      </c>
      <c r="I747" s="202"/>
      <c r="J747" s="203"/>
    </row>
    <row r="748" spans="1:10" ht="12.75" customHeight="1">
      <c r="A748" s="17" t="s">
        <v>56</v>
      </c>
      <c r="B748" s="1"/>
      <c r="C748" s="1"/>
      <c r="D748" s="2">
        <v>60000</v>
      </c>
      <c r="E748" s="17" t="s">
        <v>24</v>
      </c>
      <c r="F748" s="1"/>
      <c r="G748" s="2" t="s">
        <v>25</v>
      </c>
      <c r="H748" s="18" t="s">
        <v>26</v>
      </c>
      <c r="I748" s="23"/>
      <c r="J748" s="24"/>
    </row>
    <row r="749" spans="1:10" ht="12.75" customHeight="1">
      <c r="A749" s="17" t="s">
        <v>57</v>
      </c>
      <c r="B749" s="209"/>
      <c r="C749" s="209"/>
      <c r="D749" s="2" t="s">
        <v>25</v>
      </c>
      <c r="E749" s="17" t="s">
        <v>28</v>
      </c>
      <c r="F749" s="1"/>
      <c r="G749" s="2" t="s">
        <v>25</v>
      </c>
      <c r="H749" s="18" t="s">
        <v>29</v>
      </c>
      <c r="I749" s="23"/>
      <c r="J749" s="24"/>
    </row>
    <row r="750" spans="1:10" ht="12.75" customHeight="1">
      <c r="A750" s="17" t="s">
        <v>30</v>
      </c>
      <c r="B750" s="1"/>
      <c r="C750" s="1"/>
      <c r="D750" s="2">
        <v>12600</v>
      </c>
      <c r="E750" s="17" t="s">
        <v>146</v>
      </c>
      <c r="F750" s="1"/>
      <c r="G750" s="2" t="s">
        <v>25</v>
      </c>
      <c r="H750" s="18" t="s">
        <v>32</v>
      </c>
      <c r="I750" s="23"/>
      <c r="J750" s="24"/>
    </row>
    <row r="751" spans="1:10" ht="12.75" customHeight="1">
      <c r="A751" s="159" t="s">
        <v>147</v>
      </c>
      <c r="B751" s="209"/>
      <c r="C751" s="209"/>
      <c r="D751" s="2" t="s">
        <v>25</v>
      </c>
      <c r="E751" s="17" t="s">
        <v>35</v>
      </c>
      <c r="F751" s="1"/>
      <c r="G751" s="2" t="s">
        <v>25</v>
      </c>
      <c r="H751" s="18"/>
      <c r="I751" s="6"/>
      <c r="J751" s="19"/>
    </row>
    <row r="752" spans="1:10" ht="12.75" customHeight="1">
      <c r="A752" s="17" t="s">
        <v>78</v>
      </c>
      <c r="B752" s="1"/>
      <c r="C752" s="1"/>
      <c r="D752" s="2" t="s">
        <v>25</v>
      </c>
      <c r="E752" s="17" t="s">
        <v>62</v>
      </c>
      <c r="F752" s="2"/>
      <c r="G752" s="2" t="s">
        <v>25</v>
      </c>
      <c r="H752" s="18"/>
      <c r="I752" s="6"/>
      <c r="J752" s="19"/>
    </row>
    <row r="753" spans="1:10" ht="12.75" customHeight="1">
      <c r="A753" s="17" t="s">
        <v>136</v>
      </c>
      <c r="B753" s="1"/>
      <c r="C753" s="1"/>
      <c r="D753" s="2" t="s">
        <v>25</v>
      </c>
      <c r="E753" s="17" t="s">
        <v>39</v>
      </c>
      <c r="F753" s="1"/>
      <c r="G753" s="2">
        <v>100</v>
      </c>
      <c r="H753" s="18"/>
      <c r="I753" s="6"/>
      <c r="J753" s="19"/>
    </row>
    <row r="754" spans="1:10" ht="12.75" customHeight="1">
      <c r="A754" s="18" t="s">
        <v>40</v>
      </c>
      <c r="B754" s="6"/>
      <c r="C754" s="6"/>
      <c r="D754" s="2" t="s">
        <v>25</v>
      </c>
      <c r="E754" s="17" t="s">
        <v>161</v>
      </c>
      <c r="F754" s="2">
        <v>50</v>
      </c>
      <c r="G754" s="2">
        <v>12500</v>
      </c>
      <c r="H754" s="18"/>
      <c r="I754" s="6"/>
      <c r="J754" s="19"/>
    </row>
    <row r="755" spans="1:10" ht="12.75" customHeight="1">
      <c r="A755" s="204" t="s">
        <v>63</v>
      </c>
      <c r="B755" s="205"/>
      <c r="C755" s="206"/>
      <c r="D755" s="229">
        <f>SUM(D748:D754)</f>
        <v>72600</v>
      </c>
      <c r="E755" s="1" t="s">
        <v>43</v>
      </c>
      <c r="F755" s="1"/>
      <c r="G755" s="2" t="s">
        <v>25</v>
      </c>
      <c r="H755" s="18"/>
      <c r="I755" s="6"/>
      <c r="J755" s="19"/>
    </row>
    <row r="756" spans="1:10" ht="12.75" customHeight="1">
      <c r="A756" s="207"/>
      <c r="B756" s="197"/>
      <c r="C756" s="208"/>
      <c r="D756" s="230"/>
      <c r="E756" s="21" t="s">
        <v>21</v>
      </c>
      <c r="F756" s="22"/>
      <c r="G756" s="13">
        <f>SUM(G748:G755)</f>
        <v>12600</v>
      </c>
      <c r="H756" s="21" t="s">
        <v>44</v>
      </c>
      <c r="I756" s="22"/>
      <c r="J756" s="13">
        <f>D755-G756</f>
        <v>60000</v>
      </c>
    </row>
    <row r="757" spans="1:10" ht="12.75" customHeight="1">
      <c r="A757" s="3" t="s">
        <v>45</v>
      </c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2.75" customHeight="1">
      <c r="A759" s="3"/>
      <c r="B759" s="3" t="s">
        <v>47</v>
      </c>
      <c r="C759" s="3"/>
      <c r="D759" s="3"/>
      <c r="E759" s="3" t="s">
        <v>48</v>
      </c>
      <c r="F759" s="3"/>
      <c r="G759" s="3"/>
      <c r="H759" s="3" t="s">
        <v>49</v>
      </c>
      <c r="I759" s="3"/>
      <c r="J759" s="3"/>
    </row>
    <row r="760" spans="1:10" ht="13.5" customHeight="1">
      <c r="A760" s="184" t="s">
        <v>0</v>
      </c>
      <c r="B760" s="185"/>
      <c r="C760" s="185"/>
      <c r="D760" s="185"/>
      <c r="E760" s="185"/>
      <c r="F760" s="185"/>
      <c r="G760" s="185"/>
      <c r="H760" s="185"/>
      <c r="I760" s="185"/>
      <c r="J760" s="186"/>
    </row>
    <row r="761" spans="1:10" ht="13.5" customHeight="1">
      <c r="A761" s="187" t="s">
        <v>1</v>
      </c>
      <c r="B761" s="188"/>
      <c r="C761" s="188"/>
      <c r="D761" s="188"/>
      <c r="E761" s="188"/>
      <c r="F761" s="188"/>
      <c r="G761" s="188"/>
      <c r="H761" s="188"/>
      <c r="I761" s="188"/>
      <c r="J761" s="189"/>
    </row>
    <row r="762" spans="1:10" ht="13.5" customHeight="1">
      <c r="A762" s="1" t="s">
        <v>2</v>
      </c>
      <c r="B762" s="1"/>
      <c r="C762" s="194" t="s">
        <v>235</v>
      </c>
      <c r="D762" s="194"/>
      <c r="E762" s="2"/>
      <c r="F762" s="3"/>
      <c r="G762" s="1" t="s">
        <v>4</v>
      </c>
      <c r="H762" s="209" t="s">
        <v>236</v>
      </c>
      <c r="I762" s="209"/>
      <c r="J762" s="209"/>
    </row>
    <row r="763" spans="1:10" ht="13.5" customHeight="1">
      <c r="A763" s="1" t="s">
        <v>6</v>
      </c>
      <c r="B763" s="1"/>
      <c r="C763" s="25" t="s">
        <v>237</v>
      </c>
      <c r="D763" s="25"/>
      <c r="E763" s="6"/>
      <c r="F763" s="3"/>
      <c r="G763" s="1" t="s">
        <v>8</v>
      </c>
      <c r="H763" s="193" t="s">
        <v>9</v>
      </c>
      <c r="I763" s="193"/>
      <c r="J763" s="193"/>
    </row>
    <row r="764" spans="1:10" ht="13.5" customHeight="1">
      <c r="A764" s="6" t="s">
        <v>10</v>
      </c>
      <c r="B764" s="6"/>
      <c r="C764" s="194" t="s">
        <v>67</v>
      </c>
      <c r="D764" s="194"/>
      <c r="E764" s="2"/>
      <c r="F764" s="3"/>
      <c r="G764" s="1" t="s">
        <v>12</v>
      </c>
      <c r="H764" s="195" t="s">
        <v>13</v>
      </c>
      <c r="I764" s="195"/>
      <c r="J764" s="195"/>
    </row>
    <row r="765" spans="1:10" ht="13.5" customHeight="1">
      <c r="A765" s="2"/>
      <c r="B765" s="2"/>
      <c r="C765" s="2" t="s">
        <v>15</v>
      </c>
      <c r="D765" s="2"/>
      <c r="E765" s="2"/>
      <c r="F765" s="3"/>
      <c r="G765" s="1" t="s">
        <v>16</v>
      </c>
      <c r="H765" s="196" t="s">
        <v>55</v>
      </c>
      <c r="I765" s="196"/>
      <c r="J765" s="196"/>
    </row>
    <row r="766" spans="1:10" ht="13.5" customHeight="1">
      <c r="A766" s="2">
        <v>30</v>
      </c>
      <c r="B766" s="2"/>
      <c r="C766" s="2">
        <f>A766-I766</f>
        <v>0</v>
      </c>
      <c r="D766" s="2"/>
      <c r="E766" s="2"/>
      <c r="F766" s="3"/>
      <c r="G766" s="8" t="s">
        <v>18</v>
      </c>
      <c r="H766" s="8"/>
      <c r="I766" s="9">
        <v>30</v>
      </c>
      <c r="J766" s="9"/>
    </row>
    <row r="767" spans="1:10" ht="13.5" customHeight="1">
      <c r="A767" s="198" t="s">
        <v>19</v>
      </c>
      <c r="B767" s="199"/>
      <c r="C767" s="200"/>
      <c r="D767" s="13" t="s">
        <v>20</v>
      </c>
      <c r="E767" s="14" t="s">
        <v>21</v>
      </c>
      <c r="F767" s="15"/>
      <c r="G767" s="16" t="s">
        <v>20</v>
      </c>
      <c r="H767" s="201" t="s">
        <v>22</v>
      </c>
      <c r="I767" s="202"/>
      <c r="J767" s="203"/>
    </row>
    <row r="768" spans="1:10" ht="13.5" customHeight="1">
      <c r="A768" s="17" t="s">
        <v>23</v>
      </c>
      <c r="B768" s="1"/>
      <c r="C768" s="1"/>
      <c r="D768" s="56">
        <v>82000</v>
      </c>
      <c r="E768" s="17" t="s">
        <v>24</v>
      </c>
      <c r="F768" s="1"/>
      <c r="G768" s="2" t="s">
        <v>25</v>
      </c>
      <c r="H768" s="18" t="s">
        <v>26</v>
      </c>
      <c r="I768" s="23"/>
      <c r="J768" s="24"/>
    </row>
    <row r="769" spans="1:10" ht="13.5" customHeight="1">
      <c r="A769" s="17" t="s">
        <v>69</v>
      </c>
      <c r="B769" s="209"/>
      <c r="C769" s="209"/>
      <c r="D769" s="2" t="s">
        <v>25</v>
      </c>
      <c r="E769" s="17" t="s">
        <v>24</v>
      </c>
      <c r="F769" s="1"/>
      <c r="G769" s="2" t="s">
        <v>25</v>
      </c>
      <c r="H769" s="18" t="s">
        <v>29</v>
      </c>
      <c r="I769" s="23"/>
      <c r="J769" s="24"/>
    </row>
    <row r="770" spans="1:10" ht="13.5" customHeight="1">
      <c r="A770" s="17" t="s">
        <v>30</v>
      </c>
      <c r="B770" s="1"/>
      <c r="C770" s="1"/>
      <c r="D770" s="2">
        <v>8100</v>
      </c>
      <c r="E770" s="17" t="s">
        <v>238</v>
      </c>
      <c r="F770" s="1"/>
      <c r="G770" s="2" t="s">
        <v>25</v>
      </c>
      <c r="H770" s="18" t="s">
        <v>32</v>
      </c>
      <c r="I770" s="23"/>
      <c r="J770" s="24"/>
    </row>
    <row r="771" spans="1:10" ht="13.5" customHeight="1">
      <c r="A771" s="17" t="s">
        <v>34</v>
      </c>
      <c r="B771" s="1"/>
      <c r="C771" s="1"/>
      <c r="D771" s="2" t="s">
        <v>25</v>
      </c>
      <c r="E771" s="17" t="s">
        <v>71</v>
      </c>
      <c r="F771" s="1"/>
      <c r="G771" s="2" t="s">
        <v>25</v>
      </c>
      <c r="H771" s="18"/>
      <c r="I771" s="6"/>
      <c r="J771" s="40"/>
    </row>
    <row r="772" spans="1:10" ht="13.5" customHeight="1">
      <c r="A772" s="17" t="s">
        <v>239</v>
      </c>
      <c r="B772" s="1"/>
      <c r="C772" s="1"/>
      <c r="D772" s="2" t="s">
        <v>25</v>
      </c>
      <c r="E772" s="17" t="s">
        <v>61</v>
      </c>
      <c r="F772" s="1"/>
      <c r="G772" s="2" t="s">
        <v>25</v>
      </c>
      <c r="H772" s="18"/>
      <c r="I772" s="100"/>
      <c r="J772" s="40"/>
    </row>
    <row r="773" spans="1:10" ht="13.5" customHeight="1">
      <c r="A773" s="17" t="s">
        <v>136</v>
      </c>
      <c r="B773" s="1"/>
      <c r="C773" s="1"/>
      <c r="D773" s="2" t="s">
        <v>25</v>
      </c>
      <c r="E773" s="17" t="s">
        <v>39</v>
      </c>
      <c r="F773" s="1"/>
      <c r="G773" s="2">
        <v>100</v>
      </c>
      <c r="H773" s="18"/>
      <c r="I773" s="6"/>
      <c r="J773" s="40"/>
    </row>
    <row r="774" spans="1:10" ht="13.5" customHeight="1">
      <c r="A774" s="18" t="s">
        <v>40</v>
      </c>
      <c r="B774" s="6"/>
      <c r="C774" s="6"/>
      <c r="D774" s="2" t="s">
        <v>25</v>
      </c>
      <c r="E774" s="17" t="s">
        <v>62</v>
      </c>
      <c r="F774" s="2"/>
      <c r="G774" s="2" t="s">
        <v>25</v>
      </c>
      <c r="H774" s="18"/>
      <c r="I774" s="6"/>
      <c r="J774" s="19"/>
    </row>
    <row r="775" spans="1:10" ht="13.5" customHeight="1">
      <c r="A775" s="204" t="s">
        <v>63</v>
      </c>
      <c r="B775" s="205"/>
      <c r="C775" s="206"/>
      <c r="D775" s="229">
        <f>SUM(D768:D774)</f>
        <v>90100</v>
      </c>
      <c r="E775" s="1" t="s">
        <v>43</v>
      </c>
      <c r="F775" s="1"/>
      <c r="G775" s="2" t="s">
        <v>25</v>
      </c>
      <c r="H775" s="18"/>
      <c r="I775" s="6"/>
      <c r="J775" s="19"/>
    </row>
    <row r="776" spans="1:10" ht="13.5" customHeight="1">
      <c r="A776" s="207"/>
      <c r="B776" s="197"/>
      <c r="C776" s="208"/>
      <c r="D776" s="230"/>
      <c r="E776" s="21" t="s">
        <v>21</v>
      </c>
      <c r="F776" s="22"/>
      <c r="G776" s="13">
        <f>SUM(G768:G775)</f>
        <v>100</v>
      </c>
      <c r="H776" s="21" t="s">
        <v>44</v>
      </c>
      <c r="I776" s="22"/>
      <c r="J776" s="13">
        <f>D775-G776</f>
        <v>90000</v>
      </c>
    </row>
    <row r="777" spans="1:10" ht="13.5" customHeight="1">
      <c r="A777" s="3" t="s">
        <v>45</v>
      </c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3.5" customHeight="1">
      <c r="A779" s="3"/>
      <c r="B779" s="3" t="s">
        <v>47</v>
      </c>
      <c r="C779" s="3"/>
      <c r="D779" s="3" t="s">
        <v>73</v>
      </c>
      <c r="E779" s="3" t="s">
        <v>48</v>
      </c>
      <c r="F779" s="3"/>
      <c r="G779" s="3"/>
      <c r="H779" s="3" t="s">
        <v>49</v>
      </c>
      <c r="I779" s="3"/>
      <c r="J779" s="3"/>
    </row>
    <row r="780" spans="1:10" ht="13.5" customHeight="1">
      <c r="A780" s="184" t="s">
        <v>0</v>
      </c>
      <c r="B780" s="185"/>
      <c r="C780" s="185"/>
      <c r="D780" s="185"/>
      <c r="E780" s="185"/>
      <c r="F780" s="185"/>
      <c r="G780" s="185"/>
      <c r="H780" s="185"/>
      <c r="I780" s="185"/>
      <c r="J780" s="186"/>
    </row>
    <row r="781" spans="1:10" ht="13.5" customHeight="1">
      <c r="A781" s="187" t="s">
        <v>1</v>
      </c>
      <c r="B781" s="188"/>
      <c r="C781" s="188"/>
      <c r="D781" s="188"/>
      <c r="E781" s="188"/>
      <c r="F781" s="188"/>
      <c r="G781" s="188"/>
      <c r="H781" s="188"/>
      <c r="I781" s="188"/>
      <c r="J781" s="189"/>
    </row>
    <row r="782" spans="1:10" ht="13.5" customHeight="1">
      <c r="A782" s="1" t="s">
        <v>2</v>
      </c>
      <c r="B782" s="1"/>
      <c r="C782" s="209"/>
      <c r="D782" s="209"/>
      <c r="E782" s="2"/>
      <c r="F782" s="3"/>
      <c r="G782" s="1" t="s">
        <v>4</v>
      </c>
      <c r="H782" s="191" t="s">
        <v>240</v>
      </c>
      <c r="I782" s="191"/>
      <c r="J782" s="191"/>
    </row>
    <row r="783" spans="1:10" ht="13.5" customHeight="1">
      <c r="A783" s="1" t="s">
        <v>6</v>
      </c>
      <c r="B783" s="1"/>
      <c r="C783" s="25" t="s">
        <v>241</v>
      </c>
      <c r="D783" s="25"/>
      <c r="E783" s="2"/>
      <c r="F783" s="3"/>
      <c r="G783" s="1" t="s">
        <v>8</v>
      </c>
      <c r="H783" s="193" t="s">
        <v>9</v>
      </c>
      <c r="I783" s="193"/>
      <c r="J783" s="193"/>
    </row>
    <row r="784" spans="1:10" ht="13.5" customHeight="1">
      <c r="A784" s="6" t="s">
        <v>10</v>
      </c>
      <c r="B784" s="6"/>
      <c r="C784" s="194" t="s">
        <v>145</v>
      </c>
      <c r="D784" s="194"/>
      <c r="E784" s="2"/>
      <c r="F784" s="3"/>
      <c r="G784" s="1" t="s">
        <v>12</v>
      </c>
      <c r="H784" s="195" t="s">
        <v>13</v>
      </c>
      <c r="I784" s="195"/>
      <c r="J784" s="195"/>
    </row>
    <row r="785" spans="1:10" ht="13.5" customHeight="1">
      <c r="A785" s="2" t="s">
        <v>14</v>
      </c>
      <c r="B785" s="2"/>
      <c r="C785" s="2" t="s">
        <v>15</v>
      </c>
      <c r="D785" s="2"/>
      <c r="E785" s="2"/>
      <c r="F785" s="3"/>
      <c r="G785" s="1" t="s">
        <v>16</v>
      </c>
      <c r="H785" s="196" t="s">
        <v>242</v>
      </c>
      <c r="I785" s="196"/>
      <c r="J785" s="196"/>
    </row>
    <row r="786" spans="1:10" ht="13.5" customHeight="1">
      <c r="A786" s="2">
        <v>30</v>
      </c>
      <c r="B786" s="2"/>
      <c r="C786" s="2">
        <f>A786-H786</f>
        <v>4</v>
      </c>
      <c r="D786" s="2"/>
      <c r="E786" s="2"/>
      <c r="F786" s="3"/>
      <c r="G786" s="8" t="s">
        <v>18</v>
      </c>
      <c r="H786" s="197">
        <v>26</v>
      </c>
      <c r="I786" s="197"/>
      <c r="J786" s="197"/>
    </row>
    <row r="787" spans="1:10" ht="13.5" customHeight="1">
      <c r="A787" s="198" t="s">
        <v>19</v>
      </c>
      <c r="B787" s="199"/>
      <c r="C787" s="200"/>
      <c r="D787" s="13" t="s">
        <v>20</v>
      </c>
      <c r="E787" s="14" t="s">
        <v>21</v>
      </c>
      <c r="F787" s="15"/>
      <c r="G787" s="16" t="s">
        <v>20</v>
      </c>
      <c r="H787" s="201" t="s">
        <v>243</v>
      </c>
      <c r="I787" s="202"/>
      <c r="J787" s="203"/>
    </row>
    <row r="788" spans="1:10" ht="13.5" customHeight="1">
      <c r="A788" s="17" t="s">
        <v>23</v>
      </c>
      <c r="B788" s="1"/>
      <c r="C788" s="1"/>
      <c r="D788" s="2">
        <v>70000</v>
      </c>
      <c r="E788" s="17" t="s">
        <v>24</v>
      </c>
      <c r="F788" s="1"/>
      <c r="G788" s="2" t="s">
        <v>25</v>
      </c>
      <c r="H788" s="18" t="s">
        <v>26</v>
      </c>
      <c r="I788" s="6"/>
      <c r="J788" s="19"/>
    </row>
    <row r="789" spans="1:10" ht="13.5" customHeight="1">
      <c r="A789" s="17" t="s">
        <v>77</v>
      </c>
      <c r="B789" s="209"/>
      <c r="C789" s="209"/>
      <c r="D789" s="2" t="s">
        <v>25</v>
      </c>
      <c r="E789" s="17" t="s">
        <v>28</v>
      </c>
      <c r="F789" s="1"/>
      <c r="G789" s="2" t="s">
        <v>25</v>
      </c>
      <c r="H789" s="18" t="s">
        <v>29</v>
      </c>
      <c r="I789" s="6"/>
      <c r="J789" s="19"/>
    </row>
    <row r="790" spans="1:10" ht="13.5" customHeight="1">
      <c r="A790" s="17" t="s">
        <v>30</v>
      </c>
      <c r="B790" s="1"/>
      <c r="C790" s="1"/>
      <c r="D790" s="2">
        <v>9766</v>
      </c>
      <c r="E790" s="17" t="s">
        <v>70</v>
      </c>
      <c r="F790" s="1"/>
      <c r="G790" s="2" t="s">
        <v>25</v>
      </c>
      <c r="H790" s="18" t="s">
        <v>32</v>
      </c>
      <c r="I790" s="6"/>
      <c r="J790" s="19"/>
    </row>
    <row r="791" spans="1:10" ht="13.5" customHeight="1">
      <c r="A791" s="17" t="s">
        <v>244</v>
      </c>
      <c r="B791" s="1"/>
      <c r="C791" s="1"/>
      <c r="D791" s="2" t="s">
        <v>25</v>
      </c>
      <c r="E791" s="17" t="s">
        <v>71</v>
      </c>
      <c r="F791" s="1"/>
      <c r="G791" s="2">
        <v>9333</v>
      </c>
      <c r="H791" s="18"/>
      <c r="I791" s="6"/>
      <c r="J791" s="19"/>
    </row>
    <row r="792" spans="1:10" ht="13.5" customHeight="1">
      <c r="A792" s="17" t="s">
        <v>97</v>
      </c>
      <c r="B792" s="6"/>
      <c r="C792" s="6"/>
      <c r="D792" s="2">
        <v>7000</v>
      </c>
      <c r="E792" s="17" t="s">
        <v>37</v>
      </c>
      <c r="F792" s="1"/>
      <c r="G792" s="2" t="s">
        <v>25</v>
      </c>
      <c r="H792" s="18"/>
      <c r="I792" s="6"/>
      <c r="J792" s="19"/>
    </row>
    <row r="793" spans="1:10" ht="13.5" customHeight="1">
      <c r="A793" s="17" t="s">
        <v>136</v>
      </c>
      <c r="B793" s="1"/>
      <c r="C793" s="1"/>
      <c r="D793" s="2" t="s">
        <v>25</v>
      </c>
      <c r="E793" s="17" t="s">
        <v>39</v>
      </c>
      <c r="F793" s="1"/>
      <c r="G793" s="2">
        <v>100</v>
      </c>
      <c r="H793" s="18"/>
      <c r="I793" s="6"/>
      <c r="J793" s="19"/>
    </row>
    <row r="794" spans="1:10" ht="13.5" customHeight="1">
      <c r="A794" s="18" t="s">
        <v>40</v>
      </c>
      <c r="B794" s="6"/>
      <c r="C794" s="6"/>
      <c r="D794" s="2" t="s">
        <v>25</v>
      </c>
      <c r="E794" s="17" t="s">
        <v>62</v>
      </c>
      <c r="F794" s="2">
        <v>5</v>
      </c>
      <c r="G794" s="2">
        <v>2333</v>
      </c>
      <c r="H794" s="18"/>
      <c r="I794" s="6"/>
      <c r="J794" s="19"/>
    </row>
    <row r="795" spans="1:10" ht="13.5" customHeight="1">
      <c r="A795" s="204" t="s">
        <v>63</v>
      </c>
      <c r="B795" s="205"/>
      <c r="C795" s="206"/>
      <c r="D795" s="229">
        <f>SUM(D788:D794)</f>
        <v>86766</v>
      </c>
      <c r="E795" s="1" t="s">
        <v>43</v>
      </c>
      <c r="F795" s="1"/>
      <c r="G795" s="2" t="s">
        <v>25</v>
      </c>
      <c r="H795" s="18"/>
      <c r="I795" s="6"/>
      <c r="J795" s="19"/>
    </row>
    <row r="796" spans="1:10" ht="13.5" customHeight="1">
      <c r="A796" s="207"/>
      <c r="B796" s="197"/>
      <c r="C796" s="208"/>
      <c r="D796" s="230"/>
      <c r="E796" s="21" t="s">
        <v>21</v>
      </c>
      <c r="F796" s="22"/>
      <c r="G796" s="13">
        <f>SUM(G788:G795)</f>
        <v>11766</v>
      </c>
      <c r="H796" s="21" t="s">
        <v>44</v>
      </c>
      <c r="I796" s="22"/>
      <c r="J796" s="13">
        <f>D795-G796</f>
        <v>75000</v>
      </c>
    </row>
    <row r="797" spans="1:10" ht="13.5" customHeight="1">
      <c r="A797" s="3" t="s">
        <v>45</v>
      </c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3.5" customHeight="1">
      <c r="A799" s="3"/>
      <c r="B799" s="3" t="s">
        <v>47</v>
      </c>
      <c r="C799" s="3"/>
      <c r="D799" s="3"/>
      <c r="E799" s="3" t="s">
        <v>48</v>
      </c>
      <c r="F799" s="3"/>
      <c r="G799" s="3"/>
      <c r="H799" s="3" t="s">
        <v>49</v>
      </c>
      <c r="I799" s="3"/>
      <c r="J799" s="3"/>
    </row>
    <row r="800" spans="1:10" ht="13.5" customHeight="1">
      <c r="A800" s="184" t="s">
        <v>0</v>
      </c>
      <c r="B800" s="185"/>
      <c r="C800" s="185"/>
      <c r="D800" s="185"/>
      <c r="E800" s="185"/>
      <c r="F800" s="185"/>
      <c r="G800" s="185"/>
      <c r="H800" s="185"/>
      <c r="I800" s="185"/>
      <c r="J800" s="186"/>
    </row>
    <row r="801" spans="1:10" ht="13.5" customHeight="1">
      <c r="A801" s="187" t="s">
        <v>1</v>
      </c>
      <c r="B801" s="188"/>
      <c r="C801" s="188"/>
      <c r="D801" s="188"/>
      <c r="E801" s="188"/>
      <c r="F801" s="188"/>
      <c r="G801" s="188"/>
      <c r="H801" s="188"/>
      <c r="I801" s="188"/>
      <c r="J801" s="189"/>
    </row>
    <row r="802" spans="1:10" ht="13.5" customHeight="1">
      <c r="A802" s="1" t="s">
        <v>2</v>
      </c>
      <c r="B802" s="1"/>
      <c r="C802" s="190" t="s">
        <v>245</v>
      </c>
      <c r="D802" s="190"/>
      <c r="E802" s="2"/>
      <c r="F802" s="3"/>
      <c r="G802" s="1" t="s">
        <v>4</v>
      </c>
      <c r="H802" s="191" t="s">
        <v>240</v>
      </c>
      <c r="I802" s="191"/>
      <c r="J802" s="191"/>
    </row>
    <row r="803" spans="1:10" ht="13.5" customHeight="1">
      <c r="A803" s="1" t="s">
        <v>6</v>
      </c>
      <c r="B803" s="1"/>
      <c r="C803" s="25" t="s">
        <v>246</v>
      </c>
      <c r="D803" s="25"/>
      <c r="E803" s="2"/>
      <c r="F803" s="3"/>
      <c r="G803" s="1" t="s">
        <v>8</v>
      </c>
      <c r="H803" s="193" t="s">
        <v>9</v>
      </c>
      <c r="I803" s="193"/>
      <c r="J803" s="193"/>
    </row>
    <row r="804" spans="1:10" ht="13.5" customHeight="1">
      <c r="A804" s="6" t="s">
        <v>10</v>
      </c>
      <c r="B804" s="6"/>
      <c r="C804" s="194" t="s">
        <v>114</v>
      </c>
      <c r="D804" s="194"/>
      <c r="E804" s="2"/>
      <c r="F804" s="3"/>
      <c r="G804" s="1" t="s">
        <v>12</v>
      </c>
      <c r="H804" s="195" t="s">
        <v>13</v>
      </c>
      <c r="I804" s="195"/>
      <c r="J804" s="195"/>
    </row>
    <row r="805" spans="1:10" ht="13.5" customHeight="1">
      <c r="A805" s="2" t="s">
        <v>14</v>
      </c>
      <c r="B805" s="2"/>
      <c r="C805" s="1" t="s">
        <v>15</v>
      </c>
      <c r="D805" s="1"/>
      <c r="E805" s="2"/>
      <c r="F805" s="3"/>
      <c r="G805" s="1" t="s">
        <v>16</v>
      </c>
      <c r="H805" s="209" t="s">
        <v>101</v>
      </c>
      <c r="I805" s="209"/>
      <c r="J805" s="209"/>
    </row>
    <row r="806" spans="1:10" ht="13.5" customHeight="1">
      <c r="A806" s="2">
        <v>30</v>
      </c>
      <c r="B806" s="2"/>
      <c r="C806" s="2">
        <f>A806-H806</f>
        <v>0</v>
      </c>
      <c r="D806" s="2"/>
      <c r="E806" s="2"/>
      <c r="F806" s="3"/>
      <c r="G806" s="8" t="s">
        <v>18</v>
      </c>
      <c r="H806" s="197">
        <v>30</v>
      </c>
      <c r="I806" s="197"/>
      <c r="J806" s="197"/>
    </row>
    <row r="807" spans="1:10" ht="13.5" customHeight="1">
      <c r="A807" s="198" t="s">
        <v>19</v>
      </c>
      <c r="B807" s="199"/>
      <c r="C807" s="200"/>
      <c r="D807" s="13" t="s">
        <v>20</v>
      </c>
      <c r="E807" s="14" t="s">
        <v>21</v>
      </c>
      <c r="F807" s="15"/>
      <c r="G807" s="16" t="s">
        <v>20</v>
      </c>
      <c r="H807" s="201" t="s">
        <v>22</v>
      </c>
      <c r="I807" s="202"/>
      <c r="J807" s="203"/>
    </row>
    <row r="808" spans="1:10" ht="13.5" customHeight="1">
      <c r="A808" s="17" t="s">
        <v>56</v>
      </c>
      <c r="B808" s="1"/>
      <c r="C808" s="1"/>
      <c r="D808" s="2">
        <v>25000</v>
      </c>
      <c r="E808" s="17" t="s">
        <v>24</v>
      </c>
      <c r="F808" s="1"/>
      <c r="G808" s="2" t="s">
        <v>25</v>
      </c>
      <c r="H808" s="18" t="s">
        <v>26</v>
      </c>
      <c r="I808" s="6"/>
      <c r="J808" s="19"/>
    </row>
    <row r="809" spans="1:10" ht="13.5" customHeight="1">
      <c r="A809" s="17" t="s">
        <v>247</v>
      </c>
      <c r="B809" s="209" t="s">
        <v>248</v>
      </c>
      <c r="C809" s="209"/>
      <c r="D809" s="2">
        <v>833</v>
      </c>
      <c r="E809" s="17" t="s">
        <v>249</v>
      </c>
      <c r="F809" s="1"/>
      <c r="G809" s="2" t="s">
        <v>25</v>
      </c>
      <c r="H809" s="18" t="s">
        <v>29</v>
      </c>
      <c r="I809" s="6"/>
      <c r="J809" s="19"/>
    </row>
    <row r="810" spans="1:10" ht="13.5" customHeight="1">
      <c r="A810" s="17" t="s">
        <v>30</v>
      </c>
      <c r="B810" s="1"/>
      <c r="C810" s="1"/>
      <c r="D810" s="2">
        <v>15267</v>
      </c>
      <c r="E810" s="17" t="s">
        <v>64</v>
      </c>
      <c r="F810" s="1"/>
      <c r="G810" s="2" t="s">
        <v>25</v>
      </c>
      <c r="H810" s="18" t="s">
        <v>32</v>
      </c>
      <c r="I810" s="209"/>
      <c r="J810" s="210"/>
    </row>
    <row r="811" spans="1:10" ht="13.5" customHeight="1">
      <c r="A811" s="17" t="s">
        <v>59</v>
      </c>
      <c r="B811" s="1"/>
      <c r="C811" s="1"/>
      <c r="D811" s="2" t="s">
        <v>25</v>
      </c>
      <c r="E811" s="17" t="s">
        <v>35</v>
      </c>
      <c r="F811" s="1"/>
      <c r="G811" s="2" t="s">
        <v>25</v>
      </c>
      <c r="H811" s="18"/>
      <c r="I811" s="6"/>
      <c r="J811" s="19"/>
    </row>
    <row r="812" spans="1:10" ht="13.5" customHeight="1">
      <c r="A812" s="17" t="s">
        <v>78</v>
      </c>
      <c r="B812" s="1"/>
      <c r="C812" s="1"/>
      <c r="D812" s="2" t="s">
        <v>25</v>
      </c>
      <c r="E812" s="17" t="s">
        <v>61</v>
      </c>
      <c r="F812" s="1"/>
      <c r="G812" s="2" t="s">
        <v>25</v>
      </c>
      <c r="H812" s="18" t="s">
        <v>250</v>
      </c>
      <c r="I812" s="6"/>
      <c r="J812" s="40">
        <v>116895</v>
      </c>
    </row>
    <row r="813" spans="1:10" ht="13.5" customHeight="1">
      <c r="A813" s="17" t="s">
        <v>136</v>
      </c>
      <c r="B813" s="1"/>
      <c r="C813" s="1"/>
      <c r="D813" s="2" t="s">
        <v>25</v>
      </c>
      <c r="E813" s="17" t="s">
        <v>39</v>
      </c>
      <c r="F813" s="1"/>
      <c r="G813" s="2">
        <v>100</v>
      </c>
      <c r="H813" s="18"/>
      <c r="I813" s="6"/>
      <c r="J813" s="40"/>
    </row>
    <row r="814" spans="1:10" ht="13.5" customHeight="1">
      <c r="A814" s="18" t="s">
        <v>40</v>
      </c>
      <c r="B814" s="6"/>
      <c r="C814" s="6"/>
      <c r="D814" s="2" t="s">
        <v>25</v>
      </c>
      <c r="E814" s="17" t="s">
        <v>62</v>
      </c>
      <c r="F814" s="2"/>
      <c r="G814" s="2" t="s">
        <v>25</v>
      </c>
      <c r="H814" s="18"/>
      <c r="I814" s="6"/>
      <c r="J814" s="40"/>
    </row>
    <row r="815" spans="1:10" ht="13.5" customHeight="1">
      <c r="A815" s="204" t="s">
        <v>63</v>
      </c>
      <c r="B815" s="205"/>
      <c r="C815" s="206"/>
      <c r="D815" s="229">
        <f>SUM(D808:D814)</f>
        <v>41100</v>
      </c>
      <c r="E815" s="1" t="s">
        <v>251</v>
      </c>
      <c r="F815" s="1"/>
      <c r="G815" s="2" t="s">
        <v>25</v>
      </c>
      <c r="H815" s="18"/>
      <c r="I815" s="6"/>
      <c r="J815" s="39"/>
    </row>
    <row r="816" spans="1:10" ht="13.5" customHeight="1">
      <c r="A816" s="207"/>
      <c r="B816" s="197"/>
      <c r="C816" s="208"/>
      <c r="D816" s="230"/>
      <c r="E816" s="21" t="s">
        <v>21</v>
      </c>
      <c r="F816" s="22"/>
      <c r="G816" s="13">
        <f>SUM(G808:G815)</f>
        <v>100</v>
      </c>
      <c r="H816" s="21" t="s">
        <v>44</v>
      </c>
      <c r="I816" s="22"/>
      <c r="J816" s="13">
        <f>D815-G816</f>
        <v>41000</v>
      </c>
    </row>
    <row r="817" spans="1:10" ht="13.5" customHeight="1">
      <c r="A817" s="3" t="s">
        <v>45</v>
      </c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3.5" customHeight="1">
      <c r="A819" s="184" t="s">
        <v>0</v>
      </c>
      <c r="B819" s="185"/>
      <c r="C819" s="185"/>
      <c r="D819" s="185"/>
      <c r="E819" s="185"/>
      <c r="F819" s="185"/>
      <c r="G819" s="185"/>
      <c r="H819" s="185"/>
      <c r="I819" s="185"/>
      <c r="J819" s="186"/>
    </row>
    <row r="820" spans="1:10" ht="13.5" customHeight="1">
      <c r="A820" s="187" t="s">
        <v>1</v>
      </c>
      <c r="B820" s="188"/>
      <c r="C820" s="188"/>
      <c r="D820" s="188"/>
      <c r="E820" s="188"/>
      <c r="F820" s="188"/>
      <c r="G820" s="188"/>
      <c r="H820" s="188"/>
      <c r="I820" s="188"/>
      <c r="J820" s="189"/>
    </row>
    <row r="821" spans="1:10" ht="13.5" customHeight="1">
      <c r="A821" s="1" t="s">
        <v>2</v>
      </c>
      <c r="B821" s="1"/>
      <c r="C821" s="190"/>
      <c r="D821" s="190"/>
      <c r="E821" s="2"/>
      <c r="F821" s="3"/>
      <c r="G821" s="1" t="s">
        <v>4</v>
      </c>
      <c r="H821" s="191" t="s">
        <v>240</v>
      </c>
      <c r="I821" s="191"/>
      <c r="J821" s="191"/>
    </row>
    <row r="822" spans="1:10" ht="13.5" customHeight="1">
      <c r="A822" s="1" t="s">
        <v>6</v>
      </c>
      <c r="B822" s="1"/>
      <c r="C822" s="25" t="s">
        <v>252</v>
      </c>
      <c r="D822" s="25"/>
      <c r="E822" s="2"/>
      <c r="F822" s="3"/>
      <c r="G822" s="1" t="s">
        <v>8</v>
      </c>
      <c r="H822" s="193" t="s">
        <v>9</v>
      </c>
      <c r="I822" s="193"/>
      <c r="J822" s="193"/>
    </row>
    <row r="823" spans="1:10" ht="13.5" customHeight="1">
      <c r="A823" s="6" t="s">
        <v>10</v>
      </c>
      <c r="B823" s="6"/>
      <c r="C823" s="194" t="s">
        <v>114</v>
      </c>
      <c r="D823" s="194"/>
      <c r="E823" s="2"/>
      <c r="F823" s="3"/>
      <c r="G823" s="1" t="s">
        <v>12</v>
      </c>
      <c r="H823" s="195" t="s">
        <v>13</v>
      </c>
      <c r="I823" s="195"/>
      <c r="J823" s="195"/>
    </row>
    <row r="824" spans="1:10" ht="13.5" customHeight="1">
      <c r="A824" s="2" t="s">
        <v>14</v>
      </c>
      <c r="B824" s="2"/>
      <c r="C824" s="1" t="s">
        <v>15</v>
      </c>
      <c r="D824" s="1"/>
      <c r="E824" s="2"/>
      <c r="F824" s="3"/>
      <c r="G824" s="1" t="s">
        <v>16</v>
      </c>
      <c r="H824" s="209" t="s">
        <v>253</v>
      </c>
      <c r="I824" s="209"/>
      <c r="J824" s="209"/>
    </row>
    <row r="825" spans="1:10" ht="13.5" customHeight="1">
      <c r="A825" s="2">
        <v>30</v>
      </c>
      <c r="B825" s="2"/>
      <c r="C825" s="2">
        <f>A825-H825</f>
        <v>2</v>
      </c>
      <c r="D825" s="2"/>
      <c r="E825" s="2"/>
      <c r="F825" s="3"/>
      <c r="G825" s="8" t="s">
        <v>18</v>
      </c>
      <c r="H825" s="197">
        <v>28</v>
      </c>
      <c r="I825" s="197"/>
      <c r="J825" s="197"/>
    </row>
    <row r="826" spans="1:10" ht="13.5" customHeight="1">
      <c r="A826" s="198" t="s">
        <v>19</v>
      </c>
      <c r="B826" s="199"/>
      <c r="C826" s="200"/>
      <c r="D826" s="13" t="s">
        <v>20</v>
      </c>
      <c r="E826" s="14" t="s">
        <v>21</v>
      </c>
      <c r="F826" s="15"/>
      <c r="G826" s="16" t="s">
        <v>20</v>
      </c>
      <c r="H826" s="201" t="s">
        <v>22</v>
      </c>
      <c r="I826" s="202"/>
      <c r="J826" s="203"/>
    </row>
    <row r="827" spans="1:10" ht="13.5" customHeight="1">
      <c r="A827" s="17" t="s">
        <v>56</v>
      </c>
      <c r="B827" s="1"/>
      <c r="C827" s="1"/>
      <c r="D827" s="2">
        <v>25000</v>
      </c>
      <c r="E827" s="17" t="s">
        <v>24</v>
      </c>
      <c r="F827" s="1"/>
      <c r="G827" s="2" t="s">
        <v>25</v>
      </c>
      <c r="H827" s="18" t="s">
        <v>26</v>
      </c>
      <c r="I827" s="6"/>
      <c r="J827" s="19"/>
    </row>
    <row r="828" spans="1:10" ht="13.5" customHeight="1">
      <c r="A828" s="17" t="s">
        <v>247</v>
      </c>
      <c r="B828" s="209"/>
      <c r="C828" s="209"/>
      <c r="D828" s="2" t="s">
        <v>25</v>
      </c>
      <c r="E828" s="17" t="s">
        <v>249</v>
      </c>
      <c r="F828" s="1"/>
      <c r="G828" s="2" t="s">
        <v>25</v>
      </c>
      <c r="H828" s="18" t="s">
        <v>29</v>
      </c>
      <c r="I828" s="6"/>
      <c r="J828" s="19"/>
    </row>
    <row r="829" spans="1:10" ht="13.5" customHeight="1">
      <c r="A829" s="17" t="s">
        <v>30</v>
      </c>
      <c r="B829" s="1"/>
      <c r="C829" s="1"/>
      <c r="D829" s="2"/>
      <c r="E829" s="17" t="s">
        <v>64</v>
      </c>
      <c r="F829" s="1"/>
      <c r="G829" s="2" t="s">
        <v>25</v>
      </c>
      <c r="H829" s="18" t="s">
        <v>32</v>
      </c>
      <c r="I829" s="209"/>
      <c r="J829" s="210"/>
    </row>
    <row r="830" spans="1:10" ht="13.5" customHeight="1">
      <c r="A830" s="17" t="s">
        <v>59</v>
      </c>
      <c r="B830" s="1"/>
      <c r="C830" s="1"/>
      <c r="D830" s="2" t="s">
        <v>25</v>
      </c>
      <c r="E830" s="17" t="s">
        <v>35</v>
      </c>
      <c r="F830" s="1"/>
      <c r="G830" s="2">
        <v>1667</v>
      </c>
      <c r="H830" s="18"/>
      <c r="I830" s="6"/>
      <c r="J830" s="19"/>
    </row>
    <row r="831" spans="1:10" ht="13.5" customHeight="1">
      <c r="A831" s="17" t="s">
        <v>78</v>
      </c>
      <c r="B831" s="1"/>
      <c r="C831" s="1"/>
      <c r="D831" s="2" t="s">
        <v>25</v>
      </c>
      <c r="E831" s="17" t="s">
        <v>61</v>
      </c>
      <c r="F831" s="1"/>
      <c r="G831" s="2" t="s">
        <v>25</v>
      </c>
      <c r="H831" s="18"/>
      <c r="I831" s="6"/>
      <c r="J831" s="40"/>
    </row>
    <row r="832" spans="1:10" ht="13.5" customHeight="1">
      <c r="A832" s="17" t="s">
        <v>136</v>
      </c>
      <c r="B832" s="1"/>
      <c r="C832" s="1"/>
      <c r="D832" s="2" t="s">
        <v>25</v>
      </c>
      <c r="E832" s="17" t="s">
        <v>39</v>
      </c>
      <c r="F832" s="1"/>
      <c r="G832" s="2">
        <v>100</v>
      </c>
      <c r="H832" s="18" t="s">
        <v>219</v>
      </c>
      <c r="I832" s="6"/>
      <c r="J832" s="40">
        <v>50916</v>
      </c>
    </row>
    <row r="833" spans="1:10" ht="13.5" customHeight="1">
      <c r="A833" s="18" t="s">
        <v>40</v>
      </c>
      <c r="B833" s="6"/>
      <c r="C833" s="6"/>
      <c r="D833" s="2" t="s">
        <v>25</v>
      </c>
      <c r="E833" s="17" t="s">
        <v>62</v>
      </c>
      <c r="F833" s="2"/>
      <c r="G833" s="2" t="s">
        <v>25</v>
      </c>
      <c r="H833" s="18" t="s">
        <v>254</v>
      </c>
      <c r="I833" s="6"/>
      <c r="J833" s="40"/>
    </row>
    <row r="834" spans="1:10" ht="13.5" customHeight="1">
      <c r="A834" s="204" t="s">
        <v>63</v>
      </c>
      <c r="B834" s="205"/>
      <c r="C834" s="206"/>
      <c r="D834" s="229">
        <f>SUM(D827:D833)</f>
        <v>25000</v>
      </c>
      <c r="E834" s="1" t="s">
        <v>251</v>
      </c>
      <c r="F834" s="1"/>
      <c r="G834" s="2" t="s">
        <v>25</v>
      </c>
      <c r="H834" s="18"/>
      <c r="I834" s="6"/>
      <c r="J834" s="39"/>
    </row>
    <row r="835" spans="1:10" ht="13.5" customHeight="1">
      <c r="A835" s="207"/>
      <c r="B835" s="197"/>
      <c r="C835" s="208"/>
      <c r="D835" s="230"/>
      <c r="E835" s="21" t="s">
        <v>21</v>
      </c>
      <c r="F835" s="22"/>
      <c r="G835" s="13">
        <f>SUM(G827:G834)</f>
        <v>1767</v>
      </c>
      <c r="H835" s="21" t="s">
        <v>44</v>
      </c>
      <c r="I835" s="22"/>
      <c r="J835" s="13">
        <v>20000</v>
      </c>
    </row>
    <row r="836" spans="1:10" ht="13.5" customHeight="1">
      <c r="A836" s="3" t="s">
        <v>45</v>
      </c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3.5" customHeight="1">
      <c r="A837" s="184" t="s">
        <v>0</v>
      </c>
      <c r="B837" s="185"/>
      <c r="C837" s="185"/>
      <c r="D837" s="185"/>
      <c r="E837" s="185"/>
      <c r="F837" s="185"/>
      <c r="G837" s="185"/>
      <c r="H837" s="185"/>
      <c r="I837" s="185"/>
      <c r="J837" s="186"/>
    </row>
    <row r="838" spans="1:10" ht="13.5" customHeight="1">
      <c r="A838" s="187" t="s">
        <v>1</v>
      </c>
      <c r="B838" s="188"/>
      <c r="C838" s="188"/>
      <c r="D838" s="188"/>
      <c r="E838" s="188"/>
      <c r="F838" s="188"/>
      <c r="G838" s="188"/>
      <c r="H838" s="188"/>
      <c r="I838" s="188"/>
      <c r="J838" s="189"/>
    </row>
    <row r="839" spans="1:10" ht="13.5" customHeight="1">
      <c r="A839" s="134" t="s">
        <v>2</v>
      </c>
      <c r="B839" s="134"/>
      <c r="C839" s="218" t="s">
        <v>85</v>
      </c>
      <c r="D839" s="218"/>
      <c r="E839" s="135"/>
      <c r="F839" s="136"/>
      <c r="G839" s="134" t="s">
        <v>4</v>
      </c>
      <c r="H839" s="240" t="s">
        <v>255</v>
      </c>
      <c r="I839" s="241"/>
      <c r="J839" s="242"/>
    </row>
    <row r="840" spans="1:10" ht="13.5" customHeight="1">
      <c r="A840" s="134" t="s">
        <v>6</v>
      </c>
      <c r="B840" s="134"/>
      <c r="C840" s="160" t="s">
        <v>256</v>
      </c>
      <c r="D840" s="160"/>
      <c r="E840" s="135"/>
      <c r="F840" s="136"/>
      <c r="G840" s="134" t="s">
        <v>8</v>
      </c>
      <c r="H840" s="217" t="s">
        <v>9</v>
      </c>
      <c r="I840" s="217"/>
      <c r="J840" s="217"/>
    </row>
    <row r="841" spans="1:10" ht="13.5" customHeight="1">
      <c r="A841" s="23" t="s">
        <v>10</v>
      </c>
      <c r="B841" s="23"/>
      <c r="C841" s="218" t="s">
        <v>94</v>
      </c>
      <c r="D841" s="218"/>
      <c r="E841" s="135"/>
      <c r="F841" s="136"/>
      <c r="G841" s="134" t="s">
        <v>12</v>
      </c>
      <c r="H841" s="195" t="s">
        <v>13</v>
      </c>
      <c r="I841" s="195"/>
      <c r="J841" s="195"/>
    </row>
    <row r="842" spans="1:10" ht="13.5" customHeight="1">
      <c r="A842" s="135" t="s">
        <v>14</v>
      </c>
      <c r="B842" s="135"/>
      <c r="C842" s="135" t="s">
        <v>15</v>
      </c>
      <c r="D842" s="135"/>
      <c r="E842" s="135"/>
      <c r="F842" s="136"/>
      <c r="G842" s="134" t="s">
        <v>16</v>
      </c>
      <c r="H842" s="219" t="s">
        <v>87</v>
      </c>
      <c r="I842" s="219"/>
      <c r="J842" s="219"/>
    </row>
    <row r="843" spans="1:10" ht="13.5" customHeight="1">
      <c r="A843" s="135">
        <v>30</v>
      </c>
      <c r="B843" s="135"/>
      <c r="C843" s="135">
        <f>A843-H843</f>
        <v>27</v>
      </c>
      <c r="D843" s="135"/>
      <c r="E843" s="135"/>
      <c r="F843" s="136"/>
      <c r="G843" s="137" t="s">
        <v>18</v>
      </c>
      <c r="H843" s="220">
        <v>3</v>
      </c>
      <c r="I843" s="220"/>
      <c r="J843" s="220"/>
    </row>
    <row r="844" spans="1:10" ht="13.5" customHeight="1">
      <c r="A844" s="221" t="s">
        <v>19</v>
      </c>
      <c r="B844" s="222"/>
      <c r="C844" s="223"/>
      <c r="D844" s="138" t="s">
        <v>20</v>
      </c>
      <c r="E844" s="139" t="s">
        <v>21</v>
      </c>
      <c r="F844" s="140"/>
      <c r="G844" s="141" t="s">
        <v>20</v>
      </c>
      <c r="H844" s="224" t="s">
        <v>22</v>
      </c>
      <c r="I844" s="225"/>
      <c r="J844" s="226"/>
    </row>
    <row r="845" spans="1:10" ht="13.5" customHeight="1">
      <c r="A845" s="142" t="s">
        <v>23</v>
      </c>
      <c r="B845" s="134"/>
      <c r="C845" s="134"/>
      <c r="D845" s="135">
        <v>25000</v>
      </c>
      <c r="E845" s="142" t="s">
        <v>24</v>
      </c>
      <c r="F845" s="134"/>
      <c r="G845" s="135" t="s">
        <v>25</v>
      </c>
      <c r="H845" s="18" t="s">
        <v>26</v>
      </c>
      <c r="I845" s="23"/>
      <c r="J845" s="24"/>
    </row>
    <row r="846" spans="1:10" ht="13.5" customHeight="1">
      <c r="A846" s="142" t="s">
        <v>77</v>
      </c>
      <c r="B846" s="227"/>
      <c r="C846" s="227"/>
      <c r="D846" s="135" t="s">
        <v>25</v>
      </c>
      <c r="E846" s="142" t="s">
        <v>83</v>
      </c>
      <c r="F846" s="134"/>
      <c r="G846" s="135" t="s">
        <v>25</v>
      </c>
      <c r="H846" s="18" t="s">
        <v>29</v>
      </c>
      <c r="I846" s="23"/>
      <c r="J846" s="24"/>
    </row>
    <row r="847" spans="1:10" ht="13.5" customHeight="1">
      <c r="A847" s="142" t="s">
        <v>30</v>
      </c>
      <c r="B847" s="134"/>
      <c r="C847" s="134"/>
      <c r="D847" s="135">
        <v>1600</v>
      </c>
      <c r="E847" s="142" t="s">
        <v>89</v>
      </c>
      <c r="F847" s="134"/>
      <c r="G847" s="135" t="s">
        <v>25</v>
      </c>
      <c r="H847" s="18" t="s">
        <v>32</v>
      </c>
      <c r="I847" s="23"/>
      <c r="J847" s="24"/>
    </row>
    <row r="848" spans="1:10" ht="13.5" customHeight="1">
      <c r="A848" s="142" t="s">
        <v>34</v>
      </c>
      <c r="B848" s="134"/>
      <c r="C848" s="134"/>
      <c r="D848" s="135" t="s">
        <v>25</v>
      </c>
      <c r="E848" s="142" t="s">
        <v>35</v>
      </c>
      <c r="F848" s="134"/>
      <c r="G848" s="135">
        <v>22500</v>
      </c>
      <c r="H848" s="143"/>
      <c r="I848" s="23"/>
      <c r="J848" s="24"/>
    </row>
    <row r="849" spans="1:10" ht="13.5" customHeight="1">
      <c r="A849" s="142" t="s">
        <v>257</v>
      </c>
      <c r="B849" s="134"/>
      <c r="C849" s="134"/>
      <c r="D849" s="135">
        <v>1000</v>
      </c>
      <c r="E849" s="142" t="s">
        <v>61</v>
      </c>
      <c r="F849" s="135"/>
      <c r="G849" s="135" t="s">
        <v>25</v>
      </c>
      <c r="H849" s="161"/>
      <c r="I849" s="162"/>
      <c r="J849" s="163"/>
    </row>
    <row r="850" spans="1:10" ht="13.5" customHeight="1">
      <c r="A850" s="142" t="s">
        <v>72</v>
      </c>
      <c r="B850" s="134"/>
      <c r="C850" s="134"/>
      <c r="D850" s="135" t="s">
        <v>25</v>
      </c>
      <c r="E850" s="142" t="s">
        <v>39</v>
      </c>
      <c r="F850" s="134"/>
      <c r="G850" s="135">
        <v>100</v>
      </c>
      <c r="H850" s="164"/>
      <c r="I850" s="165"/>
      <c r="J850" s="166"/>
    </row>
    <row r="851" spans="1:10" ht="13.5" customHeight="1">
      <c r="A851" s="143" t="s">
        <v>40</v>
      </c>
      <c r="B851" s="23"/>
      <c r="C851" s="23"/>
      <c r="D851" s="135" t="s">
        <v>25</v>
      </c>
      <c r="E851" s="142" t="s">
        <v>62</v>
      </c>
      <c r="F851" s="135"/>
      <c r="G851" s="135" t="s">
        <v>25</v>
      </c>
      <c r="H851" s="143"/>
      <c r="I851" s="23"/>
      <c r="J851" s="24"/>
    </row>
    <row r="852" spans="1:10" ht="13.5" customHeight="1">
      <c r="A852" s="243" t="s">
        <v>63</v>
      </c>
      <c r="B852" s="244"/>
      <c r="C852" s="245"/>
      <c r="D852" s="238">
        <f>SUM(D845:D851)</f>
        <v>27600</v>
      </c>
      <c r="E852" s="134" t="s">
        <v>43</v>
      </c>
      <c r="F852" s="134"/>
      <c r="G852" s="135" t="s">
        <v>25</v>
      </c>
      <c r="H852" s="143"/>
      <c r="I852" s="23"/>
      <c r="J852" s="24"/>
    </row>
    <row r="853" spans="1:10" ht="13.5" customHeight="1">
      <c r="A853" s="246"/>
      <c r="B853" s="247"/>
      <c r="C853" s="248"/>
      <c r="D853" s="239"/>
      <c r="E853" s="146" t="s">
        <v>21</v>
      </c>
      <c r="F853" s="147"/>
      <c r="G853" s="138">
        <f>SUM(G845:G852)</f>
        <v>22600</v>
      </c>
      <c r="H853" s="146" t="s">
        <v>44</v>
      </c>
      <c r="I853" s="147"/>
      <c r="J853" s="138">
        <f>D852-G853</f>
        <v>5000</v>
      </c>
    </row>
    <row r="854" spans="1:10" ht="13.5" customHeight="1">
      <c r="A854" s="136" t="s">
        <v>45</v>
      </c>
      <c r="B854" s="136"/>
      <c r="C854" s="136"/>
      <c r="D854" s="136"/>
      <c r="E854" s="136"/>
      <c r="F854" s="136"/>
      <c r="G854" s="136"/>
      <c r="H854" s="136"/>
      <c r="I854" s="136"/>
      <c r="J854" s="136"/>
    </row>
    <row r="855" spans="1:10" ht="13.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</row>
    <row r="856" spans="1:10" ht="13.5" customHeight="1">
      <c r="A856" s="136"/>
      <c r="B856" s="136" t="s">
        <v>47</v>
      </c>
      <c r="C856" s="136"/>
      <c r="D856" s="136"/>
      <c r="E856" s="136" t="s">
        <v>48</v>
      </c>
      <c r="F856" s="136"/>
      <c r="G856" s="136"/>
      <c r="H856" s="136" t="s">
        <v>49</v>
      </c>
      <c r="I856" s="136"/>
      <c r="J856" s="136"/>
    </row>
    <row r="857" spans="1:10" ht="13.5" customHeight="1">
      <c r="A857" s="184" t="s">
        <v>0</v>
      </c>
      <c r="B857" s="185"/>
      <c r="C857" s="185"/>
      <c r="D857" s="185"/>
      <c r="E857" s="185"/>
      <c r="F857" s="185"/>
      <c r="G857" s="185"/>
      <c r="H857" s="185"/>
      <c r="I857" s="185"/>
      <c r="J857" s="186"/>
    </row>
    <row r="858" spans="1:10" ht="13.5" customHeight="1">
      <c r="A858" s="187" t="s">
        <v>1</v>
      </c>
      <c r="B858" s="188"/>
      <c r="C858" s="188"/>
      <c r="D858" s="188"/>
      <c r="E858" s="188"/>
      <c r="F858" s="188"/>
      <c r="G858" s="188"/>
      <c r="H858" s="188"/>
      <c r="I858" s="188"/>
      <c r="J858" s="189"/>
    </row>
    <row r="859" spans="1:10" ht="13.5" customHeight="1">
      <c r="A859" s="134" t="s">
        <v>2</v>
      </c>
      <c r="B859" s="134"/>
      <c r="C859" s="218" t="s">
        <v>258</v>
      </c>
      <c r="D859" s="218"/>
      <c r="E859" s="135"/>
      <c r="F859" s="136"/>
      <c r="G859" s="134" t="s">
        <v>4</v>
      </c>
      <c r="H859" s="240" t="s">
        <v>259</v>
      </c>
      <c r="I859" s="241"/>
      <c r="J859" s="242"/>
    </row>
    <row r="860" spans="1:10" ht="13.5" customHeight="1">
      <c r="A860" s="134" t="s">
        <v>6</v>
      </c>
      <c r="B860" s="134"/>
      <c r="C860" s="160" t="s">
        <v>260</v>
      </c>
      <c r="D860" s="160"/>
      <c r="E860" s="135"/>
      <c r="F860" s="136"/>
      <c r="G860" s="134" t="s">
        <v>8</v>
      </c>
      <c r="H860" s="217" t="s">
        <v>9</v>
      </c>
      <c r="I860" s="217"/>
      <c r="J860" s="217"/>
    </row>
    <row r="861" spans="1:10" ht="13.5" customHeight="1">
      <c r="A861" s="23" t="s">
        <v>10</v>
      </c>
      <c r="B861" s="23"/>
      <c r="C861" s="218" t="s">
        <v>261</v>
      </c>
      <c r="D861" s="218"/>
      <c r="E861" s="135"/>
      <c r="F861" s="136"/>
      <c r="G861" s="134" t="s">
        <v>12</v>
      </c>
      <c r="H861" s="195" t="s">
        <v>13</v>
      </c>
      <c r="I861" s="195"/>
      <c r="J861" s="195"/>
    </row>
    <row r="862" spans="1:10" ht="13.5" customHeight="1">
      <c r="A862" s="135" t="s">
        <v>14</v>
      </c>
      <c r="B862" s="135"/>
      <c r="C862" s="135" t="s">
        <v>15</v>
      </c>
      <c r="D862" s="135"/>
      <c r="E862" s="135"/>
      <c r="F862" s="136"/>
      <c r="G862" s="134" t="s">
        <v>16</v>
      </c>
      <c r="H862" s="219" t="s">
        <v>87</v>
      </c>
      <c r="I862" s="219"/>
      <c r="J862" s="219"/>
    </row>
    <row r="863" spans="1:10" ht="13.5" customHeight="1">
      <c r="A863" s="135">
        <v>30</v>
      </c>
      <c r="B863" s="135"/>
      <c r="C863" s="135">
        <f>A863-H863</f>
        <v>0</v>
      </c>
      <c r="D863" s="135"/>
      <c r="E863" s="135"/>
      <c r="F863" s="136"/>
      <c r="G863" s="137" t="s">
        <v>18</v>
      </c>
      <c r="H863" s="220">
        <v>30</v>
      </c>
      <c r="I863" s="220"/>
      <c r="J863" s="220"/>
    </row>
    <row r="864" spans="1:10" ht="13.5" customHeight="1">
      <c r="A864" s="221" t="s">
        <v>19</v>
      </c>
      <c r="B864" s="222"/>
      <c r="C864" s="223"/>
      <c r="D864" s="138" t="s">
        <v>20</v>
      </c>
      <c r="E864" s="139" t="s">
        <v>21</v>
      </c>
      <c r="F864" s="140"/>
      <c r="G864" s="141" t="s">
        <v>20</v>
      </c>
      <c r="H864" s="224" t="s">
        <v>22</v>
      </c>
      <c r="I864" s="225"/>
      <c r="J864" s="226"/>
    </row>
    <row r="865" spans="1:10" ht="13.5" customHeight="1">
      <c r="A865" s="142" t="s">
        <v>23</v>
      </c>
      <c r="B865" s="134"/>
      <c r="C865" s="134"/>
      <c r="D865" s="135">
        <v>60000</v>
      </c>
      <c r="E865" s="142" t="s">
        <v>24</v>
      </c>
      <c r="F865" s="134"/>
      <c r="G865" s="135" t="s">
        <v>25</v>
      </c>
      <c r="H865" s="18" t="s">
        <v>26</v>
      </c>
      <c r="I865" s="23"/>
      <c r="J865" s="24"/>
    </row>
    <row r="866" spans="1:10" ht="13.5" customHeight="1">
      <c r="A866" s="142" t="s">
        <v>77</v>
      </c>
      <c r="B866" s="227"/>
      <c r="C866" s="227"/>
      <c r="D866" s="135" t="s">
        <v>25</v>
      </c>
      <c r="E866" s="142" t="s">
        <v>83</v>
      </c>
      <c r="F866" s="134"/>
      <c r="G866" s="135" t="s">
        <v>25</v>
      </c>
      <c r="H866" s="18" t="s">
        <v>29</v>
      </c>
      <c r="I866" s="23"/>
      <c r="J866" s="24"/>
    </row>
    <row r="867" spans="1:10" ht="13.5" customHeight="1">
      <c r="A867" s="142" t="s">
        <v>30</v>
      </c>
      <c r="B867" s="134"/>
      <c r="C867" s="134"/>
      <c r="D867" s="135">
        <v>10100</v>
      </c>
      <c r="E867" s="142" t="s">
        <v>89</v>
      </c>
      <c r="F867" s="134"/>
      <c r="G867" s="135" t="s">
        <v>25</v>
      </c>
      <c r="H867" s="18" t="s">
        <v>32</v>
      </c>
      <c r="I867" s="23"/>
      <c r="J867" s="24"/>
    </row>
    <row r="868" spans="1:10" ht="13.5" customHeight="1">
      <c r="A868" s="142" t="s">
        <v>34</v>
      </c>
      <c r="B868" s="134"/>
      <c r="C868" s="134"/>
      <c r="D868" s="135" t="s">
        <v>25</v>
      </c>
      <c r="E868" s="142" t="s">
        <v>35</v>
      </c>
      <c r="F868" s="134"/>
      <c r="G868" s="135" t="s">
        <v>25</v>
      </c>
      <c r="H868" s="143"/>
      <c r="I868" s="23"/>
      <c r="J868" s="24"/>
    </row>
    <row r="869" spans="1:10" ht="13.5" customHeight="1">
      <c r="A869" s="142" t="s">
        <v>257</v>
      </c>
      <c r="B869" s="134"/>
      <c r="C869" s="134"/>
      <c r="D869" s="135" t="s">
        <v>25</v>
      </c>
      <c r="E869" s="142" t="s">
        <v>61</v>
      </c>
      <c r="F869" s="135"/>
      <c r="G869" s="135" t="s">
        <v>25</v>
      </c>
      <c r="H869" s="161"/>
      <c r="I869" s="162"/>
      <c r="J869" s="163"/>
    </row>
    <row r="870" spans="1:10" ht="13.5" customHeight="1">
      <c r="A870" s="142" t="s">
        <v>72</v>
      </c>
      <c r="B870" s="134"/>
      <c r="C870" s="134"/>
      <c r="D870" s="135" t="s">
        <v>25</v>
      </c>
      <c r="E870" s="142" t="s">
        <v>39</v>
      </c>
      <c r="F870" s="134"/>
      <c r="G870" s="135">
        <v>100</v>
      </c>
      <c r="H870" s="164"/>
      <c r="I870" s="165"/>
      <c r="J870" s="166"/>
    </row>
    <row r="871" spans="1:10" ht="13.5" customHeight="1">
      <c r="A871" s="143" t="s">
        <v>40</v>
      </c>
      <c r="B871" s="23"/>
      <c r="C871" s="23"/>
      <c r="D871" s="135" t="s">
        <v>25</v>
      </c>
      <c r="E871" s="142" t="s">
        <v>62</v>
      </c>
      <c r="F871" s="135"/>
      <c r="G871" s="135" t="s">
        <v>25</v>
      </c>
      <c r="H871" s="143"/>
      <c r="I871" s="23"/>
      <c r="J871" s="24"/>
    </row>
    <row r="872" spans="1:10" ht="13.5" customHeight="1">
      <c r="A872" s="243" t="s">
        <v>63</v>
      </c>
      <c r="B872" s="244"/>
      <c r="C872" s="245"/>
      <c r="D872" s="238">
        <f>SUM(D865:D871)</f>
        <v>70100</v>
      </c>
      <c r="E872" s="134" t="s">
        <v>43</v>
      </c>
      <c r="F872" s="134"/>
      <c r="G872" s="135" t="s">
        <v>25</v>
      </c>
      <c r="H872" s="143"/>
      <c r="I872" s="23"/>
      <c r="J872" s="24"/>
    </row>
    <row r="873" spans="1:10" ht="13.5" customHeight="1">
      <c r="A873" s="246"/>
      <c r="B873" s="247"/>
      <c r="C873" s="248"/>
      <c r="D873" s="239"/>
      <c r="E873" s="146" t="s">
        <v>21</v>
      </c>
      <c r="F873" s="147"/>
      <c r="G873" s="138">
        <f>SUM(G865:G872)</f>
        <v>100</v>
      </c>
      <c r="H873" s="146" t="s">
        <v>44</v>
      </c>
      <c r="I873" s="147"/>
      <c r="J873" s="138">
        <f>D872-G873</f>
        <v>70000</v>
      </c>
    </row>
    <row r="874" spans="1:10" ht="13.5" customHeight="1">
      <c r="A874" s="136" t="s">
        <v>45</v>
      </c>
      <c r="B874" s="136"/>
      <c r="C874" s="136"/>
      <c r="D874" s="136"/>
      <c r="E874" s="136"/>
      <c r="F874" s="136"/>
      <c r="G874" s="136"/>
      <c r="H874" s="136"/>
      <c r="I874" s="136"/>
      <c r="J874" s="136"/>
    </row>
    <row r="875" spans="1:10" ht="10.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</row>
    <row r="876" spans="1:10" ht="13.5" customHeight="1">
      <c r="A876" s="136"/>
      <c r="B876" s="136" t="s">
        <v>47</v>
      </c>
      <c r="C876" s="136"/>
      <c r="D876" s="136"/>
      <c r="E876" s="136" t="s">
        <v>48</v>
      </c>
      <c r="F876" s="136"/>
      <c r="G876" s="136"/>
      <c r="H876" s="136" t="s">
        <v>49</v>
      </c>
      <c r="I876" s="136"/>
      <c r="J876" s="136"/>
    </row>
    <row r="877" spans="1:10" ht="13.5" customHeight="1">
      <c r="A877" s="213" t="s">
        <v>0</v>
      </c>
      <c r="B877" s="214"/>
      <c r="C877" s="214"/>
      <c r="D877" s="214"/>
      <c r="E877" s="214"/>
      <c r="F877" s="214"/>
      <c r="G877" s="214"/>
      <c r="H877" s="214"/>
      <c r="I877" s="214"/>
      <c r="J877" s="215"/>
    </row>
    <row r="878" spans="1:10" ht="13.5" customHeight="1">
      <c r="A878" s="187" t="s">
        <v>1</v>
      </c>
      <c r="B878" s="188"/>
      <c r="C878" s="188"/>
      <c r="D878" s="188"/>
      <c r="E878" s="188"/>
      <c r="F878" s="188"/>
      <c r="G878" s="188"/>
      <c r="H878" s="188"/>
      <c r="I878" s="188"/>
      <c r="J878" s="189"/>
    </row>
    <row r="879" spans="1:10" ht="13.5" customHeight="1">
      <c r="A879" s="134" t="s">
        <v>2</v>
      </c>
      <c r="B879" s="134"/>
      <c r="C879" s="218"/>
      <c r="D879" s="218"/>
      <c r="E879" s="135"/>
      <c r="F879" s="136"/>
      <c r="G879" s="134" t="s">
        <v>4</v>
      </c>
      <c r="H879" s="240" t="s">
        <v>259</v>
      </c>
      <c r="I879" s="241"/>
      <c r="J879" s="242"/>
    </row>
    <row r="880" spans="1:10" ht="13.5" customHeight="1">
      <c r="A880" s="134" t="s">
        <v>6</v>
      </c>
      <c r="B880" s="134"/>
      <c r="C880" s="160" t="s">
        <v>262</v>
      </c>
      <c r="D880" s="160"/>
      <c r="E880" s="135"/>
      <c r="F880" s="136"/>
      <c r="G880" s="134" t="s">
        <v>8</v>
      </c>
      <c r="H880" s="217" t="s">
        <v>9</v>
      </c>
      <c r="I880" s="217"/>
      <c r="J880" s="217"/>
    </row>
    <row r="881" spans="1:10" ht="13.5" customHeight="1">
      <c r="A881" s="23" t="s">
        <v>10</v>
      </c>
      <c r="B881" s="23"/>
      <c r="C881" s="218" t="s">
        <v>94</v>
      </c>
      <c r="D881" s="218"/>
      <c r="E881" s="135"/>
      <c r="F881" s="136"/>
      <c r="G881" s="134" t="s">
        <v>12</v>
      </c>
      <c r="H881" s="195" t="s">
        <v>13</v>
      </c>
      <c r="I881" s="195"/>
      <c r="J881" s="195"/>
    </row>
    <row r="882" spans="1:10" ht="13.5" customHeight="1">
      <c r="A882" s="135" t="s">
        <v>14</v>
      </c>
      <c r="B882" s="135"/>
      <c r="C882" s="135" t="s">
        <v>15</v>
      </c>
      <c r="D882" s="135"/>
      <c r="E882" s="135"/>
      <c r="F882" s="136"/>
      <c r="G882" s="134" t="s">
        <v>16</v>
      </c>
      <c r="H882" s="219" t="s">
        <v>263</v>
      </c>
      <c r="I882" s="219"/>
      <c r="J882" s="219"/>
    </row>
    <row r="883" spans="1:10" ht="13.5" customHeight="1">
      <c r="A883" s="135">
        <v>30</v>
      </c>
      <c r="B883" s="135"/>
      <c r="C883" s="135">
        <f>A883-H883</f>
        <v>0</v>
      </c>
      <c r="D883" s="135"/>
      <c r="E883" s="135"/>
      <c r="F883" s="136"/>
      <c r="G883" s="137" t="s">
        <v>18</v>
      </c>
      <c r="H883" s="220">
        <v>30</v>
      </c>
      <c r="I883" s="220"/>
      <c r="J883" s="220"/>
    </row>
    <row r="884" spans="1:10" ht="13.5" customHeight="1">
      <c r="A884" s="221" t="s">
        <v>19</v>
      </c>
      <c r="B884" s="222"/>
      <c r="C884" s="223"/>
      <c r="D884" s="138" t="s">
        <v>20</v>
      </c>
      <c r="E884" s="139" t="s">
        <v>21</v>
      </c>
      <c r="F884" s="140"/>
      <c r="G884" s="141" t="s">
        <v>20</v>
      </c>
      <c r="H884" s="224" t="s">
        <v>22</v>
      </c>
      <c r="I884" s="225"/>
      <c r="J884" s="226"/>
    </row>
    <row r="885" spans="1:10" ht="13.5" customHeight="1">
      <c r="A885" s="142" t="s">
        <v>23</v>
      </c>
      <c r="B885" s="134"/>
      <c r="C885" s="134"/>
      <c r="D885" s="135">
        <v>40000</v>
      </c>
      <c r="E885" s="142" t="s">
        <v>28</v>
      </c>
      <c r="F885" s="134"/>
      <c r="G885" s="135" t="s">
        <v>25</v>
      </c>
      <c r="H885" s="18" t="s">
        <v>26</v>
      </c>
      <c r="I885" s="23"/>
      <c r="J885" s="24"/>
    </row>
    <row r="886" spans="1:10" ht="13.5" customHeight="1">
      <c r="A886" s="142" t="s">
        <v>77</v>
      </c>
      <c r="B886" s="227"/>
      <c r="C886" s="227"/>
      <c r="D886" s="135" t="s">
        <v>25</v>
      </c>
      <c r="E886" s="142" t="s">
        <v>141</v>
      </c>
      <c r="F886" s="134"/>
      <c r="G886" s="178" t="s">
        <v>25</v>
      </c>
      <c r="H886" s="18" t="s">
        <v>29</v>
      </c>
      <c r="I886" s="23"/>
      <c r="J886" s="24"/>
    </row>
    <row r="887" spans="1:10" ht="13.5" customHeight="1">
      <c r="A887" s="142" t="s">
        <v>30</v>
      </c>
      <c r="B887" s="134"/>
      <c r="C887" s="134"/>
      <c r="D887" s="135">
        <v>600</v>
      </c>
      <c r="E887" s="142" t="s">
        <v>89</v>
      </c>
      <c r="F887" s="134"/>
      <c r="G887" s="135" t="s">
        <v>25</v>
      </c>
      <c r="H887" s="18" t="s">
        <v>32</v>
      </c>
      <c r="I887" s="23"/>
      <c r="J887" s="24"/>
    </row>
    <row r="888" spans="1:10" ht="13.5" customHeight="1">
      <c r="A888" s="142" t="s">
        <v>34</v>
      </c>
      <c r="B888" s="134"/>
      <c r="C888" s="134"/>
      <c r="D888" s="135" t="s">
        <v>25</v>
      </c>
      <c r="E888" s="142" t="s">
        <v>35</v>
      </c>
      <c r="F888" s="134"/>
      <c r="G888" s="135" t="s">
        <v>25</v>
      </c>
      <c r="H888" s="143"/>
      <c r="I888" s="23"/>
      <c r="J888" s="24"/>
    </row>
    <row r="889" spans="1:10" ht="13.5" customHeight="1">
      <c r="A889" s="142" t="s">
        <v>110</v>
      </c>
      <c r="B889" s="134"/>
      <c r="C889" s="134"/>
      <c r="D889" s="135">
        <v>5000</v>
      </c>
      <c r="E889" s="142" t="s">
        <v>61</v>
      </c>
      <c r="F889" s="135"/>
      <c r="G889" s="135">
        <v>500</v>
      </c>
      <c r="H889" s="161"/>
      <c r="I889" s="162"/>
      <c r="J889" s="163"/>
    </row>
    <row r="890" spans="1:10" ht="13.5" customHeight="1">
      <c r="A890" s="142" t="s">
        <v>136</v>
      </c>
      <c r="B890" s="134"/>
      <c r="C890" s="134"/>
      <c r="D890" s="135" t="s">
        <v>25</v>
      </c>
      <c r="E890" s="142" t="s">
        <v>39</v>
      </c>
      <c r="F890" s="134"/>
      <c r="G890" s="135">
        <v>100</v>
      </c>
      <c r="H890" s="164"/>
      <c r="I890" s="165"/>
      <c r="J890" s="166"/>
    </row>
    <row r="891" spans="1:10" ht="13.5" customHeight="1">
      <c r="A891" s="143" t="s">
        <v>40</v>
      </c>
      <c r="B891" s="23"/>
      <c r="C891" s="23"/>
      <c r="D891" s="135" t="s">
        <v>25</v>
      </c>
      <c r="E891" s="142" t="s">
        <v>62</v>
      </c>
      <c r="F891" s="135"/>
      <c r="G891" s="135" t="s">
        <v>25</v>
      </c>
      <c r="H891" s="143"/>
      <c r="I891" s="23"/>
      <c r="J891" s="24"/>
    </row>
    <row r="892" spans="1:10" ht="13.5" customHeight="1">
      <c r="A892" s="243" t="s">
        <v>63</v>
      </c>
      <c r="B892" s="244"/>
      <c r="C892" s="245"/>
      <c r="D892" s="238">
        <f>SUM(D885:D891)</f>
        <v>45600</v>
      </c>
      <c r="E892" s="134" t="s">
        <v>43</v>
      </c>
      <c r="F892" s="134"/>
      <c r="G892" s="135" t="s">
        <v>25</v>
      </c>
      <c r="H892" s="143"/>
      <c r="I892" s="23"/>
      <c r="J892" s="24"/>
    </row>
    <row r="893" spans="1:10" ht="13.5" customHeight="1">
      <c r="A893" s="246"/>
      <c r="B893" s="247"/>
      <c r="C893" s="248"/>
      <c r="D893" s="239"/>
      <c r="E893" s="146" t="s">
        <v>21</v>
      </c>
      <c r="F893" s="147"/>
      <c r="G893" s="138">
        <f>SUM(G885:G892)</f>
        <v>600</v>
      </c>
      <c r="H893" s="146" t="s">
        <v>44</v>
      </c>
      <c r="I893" s="147"/>
      <c r="J893" s="138">
        <f>D892-G893</f>
        <v>45000</v>
      </c>
    </row>
    <row r="894" spans="1:10" ht="13.5" customHeight="1">
      <c r="A894" s="136" t="s">
        <v>45</v>
      </c>
      <c r="B894" s="136"/>
      <c r="C894" s="136"/>
      <c r="D894" s="136"/>
      <c r="E894" s="136"/>
      <c r="F894" s="136"/>
      <c r="G894" s="136"/>
      <c r="H894" s="136"/>
      <c r="I894" s="136"/>
      <c r="J894" s="136"/>
    </row>
    <row r="895" spans="1:10" ht="13.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</row>
    <row r="896" spans="1:10" ht="13.5" customHeight="1">
      <c r="A896" s="136"/>
      <c r="B896" s="136" t="s">
        <v>47</v>
      </c>
      <c r="C896" s="136"/>
      <c r="D896" s="136"/>
      <c r="E896" s="136" t="s">
        <v>48</v>
      </c>
      <c r="F896" s="136"/>
      <c r="G896" s="136"/>
      <c r="H896" s="136" t="s">
        <v>49</v>
      </c>
      <c r="I896" s="136"/>
      <c r="J896" s="136"/>
    </row>
    <row r="897" spans="1:16" ht="32.25" customHeight="1">
      <c r="A897" s="249" t="s">
        <v>264</v>
      </c>
      <c r="B897" s="250"/>
      <c r="C897" s="250"/>
      <c r="D897" s="250"/>
      <c r="E897" s="251"/>
      <c r="F897" s="249">
        <f>J893+J873+J853+J835+J816+J796+J776+J756+J736+J716+J696+J676+J656+J636+J616+J596+J576+J556+J536+J516+J495+J474+J454+J434+J414+J394+J374+J354+J334+J314+J294+J274+J254+J234+J214+J194+J174+J155+J135+J116+J97+J77+J57+J37+J17</f>
        <v>2843569</v>
      </c>
      <c r="G897" s="250"/>
      <c r="H897" s="250"/>
      <c r="I897" s="250"/>
      <c r="J897" s="251"/>
      <c r="O897">
        <v>2843569</v>
      </c>
      <c r="P897">
        <f>SUM(F897-O897)</f>
        <v>0</v>
      </c>
    </row>
    <row r="898" spans="1:16">
      <c r="A898" s="3"/>
      <c r="B898" s="3"/>
      <c r="C898" s="3"/>
      <c r="D898" s="3"/>
      <c r="E898" s="3"/>
      <c r="F898" s="3"/>
      <c r="G898" s="3"/>
      <c r="H898" s="3"/>
      <c r="I898" s="3"/>
    </row>
    <row r="899" spans="1:16">
      <c r="A899" s="3"/>
      <c r="B899" s="3"/>
      <c r="C899" s="3"/>
      <c r="D899" s="3"/>
      <c r="E899" s="3"/>
      <c r="F899" s="3"/>
      <c r="G899" s="3"/>
      <c r="H899" s="3"/>
      <c r="I899" s="3"/>
    </row>
    <row r="900" spans="1:16">
      <c r="A900" s="3"/>
      <c r="B900" s="3"/>
      <c r="C900" s="3"/>
      <c r="D900" s="3"/>
      <c r="E900" s="3"/>
      <c r="F900" s="3"/>
      <c r="G900" s="3"/>
      <c r="H900" s="3"/>
      <c r="I900" s="3"/>
    </row>
    <row r="901" spans="1:16">
      <c r="A901" s="3"/>
      <c r="B901" s="3"/>
      <c r="C901" s="3"/>
      <c r="D901" s="3"/>
      <c r="E901" s="3"/>
      <c r="F901" s="3"/>
      <c r="G901" s="3"/>
      <c r="H901" s="3"/>
      <c r="I901" s="3"/>
    </row>
    <row r="902" spans="1:16">
      <c r="A902" s="29"/>
      <c r="B902" s="29"/>
      <c r="C902" s="29"/>
      <c r="D902" s="29"/>
      <c r="E902" s="29"/>
      <c r="F902" s="30"/>
      <c r="G902" s="30"/>
      <c r="H902" s="30"/>
      <c r="I902" s="30"/>
    </row>
    <row r="903" spans="1:16">
      <c r="A903" s="31"/>
      <c r="B903" s="252" t="s">
        <v>265</v>
      </c>
      <c r="C903" s="252"/>
      <c r="D903" s="252"/>
      <c r="E903" s="33"/>
      <c r="F903" s="253" t="s">
        <v>266</v>
      </c>
      <c r="G903" s="253"/>
      <c r="H903" s="253"/>
      <c r="I903" s="253"/>
    </row>
    <row r="904" spans="1:16">
      <c r="A904" s="31"/>
      <c r="B904" s="34"/>
      <c r="C904" s="34"/>
      <c r="D904" s="34"/>
      <c r="E904" s="33"/>
      <c r="F904" s="35"/>
      <c r="G904" s="35"/>
      <c r="H904" s="35"/>
      <c r="I904" s="35"/>
    </row>
    <row r="905" spans="1:16">
      <c r="A905" s="31"/>
      <c r="B905" s="34"/>
      <c r="C905" s="34"/>
      <c r="D905" s="34"/>
      <c r="E905" s="33"/>
      <c r="F905" s="35"/>
      <c r="G905" s="35"/>
      <c r="H905" s="35"/>
      <c r="I905" s="35"/>
    </row>
    <row r="906" spans="1:16">
      <c r="A906" s="31"/>
      <c r="B906" s="34"/>
      <c r="C906" s="34"/>
      <c r="D906" s="34"/>
      <c r="E906" s="33"/>
      <c r="F906" s="35"/>
      <c r="G906" s="35"/>
      <c r="H906" s="35"/>
      <c r="I906" s="35"/>
    </row>
    <row r="907" spans="1:16">
      <c r="A907" s="31"/>
      <c r="B907" s="34"/>
      <c r="C907" s="34"/>
      <c r="D907" s="34"/>
      <c r="E907" s="33"/>
      <c r="F907" s="35"/>
      <c r="G907" s="35"/>
      <c r="H907" s="35"/>
      <c r="I907" s="35"/>
    </row>
    <row r="908" spans="1:16">
      <c r="A908" s="31"/>
      <c r="B908" s="31"/>
      <c r="C908" s="31"/>
      <c r="D908" s="31"/>
      <c r="E908" s="31"/>
      <c r="F908" s="36"/>
      <c r="G908" s="36"/>
      <c r="H908" s="36"/>
      <c r="I908" s="36"/>
    </row>
    <row r="909" spans="1:16">
      <c r="A909" s="31"/>
      <c r="B909" s="37"/>
      <c r="C909" s="32" t="s">
        <v>267</v>
      </c>
      <c r="D909" s="32"/>
      <c r="E909" s="31"/>
      <c r="F909" s="253" t="s">
        <v>268</v>
      </c>
      <c r="G909" s="253"/>
      <c r="H909" s="253"/>
      <c r="I909" s="253"/>
    </row>
    <row r="910" spans="1:16">
      <c r="A910" s="31"/>
      <c r="B910" s="79"/>
      <c r="C910" s="34"/>
      <c r="D910" s="34"/>
      <c r="E910" s="31"/>
      <c r="F910" s="35"/>
      <c r="G910" s="35"/>
      <c r="H910" s="35"/>
      <c r="I910" s="35"/>
    </row>
  </sheetData>
  <mergeCells count="646">
    <mergeCell ref="A253:C254"/>
    <mergeCell ref="A273:C274"/>
    <mergeCell ref="A193:C194"/>
    <mergeCell ref="A56:C57"/>
    <mergeCell ref="A76:C77"/>
    <mergeCell ref="A134:C135"/>
    <mergeCell ref="A173:C174"/>
    <mergeCell ref="A373:C374"/>
    <mergeCell ref="A494:C495"/>
    <mergeCell ref="A473:C474"/>
    <mergeCell ref="A115:C116"/>
    <mergeCell ref="A353:C354"/>
    <mergeCell ref="A213:C214"/>
    <mergeCell ref="C482:D482"/>
    <mergeCell ref="B447:C447"/>
    <mergeCell ref="A458:J458"/>
    <mergeCell ref="A459:J459"/>
    <mergeCell ref="C460:D460"/>
    <mergeCell ref="H460:J460"/>
    <mergeCell ref="C461:D461"/>
    <mergeCell ref="H461:J461"/>
    <mergeCell ref="C462:D462"/>
    <mergeCell ref="H462:J462"/>
    <mergeCell ref="D453:D454"/>
    <mergeCell ref="D834:D835"/>
    <mergeCell ref="D852:D853"/>
    <mergeCell ref="D872:D873"/>
    <mergeCell ref="D892:D893"/>
    <mergeCell ref="A453:C454"/>
    <mergeCell ref="A433:C434"/>
    <mergeCell ref="H492:J493"/>
    <mergeCell ref="A313:C314"/>
    <mergeCell ref="A413:C414"/>
    <mergeCell ref="A393:C394"/>
    <mergeCell ref="A333:C334"/>
    <mergeCell ref="A515:C516"/>
    <mergeCell ref="A595:C596"/>
    <mergeCell ref="A635:C636"/>
    <mergeCell ref="A655:C656"/>
    <mergeCell ref="A675:C676"/>
    <mergeCell ref="A695:C696"/>
    <mergeCell ref="A715:C716"/>
    <mergeCell ref="A735:C736"/>
    <mergeCell ref="A755:C756"/>
    <mergeCell ref="A775:C776"/>
    <mergeCell ref="A834:C835"/>
    <mergeCell ref="D494:D495"/>
    <mergeCell ref="D515:D516"/>
    <mergeCell ref="D575:D576"/>
    <mergeCell ref="D595:D596"/>
    <mergeCell ref="D615:D616"/>
    <mergeCell ref="D635:D636"/>
    <mergeCell ref="D655:D656"/>
    <mergeCell ref="C642:D642"/>
    <mergeCell ref="C604:D604"/>
    <mergeCell ref="B569:C569"/>
    <mergeCell ref="A580:J580"/>
    <mergeCell ref="A581:J581"/>
    <mergeCell ref="C582:D582"/>
    <mergeCell ref="H582:J582"/>
    <mergeCell ref="H583:J583"/>
    <mergeCell ref="C584:D584"/>
    <mergeCell ref="H584:J584"/>
    <mergeCell ref="H585:J585"/>
    <mergeCell ref="A575:C576"/>
    <mergeCell ref="H623:J623"/>
    <mergeCell ref="H624:J624"/>
    <mergeCell ref="H625:J625"/>
    <mergeCell ref="H626:J626"/>
    <mergeCell ref="A627:C627"/>
    <mergeCell ref="H627:J627"/>
    <mergeCell ref="B629:C629"/>
    <mergeCell ref="B903:D903"/>
    <mergeCell ref="F903:I903"/>
    <mergeCell ref="F909:I909"/>
    <mergeCell ref="D16:D17"/>
    <mergeCell ref="D36:D37"/>
    <mergeCell ref="D56:D57"/>
    <mergeCell ref="D76:D77"/>
    <mergeCell ref="D96:D97"/>
    <mergeCell ref="D115:D116"/>
    <mergeCell ref="D134:D135"/>
    <mergeCell ref="D154:D155"/>
    <mergeCell ref="D173:D174"/>
    <mergeCell ref="D193:D194"/>
    <mergeCell ref="D213:D214"/>
    <mergeCell ref="D233:D234"/>
    <mergeCell ref="D253:D254"/>
    <mergeCell ref="D273:D274"/>
    <mergeCell ref="D293:D294"/>
    <mergeCell ref="D313:D314"/>
    <mergeCell ref="D333:D334"/>
    <mergeCell ref="D353:D354"/>
    <mergeCell ref="D373:D374"/>
    <mergeCell ref="D393:D394"/>
    <mergeCell ref="D413:D414"/>
    <mergeCell ref="H880:J880"/>
    <mergeCell ref="C881:D881"/>
    <mergeCell ref="H881:J881"/>
    <mergeCell ref="H882:J882"/>
    <mergeCell ref="H883:J883"/>
    <mergeCell ref="A884:C884"/>
    <mergeCell ref="H884:J884"/>
    <mergeCell ref="B886:C886"/>
    <mergeCell ref="A897:E897"/>
    <mergeCell ref="F897:J897"/>
    <mergeCell ref="A892:C893"/>
    <mergeCell ref="H862:J862"/>
    <mergeCell ref="H863:J863"/>
    <mergeCell ref="A864:C864"/>
    <mergeCell ref="H864:J864"/>
    <mergeCell ref="B866:C866"/>
    <mergeCell ref="A877:J877"/>
    <mergeCell ref="A878:J878"/>
    <mergeCell ref="C879:D879"/>
    <mergeCell ref="H879:J879"/>
    <mergeCell ref="A872:C873"/>
    <mergeCell ref="A844:C844"/>
    <mergeCell ref="H844:J844"/>
    <mergeCell ref="B846:C846"/>
    <mergeCell ref="A857:J857"/>
    <mergeCell ref="A858:J858"/>
    <mergeCell ref="C859:D859"/>
    <mergeCell ref="H859:J859"/>
    <mergeCell ref="H860:J860"/>
    <mergeCell ref="C861:D861"/>
    <mergeCell ref="H861:J861"/>
    <mergeCell ref="A852:C853"/>
    <mergeCell ref="A837:J837"/>
    <mergeCell ref="A838:J838"/>
    <mergeCell ref="C839:D839"/>
    <mergeCell ref="H839:J839"/>
    <mergeCell ref="H840:J840"/>
    <mergeCell ref="C841:D841"/>
    <mergeCell ref="H841:J841"/>
    <mergeCell ref="H842:J842"/>
    <mergeCell ref="H843:J843"/>
    <mergeCell ref="H822:J822"/>
    <mergeCell ref="C823:D823"/>
    <mergeCell ref="H823:J823"/>
    <mergeCell ref="H824:J824"/>
    <mergeCell ref="H825:J825"/>
    <mergeCell ref="A826:C826"/>
    <mergeCell ref="H826:J826"/>
    <mergeCell ref="B828:C828"/>
    <mergeCell ref="I829:J829"/>
    <mergeCell ref="H806:J806"/>
    <mergeCell ref="A807:C807"/>
    <mergeCell ref="H807:J807"/>
    <mergeCell ref="B809:C809"/>
    <mergeCell ref="I810:J810"/>
    <mergeCell ref="A819:J819"/>
    <mergeCell ref="A820:J820"/>
    <mergeCell ref="C821:D821"/>
    <mergeCell ref="H821:J821"/>
    <mergeCell ref="D815:D816"/>
    <mergeCell ref="A815:C816"/>
    <mergeCell ref="B789:C789"/>
    <mergeCell ref="A800:J800"/>
    <mergeCell ref="A801:J801"/>
    <mergeCell ref="C802:D802"/>
    <mergeCell ref="H802:J802"/>
    <mergeCell ref="H803:J803"/>
    <mergeCell ref="C804:D804"/>
    <mergeCell ref="H804:J804"/>
    <mergeCell ref="H805:J805"/>
    <mergeCell ref="D795:D796"/>
    <mergeCell ref="A795:C796"/>
    <mergeCell ref="C782:D782"/>
    <mergeCell ref="H782:J782"/>
    <mergeCell ref="H783:J783"/>
    <mergeCell ref="C784:D784"/>
    <mergeCell ref="H784:J784"/>
    <mergeCell ref="H785:J785"/>
    <mergeCell ref="H786:J786"/>
    <mergeCell ref="A787:C787"/>
    <mergeCell ref="H787:J787"/>
    <mergeCell ref="H763:J763"/>
    <mergeCell ref="C764:D764"/>
    <mergeCell ref="H764:J764"/>
    <mergeCell ref="H765:J765"/>
    <mergeCell ref="A767:C767"/>
    <mergeCell ref="H767:J767"/>
    <mergeCell ref="B769:C769"/>
    <mergeCell ref="A780:J780"/>
    <mergeCell ref="A781:J781"/>
    <mergeCell ref="D775:D776"/>
    <mergeCell ref="H746:J746"/>
    <mergeCell ref="A747:C747"/>
    <mergeCell ref="H747:J747"/>
    <mergeCell ref="B749:C749"/>
    <mergeCell ref="B751:C751"/>
    <mergeCell ref="A760:J760"/>
    <mergeCell ref="A761:J761"/>
    <mergeCell ref="C762:D762"/>
    <mergeCell ref="H762:J762"/>
    <mergeCell ref="D755:D756"/>
    <mergeCell ref="B729:C729"/>
    <mergeCell ref="A740:J740"/>
    <mergeCell ref="A741:J741"/>
    <mergeCell ref="C742:D742"/>
    <mergeCell ref="H742:J742"/>
    <mergeCell ref="H743:J743"/>
    <mergeCell ref="C744:D744"/>
    <mergeCell ref="H744:J744"/>
    <mergeCell ref="H745:J745"/>
    <mergeCell ref="D735:D736"/>
    <mergeCell ref="C722:D722"/>
    <mergeCell ref="H722:J722"/>
    <mergeCell ref="C723:D723"/>
    <mergeCell ref="H723:J723"/>
    <mergeCell ref="C724:D724"/>
    <mergeCell ref="H724:J724"/>
    <mergeCell ref="H725:J725"/>
    <mergeCell ref="H726:J726"/>
    <mergeCell ref="A727:C727"/>
    <mergeCell ref="H727:J727"/>
    <mergeCell ref="C704:D704"/>
    <mergeCell ref="H704:J704"/>
    <mergeCell ref="H705:J705"/>
    <mergeCell ref="H706:J706"/>
    <mergeCell ref="A707:C707"/>
    <mergeCell ref="H707:J707"/>
    <mergeCell ref="B709:C709"/>
    <mergeCell ref="A720:J720"/>
    <mergeCell ref="A721:J721"/>
    <mergeCell ref="D715:D716"/>
    <mergeCell ref="H686:J686"/>
    <mergeCell ref="A687:C687"/>
    <mergeCell ref="H687:J687"/>
    <mergeCell ref="B689:C689"/>
    <mergeCell ref="A700:J700"/>
    <mergeCell ref="A701:J701"/>
    <mergeCell ref="C702:D702"/>
    <mergeCell ref="H702:J702"/>
    <mergeCell ref="H703:J703"/>
    <mergeCell ref="D695:D696"/>
    <mergeCell ref="A680:J680"/>
    <mergeCell ref="A681:J681"/>
    <mergeCell ref="C682:D682"/>
    <mergeCell ref="H682:J682"/>
    <mergeCell ref="H683:J683"/>
    <mergeCell ref="C684:D684"/>
    <mergeCell ref="H684:J684"/>
    <mergeCell ref="H685:J685"/>
    <mergeCell ref="C664:D664"/>
    <mergeCell ref="H664:J664"/>
    <mergeCell ref="H665:J665"/>
    <mergeCell ref="H666:J666"/>
    <mergeCell ref="A667:C667"/>
    <mergeCell ref="H667:J667"/>
    <mergeCell ref="B669:C669"/>
    <mergeCell ref="D675:D676"/>
    <mergeCell ref="A660:J660"/>
    <mergeCell ref="A661:J661"/>
    <mergeCell ref="C662:D662"/>
    <mergeCell ref="H662:J662"/>
    <mergeCell ref="C663:D663"/>
    <mergeCell ref="H663:J663"/>
    <mergeCell ref="H652:J652"/>
    <mergeCell ref="H642:J642"/>
    <mergeCell ref="H643:J643"/>
    <mergeCell ref="C644:D644"/>
    <mergeCell ref="H644:J644"/>
    <mergeCell ref="H645:J645"/>
    <mergeCell ref="A647:C647"/>
    <mergeCell ref="H647:J647"/>
    <mergeCell ref="B649:C649"/>
    <mergeCell ref="A640:J640"/>
    <mergeCell ref="A641:J641"/>
    <mergeCell ref="H604:J604"/>
    <mergeCell ref="H605:J605"/>
    <mergeCell ref="A607:C607"/>
    <mergeCell ref="H607:J607"/>
    <mergeCell ref="B609:C609"/>
    <mergeCell ref="A620:J620"/>
    <mergeCell ref="A621:J621"/>
    <mergeCell ref="C622:D622"/>
    <mergeCell ref="H622:J622"/>
    <mergeCell ref="A615:C616"/>
    <mergeCell ref="H586:J586"/>
    <mergeCell ref="A587:C587"/>
    <mergeCell ref="H587:J587"/>
    <mergeCell ref="B589:C589"/>
    <mergeCell ref="A600:J600"/>
    <mergeCell ref="A601:J601"/>
    <mergeCell ref="C602:D602"/>
    <mergeCell ref="H602:J602"/>
    <mergeCell ref="C603:D603"/>
    <mergeCell ref="H603:J603"/>
    <mergeCell ref="H563:J563"/>
    <mergeCell ref="C564:D564"/>
    <mergeCell ref="H564:J564"/>
    <mergeCell ref="H565:J565"/>
    <mergeCell ref="H566:J566"/>
    <mergeCell ref="A567:C567"/>
    <mergeCell ref="H567:J567"/>
    <mergeCell ref="H543:J543"/>
    <mergeCell ref="C544:D544"/>
    <mergeCell ref="H544:J544"/>
    <mergeCell ref="H545:J545"/>
    <mergeCell ref="H546:J546"/>
    <mergeCell ref="A547:C547"/>
    <mergeCell ref="H547:J547"/>
    <mergeCell ref="B549:C549"/>
    <mergeCell ref="A560:J560"/>
    <mergeCell ref="A555:C556"/>
    <mergeCell ref="D555:D556"/>
    <mergeCell ref="A561:J561"/>
    <mergeCell ref="C562:D562"/>
    <mergeCell ref="H562:J562"/>
    <mergeCell ref="H524:J524"/>
    <mergeCell ref="H525:J525"/>
    <mergeCell ref="H526:J526"/>
    <mergeCell ref="A527:C527"/>
    <mergeCell ref="H527:J527"/>
    <mergeCell ref="B529:C529"/>
    <mergeCell ref="A540:J540"/>
    <mergeCell ref="A541:J541"/>
    <mergeCell ref="C542:D542"/>
    <mergeCell ref="H542:J542"/>
    <mergeCell ref="A535:C536"/>
    <mergeCell ref="D535:D536"/>
    <mergeCell ref="H506:J506"/>
    <mergeCell ref="A507:C507"/>
    <mergeCell ref="H507:J507"/>
    <mergeCell ref="B509:C509"/>
    <mergeCell ref="A520:J520"/>
    <mergeCell ref="A521:J521"/>
    <mergeCell ref="C522:D522"/>
    <mergeCell ref="H522:J522"/>
    <mergeCell ref="H523:J523"/>
    <mergeCell ref="A500:J500"/>
    <mergeCell ref="A501:J501"/>
    <mergeCell ref="C502:D502"/>
    <mergeCell ref="H502:J502"/>
    <mergeCell ref="C503:D503"/>
    <mergeCell ref="H503:J503"/>
    <mergeCell ref="C504:D504"/>
    <mergeCell ref="H504:J504"/>
    <mergeCell ref="H505:J505"/>
    <mergeCell ref="H482:J482"/>
    <mergeCell ref="C483:D483"/>
    <mergeCell ref="H483:J483"/>
    <mergeCell ref="H484:J484"/>
    <mergeCell ref="H485:J485"/>
    <mergeCell ref="A486:C486"/>
    <mergeCell ref="H486:J486"/>
    <mergeCell ref="B488:C488"/>
    <mergeCell ref="H463:J463"/>
    <mergeCell ref="H464:J464"/>
    <mergeCell ref="A465:C465"/>
    <mergeCell ref="H465:J465"/>
    <mergeCell ref="B467:C467"/>
    <mergeCell ref="A479:J479"/>
    <mergeCell ref="A480:J480"/>
    <mergeCell ref="C481:D481"/>
    <mergeCell ref="H481:J481"/>
    <mergeCell ref="D473:D474"/>
    <mergeCell ref="A439:J439"/>
    <mergeCell ref="C440:D440"/>
    <mergeCell ref="H440:J440"/>
    <mergeCell ref="H441:J441"/>
    <mergeCell ref="C442:D442"/>
    <mergeCell ref="H442:J442"/>
    <mergeCell ref="H443:J443"/>
    <mergeCell ref="H444:J444"/>
    <mergeCell ref="A445:C445"/>
    <mergeCell ref="H445:J445"/>
    <mergeCell ref="H421:J421"/>
    <mergeCell ref="C422:D422"/>
    <mergeCell ref="H422:J422"/>
    <mergeCell ref="H423:J423"/>
    <mergeCell ref="H424:J424"/>
    <mergeCell ref="A425:C425"/>
    <mergeCell ref="H425:J425"/>
    <mergeCell ref="B427:C427"/>
    <mergeCell ref="A438:J438"/>
    <mergeCell ref="D433:D434"/>
    <mergeCell ref="H403:J403"/>
    <mergeCell ref="H404:J404"/>
    <mergeCell ref="A405:C405"/>
    <mergeCell ref="H405:J405"/>
    <mergeCell ref="B407:C407"/>
    <mergeCell ref="A418:J418"/>
    <mergeCell ref="A419:J419"/>
    <mergeCell ref="C420:D420"/>
    <mergeCell ref="H420:J420"/>
    <mergeCell ref="B387:C387"/>
    <mergeCell ref="H390:J390"/>
    <mergeCell ref="A398:J398"/>
    <mergeCell ref="A399:J399"/>
    <mergeCell ref="C400:D400"/>
    <mergeCell ref="H400:J400"/>
    <mergeCell ref="C401:D401"/>
    <mergeCell ref="H401:J401"/>
    <mergeCell ref="C402:D402"/>
    <mergeCell ref="H402:J402"/>
    <mergeCell ref="A378:J378"/>
    <mergeCell ref="A379:J379"/>
    <mergeCell ref="C380:D380"/>
    <mergeCell ref="H380:J380"/>
    <mergeCell ref="H381:J381"/>
    <mergeCell ref="C382:D382"/>
    <mergeCell ref="H382:J382"/>
    <mergeCell ref="H383:J383"/>
    <mergeCell ref="A385:C385"/>
    <mergeCell ref="H385:J385"/>
    <mergeCell ref="C360:D360"/>
    <mergeCell ref="H360:J360"/>
    <mergeCell ref="H361:J361"/>
    <mergeCell ref="H362:J362"/>
    <mergeCell ref="H363:J363"/>
    <mergeCell ref="A365:C365"/>
    <mergeCell ref="H365:J365"/>
    <mergeCell ref="B367:C367"/>
    <mergeCell ref="H371:J371"/>
    <mergeCell ref="C342:D342"/>
    <mergeCell ref="H342:J342"/>
    <mergeCell ref="H343:J343"/>
    <mergeCell ref="H344:J344"/>
    <mergeCell ref="A345:C345"/>
    <mergeCell ref="H345:J345"/>
    <mergeCell ref="B347:C347"/>
    <mergeCell ref="A358:J358"/>
    <mergeCell ref="A359:J359"/>
    <mergeCell ref="H324:J324"/>
    <mergeCell ref="A325:C325"/>
    <mergeCell ref="H325:J325"/>
    <mergeCell ref="B327:C327"/>
    <mergeCell ref="A338:J338"/>
    <mergeCell ref="A339:J339"/>
    <mergeCell ref="C340:D340"/>
    <mergeCell ref="H340:J340"/>
    <mergeCell ref="H341:J341"/>
    <mergeCell ref="B307:C307"/>
    <mergeCell ref="A318:J318"/>
    <mergeCell ref="A319:J319"/>
    <mergeCell ref="C320:D320"/>
    <mergeCell ref="H320:J320"/>
    <mergeCell ref="C321:D321"/>
    <mergeCell ref="H321:J321"/>
    <mergeCell ref="H322:J322"/>
    <mergeCell ref="H323:J323"/>
    <mergeCell ref="C300:D300"/>
    <mergeCell ref="H300:J300"/>
    <mergeCell ref="C301:D301"/>
    <mergeCell ref="H301:J301"/>
    <mergeCell ref="C302:D302"/>
    <mergeCell ref="H302:J302"/>
    <mergeCell ref="H303:J303"/>
    <mergeCell ref="H304:J304"/>
    <mergeCell ref="A305:C305"/>
    <mergeCell ref="H305:J305"/>
    <mergeCell ref="C282:D282"/>
    <mergeCell ref="H282:J282"/>
    <mergeCell ref="H283:J283"/>
    <mergeCell ref="H284:J284"/>
    <mergeCell ref="A285:C285"/>
    <mergeCell ref="H285:J285"/>
    <mergeCell ref="B287:C287"/>
    <mergeCell ref="A298:J298"/>
    <mergeCell ref="A299:J299"/>
    <mergeCell ref="A293:C294"/>
    <mergeCell ref="H264:J264"/>
    <mergeCell ref="A265:C265"/>
    <mergeCell ref="H265:J265"/>
    <mergeCell ref="B267:C267"/>
    <mergeCell ref="A278:J278"/>
    <mergeCell ref="A279:J279"/>
    <mergeCell ref="C280:D280"/>
    <mergeCell ref="H280:J280"/>
    <mergeCell ref="C281:D281"/>
    <mergeCell ref="H281:J281"/>
    <mergeCell ref="A258:J258"/>
    <mergeCell ref="A259:J259"/>
    <mergeCell ref="C260:D260"/>
    <mergeCell ref="H260:J260"/>
    <mergeCell ref="C261:D261"/>
    <mergeCell ref="H261:J261"/>
    <mergeCell ref="C262:D262"/>
    <mergeCell ref="H262:J262"/>
    <mergeCell ref="H263:J263"/>
    <mergeCell ref="C241:D241"/>
    <mergeCell ref="H241:J241"/>
    <mergeCell ref="C242:D242"/>
    <mergeCell ref="H242:J242"/>
    <mergeCell ref="H243:J243"/>
    <mergeCell ref="H244:J244"/>
    <mergeCell ref="A245:C245"/>
    <mergeCell ref="H245:J245"/>
    <mergeCell ref="B247:C247"/>
    <mergeCell ref="C222:D222"/>
    <mergeCell ref="H222:J222"/>
    <mergeCell ref="H223:J223"/>
    <mergeCell ref="H224:J224"/>
    <mergeCell ref="A225:C225"/>
    <mergeCell ref="H225:J225"/>
    <mergeCell ref="A238:J238"/>
    <mergeCell ref="A239:J239"/>
    <mergeCell ref="C240:D240"/>
    <mergeCell ref="H240:J240"/>
    <mergeCell ref="A233:C234"/>
    <mergeCell ref="A205:C205"/>
    <mergeCell ref="H205:J205"/>
    <mergeCell ref="B207:C207"/>
    <mergeCell ref="A218:J218"/>
    <mergeCell ref="A219:J219"/>
    <mergeCell ref="C220:D220"/>
    <mergeCell ref="H220:J220"/>
    <mergeCell ref="C221:D221"/>
    <mergeCell ref="H221:J221"/>
    <mergeCell ref="A199:J199"/>
    <mergeCell ref="C200:D200"/>
    <mergeCell ref="H200:J200"/>
    <mergeCell ref="C201:D201"/>
    <mergeCell ref="H201:J201"/>
    <mergeCell ref="C202:D202"/>
    <mergeCell ref="H202:J202"/>
    <mergeCell ref="H203:J203"/>
    <mergeCell ref="H204:J204"/>
    <mergeCell ref="C181:D181"/>
    <mergeCell ref="H181:J181"/>
    <mergeCell ref="C182:D182"/>
    <mergeCell ref="H182:J182"/>
    <mergeCell ref="H183:J183"/>
    <mergeCell ref="A185:C185"/>
    <mergeCell ref="H185:J185"/>
    <mergeCell ref="B187:C187"/>
    <mergeCell ref="A198:J198"/>
    <mergeCell ref="C162:D162"/>
    <mergeCell ref="H162:J162"/>
    <mergeCell ref="H163:J163"/>
    <mergeCell ref="A165:C165"/>
    <mergeCell ref="H165:J165"/>
    <mergeCell ref="B167:C167"/>
    <mergeCell ref="A178:J178"/>
    <mergeCell ref="A179:J179"/>
    <mergeCell ref="C180:D180"/>
    <mergeCell ref="H180:J180"/>
    <mergeCell ref="H145:J145"/>
    <mergeCell ref="A146:C146"/>
    <mergeCell ref="H146:J146"/>
    <mergeCell ref="B148:C148"/>
    <mergeCell ref="A158:J158"/>
    <mergeCell ref="A159:J159"/>
    <mergeCell ref="C160:D160"/>
    <mergeCell ref="H160:J160"/>
    <mergeCell ref="C161:D161"/>
    <mergeCell ref="H161:J161"/>
    <mergeCell ref="A154:C155"/>
    <mergeCell ref="B128:C128"/>
    <mergeCell ref="A139:J139"/>
    <mergeCell ref="A140:J140"/>
    <mergeCell ref="C141:D141"/>
    <mergeCell ref="H141:J141"/>
    <mergeCell ref="H142:J142"/>
    <mergeCell ref="C143:D143"/>
    <mergeCell ref="H143:J143"/>
    <mergeCell ref="H144:J144"/>
    <mergeCell ref="A120:J120"/>
    <mergeCell ref="C121:D121"/>
    <mergeCell ref="H121:J121"/>
    <mergeCell ref="H122:J122"/>
    <mergeCell ref="C123:D123"/>
    <mergeCell ref="H123:J123"/>
    <mergeCell ref="H124:J124"/>
    <mergeCell ref="H125:J125"/>
    <mergeCell ref="A126:C126"/>
    <mergeCell ref="H126:J126"/>
    <mergeCell ref="H103:J103"/>
    <mergeCell ref="C104:D104"/>
    <mergeCell ref="H104:J104"/>
    <mergeCell ref="H105:J105"/>
    <mergeCell ref="H106:J106"/>
    <mergeCell ref="A107:C107"/>
    <mergeCell ref="H107:J107"/>
    <mergeCell ref="B109:C109"/>
    <mergeCell ref="A119:J119"/>
    <mergeCell ref="H86:J86"/>
    <mergeCell ref="H87:J87"/>
    <mergeCell ref="A88:C88"/>
    <mergeCell ref="H88:J88"/>
    <mergeCell ref="B90:C90"/>
    <mergeCell ref="A100:J100"/>
    <mergeCell ref="A101:J101"/>
    <mergeCell ref="C102:D102"/>
    <mergeCell ref="H102:J102"/>
    <mergeCell ref="A96:C97"/>
    <mergeCell ref="B70:C70"/>
    <mergeCell ref="H73:J73"/>
    <mergeCell ref="A81:J81"/>
    <mergeCell ref="A82:J82"/>
    <mergeCell ref="C83:D83"/>
    <mergeCell ref="H83:J83"/>
    <mergeCell ref="H84:J84"/>
    <mergeCell ref="C85:D85"/>
    <mergeCell ref="H85:J85"/>
    <mergeCell ref="A61:J61"/>
    <mergeCell ref="A62:J62"/>
    <mergeCell ref="C63:D63"/>
    <mergeCell ref="H63:J63"/>
    <mergeCell ref="H64:J64"/>
    <mergeCell ref="H65:J65"/>
    <mergeCell ref="H66:J66"/>
    <mergeCell ref="A68:C68"/>
    <mergeCell ref="H68:J68"/>
    <mergeCell ref="H44:J44"/>
    <mergeCell ref="C45:D45"/>
    <mergeCell ref="H45:J45"/>
    <mergeCell ref="H46:J46"/>
    <mergeCell ref="H47:J47"/>
    <mergeCell ref="A48:C48"/>
    <mergeCell ref="H48:J48"/>
    <mergeCell ref="B50:C50"/>
    <mergeCell ref="I51:J51"/>
    <mergeCell ref="C25:D25"/>
    <mergeCell ref="H25:J25"/>
    <mergeCell ref="H26:J26"/>
    <mergeCell ref="H27:J27"/>
    <mergeCell ref="A28:C28"/>
    <mergeCell ref="H28:J28"/>
    <mergeCell ref="A41:J41"/>
    <mergeCell ref="A42:J42"/>
    <mergeCell ref="C43:D43"/>
    <mergeCell ref="H43:J43"/>
    <mergeCell ref="A36:C37"/>
    <mergeCell ref="H7:J7"/>
    <mergeCell ref="A8:C8"/>
    <mergeCell ref="H8:J8"/>
    <mergeCell ref="A21:J21"/>
    <mergeCell ref="A22:J22"/>
    <mergeCell ref="C23:D23"/>
    <mergeCell ref="H23:J23"/>
    <mergeCell ref="C24:D24"/>
    <mergeCell ref="H24:J24"/>
    <mergeCell ref="A16:C17"/>
    <mergeCell ref="A1:J1"/>
    <mergeCell ref="A2:J2"/>
    <mergeCell ref="C3:D3"/>
    <mergeCell ref="H3:J3"/>
    <mergeCell ref="C4:D4"/>
    <mergeCell ref="H4:J4"/>
    <mergeCell ref="C5:D5"/>
    <mergeCell ref="H5:J5"/>
    <mergeCell ref="H6:J6"/>
  </mergeCells>
  <pageMargins left="0.7" right="0.7" top="0.5" bottom="0.4" header="0.3" footer="0.3"/>
  <pageSetup scale="89" orientation="portrait" r:id="rId1"/>
  <rowBreaks count="15" manualBreakCount="15">
    <brk id="60" max="16383" man="1"/>
    <brk id="118" max="16383" man="1"/>
    <brk id="177" max="16383" man="1"/>
    <brk id="237" max="16383" man="1"/>
    <brk id="297" max="16383" man="1"/>
    <brk id="357" max="16383" man="1"/>
    <brk id="417" max="16383" man="1"/>
    <brk id="478" max="16383" man="1"/>
    <brk id="539" max="16383" man="1"/>
    <brk id="599" max="16383" man="1"/>
    <brk id="659" max="9" man="1"/>
    <brk id="719" max="9" man="1"/>
    <brk id="779" max="9" man="1"/>
    <brk id="836" max="9" man="1"/>
    <brk id="897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J648"/>
  <sheetViews>
    <sheetView topLeftCell="A567" zoomScaleNormal="100" workbookViewId="0">
      <selection activeCell="C581" sqref="C581"/>
    </sheetView>
  </sheetViews>
  <sheetFormatPr defaultColWidth="9" defaultRowHeight="15"/>
  <sheetData>
    <row r="1" spans="1:10" ht="12.7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.7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.75" customHeight="1">
      <c r="A3" s="179" t="s">
        <v>2</v>
      </c>
      <c r="B3" s="179"/>
      <c r="C3" s="209" t="s">
        <v>269</v>
      </c>
      <c r="D3" s="209"/>
      <c r="E3" s="180"/>
      <c r="F3" s="3"/>
      <c r="G3" s="179" t="s">
        <v>4</v>
      </c>
      <c r="H3" s="191" t="s">
        <v>5</v>
      </c>
      <c r="I3" s="191"/>
      <c r="J3" s="191"/>
    </row>
    <row r="4" spans="1:10" ht="12.75" customHeight="1">
      <c r="A4" s="179" t="s">
        <v>6</v>
      </c>
      <c r="B4" s="179"/>
      <c r="C4" s="192" t="s">
        <v>1116</v>
      </c>
      <c r="D4" s="192"/>
      <c r="E4" s="180"/>
      <c r="F4" s="3"/>
      <c r="G4" s="179" t="s">
        <v>8</v>
      </c>
      <c r="H4" s="193" t="s">
        <v>9</v>
      </c>
      <c r="I4" s="193"/>
      <c r="J4" s="193"/>
    </row>
    <row r="5" spans="1:10" ht="12.75" customHeight="1">
      <c r="A5" s="183" t="s">
        <v>10</v>
      </c>
      <c r="B5" s="183"/>
      <c r="C5" s="194" t="s">
        <v>261</v>
      </c>
      <c r="D5" s="194"/>
      <c r="E5" s="180"/>
      <c r="F5" s="3"/>
      <c r="G5" s="179" t="s">
        <v>12</v>
      </c>
      <c r="H5" s="195" t="s">
        <v>13</v>
      </c>
      <c r="I5" s="195"/>
      <c r="J5" s="195"/>
    </row>
    <row r="6" spans="1:10" ht="12.75" customHeight="1">
      <c r="A6" s="180" t="s">
        <v>14</v>
      </c>
      <c r="B6" s="180"/>
      <c r="C6" s="179" t="s">
        <v>15</v>
      </c>
      <c r="D6" s="179"/>
      <c r="E6" s="180"/>
      <c r="F6" s="3"/>
      <c r="G6" s="179" t="s">
        <v>16</v>
      </c>
      <c r="H6" s="196" t="s">
        <v>68</v>
      </c>
      <c r="I6" s="196"/>
      <c r="J6" s="196"/>
    </row>
    <row r="7" spans="1:10" ht="12.75" customHeight="1" thickBot="1">
      <c r="A7" s="180">
        <v>30</v>
      </c>
      <c r="B7" s="180"/>
      <c r="C7" s="180">
        <f>A7-H7</f>
        <v>20</v>
      </c>
      <c r="D7" s="180"/>
      <c r="E7" s="180"/>
      <c r="F7" s="3"/>
      <c r="G7" s="182" t="s">
        <v>18</v>
      </c>
      <c r="H7" s="197">
        <v>10</v>
      </c>
      <c r="I7" s="197"/>
      <c r="J7" s="197"/>
    </row>
    <row r="8" spans="1:10" ht="12.75" customHeight="1" thickBo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2.75" customHeight="1">
      <c r="A9" s="181" t="s">
        <v>56</v>
      </c>
      <c r="B9" s="179"/>
      <c r="C9" s="179"/>
      <c r="D9" s="180">
        <v>55000</v>
      </c>
      <c r="E9" s="181" t="s">
        <v>24</v>
      </c>
      <c r="F9" s="179"/>
      <c r="G9" s="180" t="s">
        <v>25</v>
      </c>
      <c r="H9" s="18" t="s">
        <v>26</v>
      </c>
      <c r="I9" s="23"/>
      <c r="J9" s="24"/>
    </row>
    <row r="10" spans="1:10" ht="12.75" customHeight="1">
      <c r="A10" s="181" t="s">
        <v>57</v>
      </c>
      <c r="B10" s="209"/>
      <c r="C10" s="209"/>
      <c r="D10" s="180" t="s">
        <v>25</v>
      </c>
      <c r="E10" s="181" t="s">
        <v>28</v>
      </c>
      <c r="F10" s="179"/>
      <c r="G10" s="180" t="s">
        <v>25</v>
      </c>
      <c r="H10" s="18" t="s">
        <v>29</v>
      </c>
      <c r="I10" s="23"/>
      <c r="J10" s="24"/>
    </row>
    <row r="11" spans="1:10" ht="12.75" customHeight="1">
      <c r="A11" s="181" t="s">
        <v>30</v>
      </c>
      <c r="B11" s="179"/>
      <c r="C11" s="179"/>
      <c r="D11" s="180" t="s">
        <v>25</v>
      </c>
      <c r="E11" s="181" t="s">
        <v>40</v>
      </c>
      <c r="F11" s="179"/>
      <c r="G11" s="180" t="s">
        <v>25</v>
      </c>
      <c r="H11" s="18" t="s">
        <v>32</v>
      </c>
      <c r="I11" s="23"/>
      <c r="J11" s="24"/>
    </row>
    <row r="12" spans="1:10" ht="12.75" customHeight="1">
      <c r="A12" s="181" t="s">
        <v>34</v>
      </c>
      <c r="B12" s="179"/>
      <c r="C12" s="179"/>
      <c r="D12" s="180" t="s">
        <v>25</v>
      </c>
      <c r="E12" s="181" t="s">
        <v>35</v>
      </c>
      <c r="F12" s="179"/>
      <c r="G12" s="180">
        <v>36667</v>
      </c>
      <c r="H12" s="18"/>
      <c r="I12" s="183"/>
      <c r="J12" s="19"/>
    </row>
    <row r="13" spans="1:10" ht="12.75" customHeight="1">
      <c r="A13" s="181" t="s">
        <v>109</v>
      </c>
      <c r="B13" s="209"/>
      <c r="C13" s="209"/>
      <c r="D13" s="180" t="s">
        <v>25</v>
      </c>
      <c r="E13" s="181" t="s">
        <v>62</v>
      </c>
      <c r="F13" s="180"/>
      <c r="G13" s="180" t="s">
        <v>25</v>
      </c>
      <c r="H13" s="18"/>
      <c r="I13" s="183"/>
      <c r="J13" s="19"/>
    </row>
    <row r="14" spans="1:10" ht="12.75" customHeight="1">
      <c r="A14" s="181" t="s">
        <v>136</v>
      </c>
      <c r="B14" s="179"/>
      <c r="C14" s="179"/>
      <c r="D14" s="180" t="s">
        <v>25</v>
      </c>
      <c r="E14" s="181" t="s">
        <v>39</v>
      </c>
      <c r="F14" s="179"/>
      <c r="G14" s="180">
        <v>100</v>
      </c>
      <c r="H14" s="18"/>
      <c r="I14" s="183"/>
      <c r="J14" s="19"/>
    </row>
    <row r="15" spans="1:10" ht="12.75" customHeight="1" thickBot="1">
      <c r="A15" s="18" t="s">
        <v>40</v>
      </c>
      <c r="B15" s="183"/>
      <c r="C15" s="183"/>
      <c r="D15" s="180" t="s">
        <v>25</v>
      </c>
      <c r="E15" s="181" t="s">
        <v>78</v>
      </c>
      <c r="F15" s="179"/>
      <c r="G15" s="180" t="s">
        <v>25</v>
      </c>
      <c r="H15" s="18"/>
      <c r="I15" s="183"/>
      <c r="J15" s="19"/>
    </row>
    <row r="16" spans="1:10" ht="12.75" customHeight="1" thickBot="1">
      <c r="A16" s="204" t="s">
        <v>63</v>
      </c>
      <c r="B16" s="205"/>
      <c r="C16" s="206"/>
      <c r="D16" s="229">
        <f>SUM(D9:D15)</f>
        <v>55000</v>
      </c>
      <c r="E16" s="179" t="s">
        <v>43</v>
      </c>
      <c r="F16" s="179"/>
      <c r="G16" s="180" t="s">
        <v>25</v>
      </c>
      <c r="H16" s="18"/>
      <c r="I16" s="183"/>
      <c r="J16" s="19"/>
    </row>
    <row r="17" spans="1:10" ht="12.75" customHeight="1" thickBot="1">
      <c r="A17" s="207"/>
      <c r="B17" s="197"/>
      <c r="C17" s="208"/>
      <c r="D17" s="230"/>
      <c r="E17" s="21" t="s">
        <v>21</v>
      </c>
      <c r="F17" s="22"/>
      <c r="G17" s="13">
        <f>SUM(G9:G16)</f>
        <v>36767</v>
      </c>
      <c r="H17" s="21" t="s">
        <v>44</v>
      </c>
      <c r="I17" s="22"/>
      <c r="J17" s="13">
        <f>D16-G17</f>
        <v>18233</v>
      </c>
    </row>
    <row r="18" spans="1:10" ht="12.7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.7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2.7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.7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.75" customHeight="1">
      <c r="A23" s="1" t="s">
        <v>2</v>
      </c>
      <c r="B23" s="1"/>
      <c r="C23" s="209" t="s">
        <v>269</v>
      </c>
      <c r="D23" s="209"/>
      <c r="E23" s="2"/>
      <c r="F23" s="3"/>
      <c r="G23" s="1" t="s">
        <v>4</v>
      </c>
      <c r="H23" s="191" t="s">
        <v>5</v>
      </c>
      <c r="I23" s="191"/>
      <c r="J23" s="191"/>
    </row>
    <row r="24" spans="1:10" ht="12.75" customHeight="1">
      <c r="A24" s="1" t="s">
        <v>6</v>
      </c>
      <c r="B24" s="1"/>
      <c r="C24" s="192" t="s">
        <v>270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2.75" customHeight="1">
      <c r="A25" s="6" t="s">
        <v>10</v>
      </c>
      <c r="B25" s="6"/>
      <c r="C25" s="194" t="s">
        <v>271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2.75" customHeight="1">
      <c r="A26" s="2" t="s">
        <v>14</v>
      </c>
      <c r="B26" s="2"/>
      <c r="C26" s="1" t="s">
        <v>15</v>
      </c>
      <c r="D26" s="1"/>
      <c r="E26" s="2"/>
      <c r="F26" s="3"/>
      <c r="G26" s="1" t="s">
        <v>16</v>
      </c>
      <c r="H26" s="196" t="s">
        <v>119</v>
      </c>
      <c r="I26" s="196"/>
      <c r="J26" s="196"/>
    </row>
    <row r="27" spans="1:10" ht="12.75" customHeight="1">
      <c r="A27" s="2">
        <v>30</v>
      </c>
      <c r="B27" s="2"/>
      <c r="C27" s="2">
        <f>A27-H27</f>
        <v>1</v>
      </c>
      <c r="D27" s="2"/>
      <c r="E27" s="2"/>
      <c r="F27" s="3"/>
      <c r="G27" s="8" t="s">
        <v>18</v>
      </c>
      <c r="H27" s="197">
        <v>29</v>
      </c>
      <c r="I27" s="197"/>
      <c r="J27" s="197"/>
    </row>
    <row r="28" spans="1:10" ht="12.7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2.75" customHeight="1">
      <c r="A29" s="17" t="s">
        <v>56</v>
      </c>
      <c r="B29" s="1"/>
      <c r="C29" s="1"/>
      <c r="D29" s="2">
        <v>100000</v>
      </c>
      <c r="E29" s="17" t="s">
        <v>24</v>
      </c>
      <c r="F29" s="1"/>
      <c r="G29" s="2" t="s">
        <v>25</v>
      </c>
      <c r="H29" s="18" t="s">
        <v>26</v>
      </c>
      <c r="I29" s="23"/>
      <c r="J29" s="24"/>
    </row>
    <row r="30" spans="1:10" ht="12.75" customHeight="1">
      <c r="A30" s="17" t="s">
        <v>57</v>
      </c>
      <c r="B30" s="209" t="s">
        <v>272</v>
      </c>
      <c r="C30" s="209"/>
      <c r="D30" s="2">
        <v>1111</v>
      </c>
      <c r="E30" s="17" t="s">
        <v>28</v>
      </c>
      <c r="F30" s="1"/>
      <c r="G30" s="2" t="s">
        <v>25</v>
      </c>
      <c r="H30" s="18" t="s">
        <v>29</v>
      </c>
      <c r="I30" s="23"/>
      <c r="J30" s="24"/>
    </row>
    <row r="31" spans="1:10" ht="12.75" customHeight="1">
      <c r="A31" s="17" t="s">
        <v>30</v>
      </c>
      <c r="B31" s="1"/>
      <c r="C31" s="1"/>
      <c r="D31" s="2">
        <v>12322</v>
      </c>
      <c r="E31" s="17" t="s">
        <v>40</v>
      </c>
      <c r="F31" s="1"/>
      <c r="G31" s="2" t="s">
        <v>25</v>
      </c>
      <c r="H31" s="18" t="s">
        <v>32</v>
      </c>
      <c r="I31" s="23"/>
      <c r="J31" s="24"/>
    </row>
    <row r="32" spans="1:10" ht="12.75" customHeight="1">
      <c r="A32" s="17" t="s">
        <v>34</v>
      </c>
      <c r="B32" s="1"/>
      <c r="C32" s="1"/>
      <c r="D32" s="2" t="s">
        <v>25</v>
      </c>
      <c r="E32" s="17" t="s">
        <v>35</v>
      </c>
      <c r="F32" s="1"/>
      <c r="G32" s="2">
        <v>3333</v>
      </c>
      <c r="H32" s="18"/>
      <c r="I32" s="6"/>
      <c r="J32" s="19"/>
    </row>
    <row r="33" spans="1:10" ht="12.75" customHeight="1">
      <c r="A33" s="17" t="s">
        <v>109</v>
      </c>
      <c r="B33" s="209"/>
      <c r="C33" s="209"/>
      <c r="D33" s="2" t="s">
        <v>25</v>
      </c>
      <c r="E33" s="17" t="s">
        <v>62</v>
      </c>
      <c r="F33" s="2"/>
      <c r="G33" s="2" t="s">
        <v>25</v>
      </c>
      <c r="H33" s="18"/>
      <c r="I33" s="6"/>
      <c r="J33" s="19"/>
    </row>
    <row r="34" spans="1:10" ht="12.7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19"/>
    </row>
    <row r="35" spans="1:10" ht="12.75" customHeight="1">
      <c r="A35" s="18" t="s">
        <v>40</v>
      </c>
      <c r="B35" s="6"/>
      <c r="C35" s="6"/>
      <c r="D35" s="2" t="s">
        <v>25</v>
      </c>
      <c r="E35" s="17" t="s">
        <v>78</v>
      </c>
      <c r="F35" s="1"/>
      <c r="G35" s="2" t="s">
        <v>25</v>
      </c>
      <c r="H35" s="18"/>
      <c r="I35" s="6"/>
      <c r="J35" s="19"/>
    </row>
    <row r="36" spans="1:10" ht="12.75" customHeight="1">
      <c r="A36" s="204" t="s">
        <v>63</v>
      </c>
      <c r="B36" s="205"/>
      <c r="C36" s="206"/>
      <c r="D36" s="229">
        <f>SUM(D29:D35)</f>
        <v>113433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2.75" customHeight="1">
      <c r="A37" s="207"/>
      <c r="B37" s="197"/>
      <c r="C37" s="208"/>
      <c r="D37" s="230"/>
      <c r="E37" s="21" t="s">
        <v>21</v>
      </c>
      <c r="F37" s="22"/>
      <c r="G37" s="13">
        <f>SUM(G29:G36)</f>
        <v>3433</v>
      </c>
      <c r="H37" s="21" t="s">
        <v>44</v>
      </c>
      <c r="I37" s="22"/>
      <c r="J37" s="13">
        <f>D36-G37</f>
        <v>110000</v>
      </c>
    </row>
    <row r="38" spans="1:10" ht="12.7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.7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209" t="s">
        <v>273</v>
      </c>
      <c r="D43" s="209"/>
      <c r="E43" s="2"/>
      <c r="F43" s="3"/>
      <c r="G43" s="1" t="s">
        <v>4</v>
      </c>
      <c r="H43" s="191" t="s">
        <v>5</v>
      </c>
      <c r="I43" s="191"/>
      <c r="J43" s="191"/>
    </row>
    <row r="44" spans="1:10" ht="12.75" customHeight="1">
      <c r="A44" s="1" t="s">
        <v>6</v>
      </c>
      <c r="B44" s="1"/>
      <c r="C44" s="25" t="s">
        <v>274</v>
      </c>
      <c r="D44" s="25"/>
      <c r="E44" s="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209" t="s">
        <v>261</v>
      </c>
      <c r="D45" s="209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6" t="s">
        <v>14</v>
      </c>
      <c r="B46" s="6"/>
      <c r="C46" s="2" t="s">
        <v>15</v>
      </c>
      <c r="D46" s="2"/>
      <c r="E46" s="2"/>
      <c r="F46" s="3"/>
      <c r="G46" s="1" t="s">
        <v>16</v>
      </c>
      <c r="H46" s="196" t="s">
        <v>68</v>
      </c>
      <c r="I46" s="196"/>
      <c r="J46" s="196"/>
    </row>
    <row r="47" spans="1:10" ht="12.75" customHeight="1">
      <c r="A47" s="6">
        <v>30</v>
      </c>
      <c r="B47" s="6"/>
      <c r="C47" s="2">
        <f>A47-H47</f>
        <v>2</v>
      </c>
      <c r="D47" s="2"/>
      <c r="E47" s="2"/>
      <c r="F47" s="3"/>
      <c r="G47" s="8" t="s">
        <v>18</v>
      </c>
      <c r="H47" s="197">
        <v>28</v>
      </c>
      <c r="I47" s="197"/>
      <c r="J47" s="197"/>
    </row>
    <row r="48" spans="1:10" ht="12.75" customHeight="1">
      <c r="A48" s="156" t="s">
        <v>19</v>
      </c>
      <c r="B48" s="157"/>
      <c r="C48" s="158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2.75" customHeight="1">
      <c r="A49" s="17" t="s">
        <v>23</v>
      </c>
      <c r="B49" s="1"/>
      <c r="C49" s="1"/>
      <c r="D49" s="2">
        <v>55000</v>
      </c>
      <c r="E49" s="17" t="s">
        <v>24</v>
      </c>
      <c r="F49" s="1"/>
      <c r="G49" s="2" t="s">
        <v>25</v>
      </c>
      <c r="H49" s="18" t="s">
        <v>26</v>
      </c>
      <c r="I49" s="23"/>
      <c r="J49" s="24"/>
    </row>
    <row r="50" spans="1:10" ht="12.75" customHeight="1">
      <c r="A50" s="17" t="s">
        <v>57</v>
      </c>
      <c r="B50" s="209"/>
      <c r="C50" s="209"/>
      <c r="D50" s="2" t="s">
        <v>25</v>
      </c>
      <c r="E50" s="17" t="s">
        <v>52</v>
      </c>
      <c r="F50" s="1"/>
      <c r="G50" s="2" t="s">
        <v>25</v>
      </c>
      <c r="H50" s="18" t="s">
        <v>29</v>
      </c>
      <c r="I50" s="23"/>
      <c r="J50" s="24"/>
    </row>
    <row r="51" spans="1:10" ht="12.75" customHeight="1">
      <c r="A51" s="17" t="s">
        <v>30</v>
      </c>
      <c r="B51" s="1"/>
      <c r="C51" s="1"/>
      <c r="D51" s="2">
        <v>9225</v>
      </c>
      <c r="E51" s="17" t="s">
        <v>141</v>
      </c>
      <c r="F51" s="1"/>
      <c r="G51" s="2" t="s">
        <v>25</v>
      </c>
      <c r="H51" s="18" t="s">
        <v>32</v>
      </c>
      <c r="I51" s="23"/>
      <c r="J51" s="24"/>
    </row>
    <row r="52" spans="1:10" ht="12.75" customHeight="1">
      <c r="A52" s="17" t="s">
        <v>34</v>
      </c>
      <c r="B52" s="1"/>
      <c r="C52" s="1"/>
      <c r="D52" s="2" t="s">
        <v>25</v>
      </c>
      <c r="E52" s="17" t="s">
        <v>35</v>
      </c>
      <c r="F52" s="1"/>
      <c r="G52" s="2">
        <v>3667</v>
      </c>
      <c r="H52" s="18"/>
      <c r="I52" s="6"/>
      <c r="J52" s="19"/>
    </row>
    <row r="53" spans="1:10" ht="12.75" customHeight="1">
      <c r="A53" s="17" t="s">
        <v>60</v>
      </c>
      <c r="B53" s="1"/>
      <c r="C53" s="1"/>
      <c r="D53" s="2">
        <v>10000</v>
      </c>
      <c r="E53" s="17" t="s">
        <v>79</v>
      </c>
      <c r="F53" s="1"/>
      <c r="G53" s="2" t="s">
        <v>25</v>
      </c>
      <c r="H53" s="18"/>
      <c r="I53" s="6"/>
      <c r="J53" s="19"/>
    </row>
    <row r="54" spans="1:10" ht="12.7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40"/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79</v>
      </c>
      <c r="F55" s="2">
        <v>2</v>
      </c>
      <c r="G55" s="2">
        <v>458</v>
      </c>
      <c r="H55" s="18"/>
      <c r="I55" s="6"/>
      <c r="J55" s="40"/>
    </row>
    <row r="56" spans="1:10" ht="12.75" customHeight="1">
      <c r="A56" s="204" t="s">
        <v>63</v>
      </c>
      <c r="B56" s="205"/>
      <c r="C56" s="206"/>
      <c r="D56" s="229">
        <f>SUM(D49:D55)</f>
        <v>74225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4225</v>
      </c>
      <c r="H57" s="21" t="s">
        <v>44</v>
      </c>
      <c r="I57" s="22"/>
      <c r="J57" s="13">
        <f>D56-G57</f>
        <v>70000</v>
      </c>
    </row>
    <row r="58" spans="1:10" ht="12.7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2.7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2.7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.7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.75" customHeight="1">
      <c r="A63" s="1" t="s">
        <v>2</v>
      </c>
      <c r="B63" s="1"/>
      <c r="C63" s="209" t="s">
        <v>275</v>
      </c>
      <c r="D63" s="209"/>
      <c r="E63" s="2"/>
      <c r="F63" s="3"/>
      <c r="G63" s="1" t="s">
        <v>4</v>
      </c>
      <c r="H63" s="191" t="s">
        <v>5</v>
      </c>
      <c r="I63" s="191"/>
      <c r="J63" s="191"/>
    </row>
    <row r="64" spans="1:10" ht="12.75" customHeight="1">
      <c r="A64" s="1" t="s">
        <v>6</v>
      </c>
      <c r="B64" s="1"/>
      <c r="C64" s="25" t="s">
        <v>276</v>
      </c>
      <c r="D64" s="25"/>
      <c r="E64" s="2"/>
      <c r="F64" s="3"/>
      <c r="G64" s="1" t="s">
        <v>8</v>
      </c>
      <c r="H64" s="193" t="s">
        <v>9</v>
      </c>
      <c r="I64" s="193"/>
      <c r="J64" s="193"/>
    </row>
    <row r="65" spans="1:10" ht="12.75" customHeight="1">
      <c r="A65" s="6" t="s">
        <v>10</v>
      </c>
      <c r="B65" s="6"/>
      <c r="C65" s="209" t="s">
        <v>277</v>
      </c>
      <c r="D65" s="209"/>
      <c r="E65" s="2"/>
      <c r="F65" s="3"/>
      <c r="G65" s="1" t="s">
        <v>12</v>
      </c>
      <c r="H65" s="195" t="s">
        <v>13</v>
      </c>
      <c r="I65" s="195"/>
      <c r="J65" s="195"/>
    </row>
    <row r="66" spans="1:10" ht="12.75" customHeight="1">
      <c r="A66" s="6" t="s">
        <v>14</v>
      </c>
      <c r="B66" s="6"/>
      <c r="C66" s="2" t="s">
        <v>15</v>
      </c>
      <c r="D66" s="2"/>
      <c r="E66" s="2"/>
      <c r="F66" s="3"/>
      <c r="G66" s="1" t="s">
        <v>16</v>
      </c>
      <c r="H66" s="196" t="s">
        <v>207</v>
      </c>
      <c r="I66" s="196"/>
      <c r="J66" s="196"/>
    </row>
    <row r="67" spans="1:10" ht="12.75" customHeight="1">
      <c r="A67" s="6">
        <v>30</v>
      </c>
      <c r="B67" s="6"/>
      <c r="C67" s="2">
        <f>A67-H67</f>
        <v>0</v>
      </c>
      <c r="D67" s="2"/>
      <c r="E67" s="2"/>
      <c r="F67" s="3"/>
      <c r="G67" s="8" t="s">
        <v>18</v>
      </c>
      <c r="H67" s="197">
        <v>30</v>
      </c>
      <c r="I67" s="197"/>
      <c r="J67" s="197"/>
    </row>
    <row r="68" spans="1:10" ht="12.75" customHeight="1">
      <c r="A68" s="156" t="s">
        <v>19</v>
      </c>
      <c r="B68" s="157"/>
      <c r="C68" s="158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2.75" customHeight="1">
      <c r="A69" s="17" t="s">
        <v>23</v>
      </c>
      <c r="B69" s="1"/>
      <c r="C69" s="1"/>
      <c r="D69" s="2">
        <v>60000</v>
      </c>
      <c r="E69" s="17" t="s">
        <v>24</v>
      </c>
      <c r="F69" s="1"/>
      <c r="G69" s="2" t="s">
        <v>25</v>
      </c>
      <c r="H69" s="18" t="s">
        <v>26</v>
      </c>
      <c r="I69" s="23"/>
      <c r="J69" s="24"/>
    </row>
    <row r="70" spans="1:10" ht="12.75" customHeight="1">
      <c r="A70" s="17" t="s">
        <v>77</v>
      </c>
      <c r="B70" s="209"/>
      <c r="C70" s="209"/>
      <c r="D70" s="2" t="s">
        <v>25</v>
      </c>
      <c r="E70" s="17" t="s">
        <v>58</v>
      </c>
      <c r="F70" s="1"/>
      <c r="G70" s="2" t="s">
        <v>25</v>
      </c>
      <c r="H70" s="18" t="s">
        <v>29</v>
      </c>
      <c r="I70" s="23"/>
      <c r="J70" s="24"/>
    </row>
    <row r="71" spans="1:10" ht="12.75" customHeight="1">
      <c r="A71" s="17" t="s">
        <v>30</v>
      </c>
      <c r="B71" s="1"/>
      <c r="C71" s="1"/>
      <c r="D71" s="2">
        <v>8100</v>
      </c>
      <c r="E71" s="17" t="s">
        <v>40</v>
      </c>
      <c r="F71" s="1"/>
      <c r="G71" s="2" t="s">
        <v>25</v>
      </c>
      <c r="H71" s="18" t="s">
        <v>32</v>
      </c>
      <c r="I71" s="23"/>
      <c r="J71" s="24"/>
    </row>
    <row r="72" spans="1:10" ht="12.75" customHeight="1">
      <c r="A72" s="17" t="s">
        <v>34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2.75" customHeight="1">
      <c r="A73" s="17" t="s">
        <v>97</v>
      </c>
      <c r="B73" s="1"/>
      <c r="C73" s="1"/>
      <c r="D73" s="2">
        <v>7000</v>
      </c>
      <c r="E73" s="17" t="s">
        <v>37</v>
      </c>
      <c r="F73" s="1"/>
      <c r="G73" s="2" t="s">
        <v>25</v>
      </c>
      <c r="H73" s="18"/>
      <c r="I73" s="6"/>
      <c r="J73" s="19"/>
    </row>
    <row r="74" spans="1:10" ht="12.7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40"/>
    </row>
    <row r="75" spans="1:10" ht="12.75" customHeight="1">
      <c r="A75" s="18" t="s">
        <v>40</v>
      </c>
      <c r="B75" s="6"/>
      <c r="C75" s="6"/>
      <c r="D75" s="2" t="s">
        <v>25</v>
      </c>
      <c r="E75" s="17" t="s">
        <v>41</v>
      </c>
      <c r="F75" s="1"/>
      <c r="G75" s="2" t="s">
        <v>25</v>
      </c>
      <c r="H75" s="18"/>
      <c r="I75" s="6"/>
      <c r="J75" s="40"/>
    </row>
    <row r="76" spans="1:10" ht="12.75" customHeight="1">
      <c r="A76" s="204" t="s">
        <v>63</v>
      </c>
      <c r="B76" s="205"/>
      <c r="C76" s="206"/>
      <c r="D76" s="229">
        <f>SUM(D69:D75)</f>
        <v>75100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2.7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75000</v>
      </c>
    </row>
    <row r="78" spans="1:10" ht="12.7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2.75" customHeight="1">
      <c r="A80" s="3"/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2.7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2.7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2.75" customHeight="1">
      <c r="A83" s="1" t="s">
        <v>2</v>
      </c>
      <c r="B83" s="1"/>
      <c r="C83" s="209" t="s">
        <v>278</v>
      </c>
      <c r="D83" s="209"/>
      <c r="E83" s="2"/>
      <c r="F83" s="3"/>
      <c r="G83" s="1" t="s">
        <v>4</v>
      </c>
      <c r="H83" s="191" t="s">
        <v>5</v>
      </c>
      <c r="I83" s="191"/>
      <c r="J83" s="191"/>
    </row>
    <row r="84" spans="1:10" ht="12.75" customHeight="1">
      <c r="A84" s="1" t="s">
        <v>6</v>
      </c>
      <c r="B84" s="1"/>
      <c r="C84" s="25" t="s">
        <v>279</v>
      </c>
      <c r="D84" s="25"/>
      <c r="E84" s="2"/>
      <c r="F84" s="3"/>
      <c r="G84" s="1" t="s">
        <v>8</v>
      </c>
      <c r="H84" s="193" t="s">
        <v>9</v>
      </c>
      <c r="I84" s="193"/>
      <c r="J84" s="193"/>
    </row>
    <row r="85" spans="1:10" ht="12.75" customHeight="1">
      <c r="A85" s="6" t="s">
        <v>10</v>
      </c>
      <c r="B85" s="6"/>
      <c r="C85" s="209" t="s">
        <v>280</v>
      </c>
      <c r="D85" s="209"/>
      <c r="E85" s="2"/>
      <c r="F85" s="3"/>
      <c r="G85" s="1" t="s">
        <v>12</v>
      </c>
      <c r="H85" s="195" t="s">
        <v>13</v>
      </c>
      <c r="I85" s="195"/>
      <c r="J85" s="195"/>
    </row>
    <row r="86" spans="1:10" ht="12.75" customHeight="1">
      <c r="A86" s="6" t="s">
        <v>14</v>
      </c>
      <c r="B86" s="6"/>
      <c r="C86" s="2" t="s">
        <v>15</v>
      </c>
      <c r="D86" s="2"/>
      <c r="E86" s="2"/>
      <c r="F86" s="3"/>
      <c r="G86" s="1" t="s">
        <v>16</v>
      </c>
      <c r="H86" s="196" t="s">
        <v>281</v>
      </c>
      <c r="I86" s="196"/>
      <c r="J86" s="196"/>
    </row>
    <row r="87" spans="1:10" ht="12.75" customHeight="1">
      <c r="A87" s="6">
        <v>30</v>
      </c>
      <c r="B87" s="6"/>
      <c r="C87" s="2">
        <f>A87-I87</f>
        <v>0</v>
      </c>
      <c r="D87" s="2"/>
      <c r="E87" s="2"/>
      <c r="F87" s="3"/>
      <c r="G87" s="8" t="s">
        <v>18</v>
      </c>
      <c r="H87" s="8"/>
      <c r="I87" s="9">
        <v>30</v>
      </c>
      <c r="J87" s="9"/>
    </row>
    <row r="88" spans="1:10" ht="12.7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2.75" customHeight="1">
      <c r="A89" s="17" t="s">
        <v>23</v>
      </c>
      <c r="B89" s="2"/>
      <c r="C89" s="1"/>
      <c r="D89" s="2">
        <v>30000</v>
      </c>
      <c r="E89" s="17" t="s">
        <v>24</v>
      </c>
      <c r="F89" s="1"/>
      <c r="G89" s="2" t="s">
        <v>25</v>
      </c>
      <c r="H89" s="18" t="s">
        <v>26</v>
      </c>
      <c r="I89" s="23"/>
      <c r="J89" s="24"/>
    </row>
    <row r="90" spans="1:10" ht="12.75" customHeight="1">
      <c r="A90" s="17" t="s">
        <v>282</v>
      </c>
      <c r="B90" s="209"/>
      <c r="C90" s="209"/>
      <c r="D90" s="2" t="s">
        <v>25</v>
      </c>
      <c r="E90" s="17" t="s">
        <v>64</v>
      </c>
      <c r="F90" s="1"/>
      <c r="G90" s="2" t="s">
        <v>25</v>
      </c>
      <c r="H90" s="18" t="s">
        <v>29</v>
      </c>
      <c r="I90" s="23"/>
      <c r="J90" s="24"/>
    </row>
    <row r="91" spans="1:10" ht="12.75" customHeight="1">
      <c r="A91" s="17" t="s">
        <v>30</v>
      </c>
      <c r="B91" s="1"/>
      <c r="C91" s="1"/>
      <c r="D91" s="2">
        <v>18100</v>
      </c>
      <c r="E91" s="17" t="s">
        <v>156</v>
      </c>
      <c r="F91" s="1"/>
      <c r="G91" s="2" t="s">
        <v>25</v>
      </c>
      <c r="H91" s="18" t="s">
        <v>32</v>
      </c>
      <c r="I91" s="23"/>
      <c r="J91" s="24"/>
    </row>
    <row r="92" spans="1:10" ht="12.75" customHeight="1">
      <c r="A92" s="17" t="s">
        <v>27</v>
      </c>
      <c r="B92" s="1"/>
      <c r="C92" s="1"/>
      <c r="D92" s="2" t="s">
        <v>25</v>
      </c>
      <c r="E92" s="17" t="s">
        <v>71</v>
      </c>
      <c r="F92" s="1"/>
      <c r="G92" s="2" t="s">
        <v>25</v>
      </c>
      <c r="H92" s="18"/>
      <c r="I92" s="6"/>
      <c r="J92" s="19"/>
    </row>
    <row r="93" spans="1:10" ht="12.75" customHeight="1">
      <c r="A93" s="17" t="s">
        <v>60</v>
      </c>
      <c r="B93" s="1"/>
      <c r="C93" s="1"/>
      <c r="D93" s="2">
        <v>7000</v>
      </c>
      <c r="E93" s="17" t="s">
        <v>61</v>
      </c>
      <c r="F93" s="1"/>
      <c r="G93" s="2" t="s">
        <v>25</v>
      </c>
      <c r="H93" s="18"/>
      <c r="I93" s="6"/>
      <c r="J93" s="40"/>
    </row>
    <row r="94" spans="1:10" ht="12.75" customHeight="1">
      <c r="A94" s="17" t="s">
        <v>147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/>
      <c r="I94" s="6"/>
      <c r="J94" s="40"/>
    </row>
    <row r="95" spans="1:10" ht="12.75" customHeight="1">
      <c r="A95" s="18" t="s">
        <v>40</v>
      </c>
      <c r="B95" s="6"/>
      <c r="C95" s="6"/>
      <c r="D95" s="2" t="s">
        <v>25</v>
      </c>
      <c r="E95" s="17" t="s">
        <v>62</v>
      </c>
      <c r="F95" s="2"/>
      <c r="G95" s="2" t="s">
        <v>25</v>
      </c>
      <c r="H95" s="18"/>
      <c r="I95" s="6"/>
      <c r="J95" s="19"/>
    </row>
    <row r="96" spans="1:10" ht="12.75" customHeight="1">
      <c r="A96" s="204" t="s">
        <v>63</v>
      </c>
      <c r="B96" s="205"/>
      <c r="C96" s="206"/>
      <c r="D96" s="229">
        <f>SUM(D89:D95)</f>
        <v>55100</v>
      </c>
      <c r="E96" s="1" t="s">
        <v>283</v>
      </c>
      <c r="F96" s="1"/>
      <c r="G96" s="2" t="s">
        <v>25</v>
      </c>
      <c r="H96" s="18"/>
      <c r="I96" s="6"/>
      <c r="J96" s="40"/>
    </row>
    <row r="97" spans="1:10" ht="12.7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55000</v>
      </c>
    </row>
    <row r="98" spans="1:10" ht="12.7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2.7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.7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.7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.75" customHeight="1">
      <c r="A103" s="1" t="s">
        <v>2</v>
      </c>
      <c r="B103" s="1"/>
      <c r="C103" s="191" t="s">
        <v>284</v>
      </c>
      <c r="D103" s="191"/>
      <c r="E103" s="2"/>
      <c r="F103" s="3"/>
      <c r="G103" s="1" t="s">
        <v>4</v>
      </c>
      <c r="H103" s="191" t="s">
        <v>143</v>
      </c>
      <c r="I103" s="191"/>
      <c r="J103" s="191"/>
    </row>
    <row r="104" spans="1:10" ht="12.75" customHeight="1">
      <c r="A104" s="1" t="s">
        <v>6</v>
      </c>
      <c r="B104" s="1"/>
      <c r="C104" s="192" t="s">
        <v>285</v>
      </c>
      <c r="D104" s="192"/>
      <c r="E104" s="2"/>
      <c r="F104" s="3"/>
      <c r="G104" s="1" t="s">
        <v>8</v>
      </c>
      <c r="H104" s="193" t="s">
        <v>9</v>
      </c>
      <c r="I104" s="193"/>
      <c r="J104" s="193"/>
    </row>
    <row r="105" spans="1:10" ht="12.75" customHeight="1">
      <c r="A105" s="6" t="s">
        <v>10</v>
      </c>
      <c r="B105" s="6"/>
      <c r="C105" s="194" t="s">
        <v>271</v>
      </c>
      <c r="D105" s="194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.75" customHeight="1">
      <c r="A106" s="2" t="s">
        <v>14</v>
      </c>
      <c r="B106" s="2"/>
      <c r="C106" s="1" t="s">
        <v>15</v>
      </c>
      <c r="D106" s="1"/>
      <c r="E106" s="2"/>
      <c r="F106" s="3"/>
      <c r="G106" s="1" t="s">
        <v>16</v>
      </c>
      <c r="H106" s="209" t="s">
        <v>185</v>
      </c>
      <c r="I106" s="209"/>
      <c r="J106" s="209"/>
    </row>
    <row r="107" spans="1:10" ht="12.75" customHeight="1">
      <c r="A107" s="2">
        <v>30</v>
      </c>
      <c r="B107" s="2"/>
      <c r="C107" s="2">
        <f>A107-H107</f>
        <v>2</v>
      </c>
      <c r="D107" s="2"/>
      <c r="E107" s="2"/>
      <c r="F107" s="3"/>
      <c r="G107" s="8" t="s">
        <v>18</v>
      </c>
      <c r="H107" s="197">
        <v>28</v>
      </c>
      <c r="I107" s="197"/>
      <c r="J107" s="197"/>
    </row>
    <row r="108" spans="1:10" ht="12.7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.75" customHeight="1">
      <c r="A109" s="17" t="s">
        <v>56</v>
      </c>
      <c r="B109" s="1"/>
      <c r="C109" s="1"/>
      <c r="D109" s="2">
        <v>100000</v>
      </c>
      <c r="E109" s="17" t="s">
        <v>24</v>
      </c>
      <c r="F109" s="1"/>
      <c r="G109" s="2" t="s">
        <v>25</v>
      </c>
      <c r="H109" s="18" t="s">
        <v>26</v>
      </c>
      <c r="I109" s="23"/>
      <c r="J109" s="24"/>
    </row>
    <row r="110" spans="1:10" ht="12.75" customHeight="1">
      <c r="A110" s="17" t="s">
        <v>77</v>
      </c>
      <c r="B110" s="209"/>
      <c r="C110" s="209"/>
      <c r="D110" s="2" t="s">
        <v>25</v>
      </c>
      <c r="E110" s="17" t="s">
        <v>28</v>
      </c>
      <c r="F110" s="1"/>
      <c r="G110" s="2" t="s">
        <v>25</v>
      </c>
      <c r="H110" s="18" t="s">
        <v>29</v>
      </c>
      <c r="I110" s="23"/>
      <c r="J110" s="24"/>
    </row>
    <row r="111" spans="1:10" ht="12.75" customHeight="1">
      <c r="A111" s="17" t="s">
        <v>30</v>
      </c>
      <c r="B111" s="1"/>
      <c r="C111" s="1"/>
      <c r="D111" s="2">
        <v>31767</v>
      </c>
      <c r="E111" s="17" t="s">
        <v>40</v>
      </c>
      <c r="F111" s="1"/>
      <c r="G111" s="2" t="s">
        <v>25</v>
      </c>
      <c r="H111" s="18" t="s">
        <v>32</v>
      </c>
      <c r="I111" s="23"/>
      <c r="J111" s="24"/>
    </row>
    <row r="112" spans="1:10" ht="12.75" customHeight="1">
      <c r="A112" s="17" t="s">
        <v>27</v>
      </c>
      <c r="B112" s="1"/>
      <c r="C112" s="1"/>
      <c r="D112" s="2" t="s">
        <v>25</v>
      </c>
      <c r="E112" s="17" t="s">
        <v>35</v>
      </c>
      <c r="F112" s="1"/>
      <c r="G112" s="2">
        <v>6667</v>
      </c>
      <c r="H112" s="18"/>
      <c r="I112" s="6"/>
      <c r="J112" s="19"/>
    </row>
    <row r="113" spans="1:10" ht="12.75" customHeight="1">
      <c r="A113" s="17" t="s">
        <v>147</v>
      </c>
      <c r="B113" s="1"/>
      <c r="C113" s="1"/>
      <c r="D113" s="2" t="s">
        <v>25</v>
      </c>
      <c r="E113" s="17" t="s">
        <v>286</v>
      </c>
      <c r="F113" s="1"/>
      <c r="G113" s="2" t="s">
        <v>25</v>
      </c>
      <c r="H113" s="18"/>
      <c r="I113" s="6"/>
      <c r="J113" s="19"/>
    </row>
    <row r="114" spans="1:10" ht="12.75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18"/>
      <c r="I114" s="6"/>
      <c r="J114" s="19"/>
    </row>
    <row r="115" spans="1:10" ht="12.75" customHeight="1">
      <c r="A115" s="18" t="s">
        <v>40</v>
      </c>
      <c r="B115" s="6"/>
      <c r="C115" s="6"/>
      <c r="D115" s="2" t="s">
        <v>25</v>
      </c>
      <c r="E115" s="17" t="s">
        <v>161</v>
      </c>
      <c r="F115" s="2"/>
      <c r="G115" s="2" t="s">
        <v>25</v>
      </c>
      <c r="H115" s="18"/>
      <c r="I115" s="6"/>
      <c r="J115" s="19"/>
    </row>
    <row r="116" spans="1:10" ht="12.75" customHeight="1">
      <c r="A116" s="204" t="s">
        <v>63</v>
      </c>
      <c r="B116" s="205"/>
      <c r="C116" s="206"/>
      <c r="D116" s="229">
        <f>SUM(D109:D115)</f>
        <v>131767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2.7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6767</v>
      </c>
      <c r="H117" s="21" t="s">
        <v>44</v>
      </c>
      <c r="I117" s="22"/>
      <c r="J117" s="13">
        <f>D116-G117</f>
        <v>125000</v>
      </c>
    </row>
    <row r="118" spans="1:10" ht="12.7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.7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2.7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2.7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2.75" customHeight="1">
      <c r="A123" s="1" t="s">
        <v>2</v>
      </c>
      <c r="B123" s="1"/>
      <c r="C123" s="191" t="s">
        <v>287</v>
      </c>
      <c r="D123" s="191"/>
      <c r="E123" s="2"/>
      <c r="F123" s="3"/>
      <c r="G123" s="1" t="s">
        <v>4</v>
      </c>
      <c r="H123" s="191" t="s">
        <v>143</v>
      </c>
      <c r="I123" s="191"/>
      <c r="J123" s="191"/>
    </row>
    <row r="124" spans="1:10" ht="12.75" customHeight="1">
      <c r="A124" s="1" t="s">
        <v>6</v>
      </c>
      <c r="B124" s="1"/>
      <c r="C124" s="192" t="s">
        <v>288</v>
      </c>
      <c r="D124" s="192"/>
      <c r="E124" s="2"/>
      <c r="F124" s="3"/>
      <c r="G124" s="1" t="s">
        <v>8</v>
      </c>
      <c r="H124" s="193" t="s">
        <v>9</v>
      </c>
      <c r="I124" s="193"/>
      <c r="J124" s="193"/>
    </row>
    <row r="125" spans="1:10" ht="12.75" customHeight="1">
      <c r="A125" s="6" t="s">
        <v>10</v>
      </c>
      <c r="B125" s="6"/>
      <c r="C125" s="194" t="s">
        <v>271</v>
      </c>
      <c r="D125" s="194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2.75" customHeight="1">
      <c r="A126" s="2" t="s">
        <v>14</v>
      </c>
      <c r="B126" s="2"/>
      <c r="C126" s="1" t="s">
        <v>15</v>
      </c>
      <c r="D126" s="1"/>
      <c r="E126" s="2"/>
      <c r="F126" s="3"/>
      <c r="G126" s="1" t="s">
        <v>16</v>
      </c>
      <c r="H126" s="209" t="s">
        <v>289</v>
      </c>
      <c r="I126" s="209"/>
      <c r="J126" s="209"/>
    </row>
    <row r="127" spans="1:10" ht="12.75" customHeight="1">
      <c r="A127" s="2">
        <v>30</v>
      </c>
      <c r="B127" s="2"/>
      <c r="C127" s="2">
        <f>A127-H127</f>
        <v>10</v>
      </c>
      <c r="D127" s="2"/>
      <c r="E127" s="2"/>
      <c r="F127" s="3"/>
      <c r="G127" s="8" t="s">
        <v>18</v>
      </c>
      <c r="H127" s="197">
        <v>20</v>
      </c>
      <c r="I127" s="197"/>
      <c r="J127" s="197"/>
    </row>
    <row r="128" spans="1:10" ht="12.7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2.75" customHeight="1">
      <c r="A129" s="17" t="s">
        <v>56</v>
      </c>
      <c r="B129" s="1"/>
      <c r="C129" s="1"/>
      <c r="D129" s="2">
        <v>80000</v>
      </c>
      <c r="E129" s="17" t="s">
        <v>24</v>
      </c>
      <c r="F129" s="1"/>
      <c r="G129" s="2" t="s">
        <v>25</v>
      </c>
      <c r="H129" s="18" t="s">
        <v>26</v>
      </c>
      <c r="I129" s="23"/>
      <c r="J129" s="24"/>
    </row>
    <row r="130" spans="1:10" ht="12.75" customHeight="1">
      <c r="A130" s="17" t="s">
        <v>77</v>
      </c>
      <c r="B130" s="209"/>
      <c r="C130" s="209"/>
      <c r="D130" s="2" t="s">
        <v>25</v>
      </c>
      <c r="E130" s="17" t="s">
        <v>28</v>
      </c>
      <c r="F130" s="1"/>
      <c r="G130" s="2" t="s">
        <v>25</v>
      </c>
      <c r="H130" s="18" t="s">
        <v>29</v>
      </c>
      <c r="I130" s="23"/>
      <c r="J130" s="24"/>
    </row>
    <row r="131" spans="1:10" ht="12.75" customHeight="1">
      <c r="A131" s="17" t="s">
        <v>30</v>
      </c>
      <c r="B131" s="1"/>
      <c r="C131" s="1"/>
      <c r="D131" s="2" t="s">
        <v>25</v>
      </c>
      <c r="E131" s="17" t="s">
        <v>40</v>
      </c>
      <c r="F131" s="1"/>
      <c r="G131" s="2" t="s">
        <v>25</v>
      </c>
      <c r="H131" s="18" t="s">
        <v>32</v>
      </c>
      <c r="I131" s="23"/>
      <c r="J131" s="24"/>
    </row>
    <row r="132" spans="1:10" ht="12.75" customHeight="1">
      <c r="A132" s="17" t="s">
        <v>27</v>
      </c>
      <c r="B132" s="1"/>
      <c r="C132" s="1"/>
      <c r="D132" s="2" t="s">
        <v>25</v>
      </c>
      <c r="E132" s="17" t="s">
        <v>35</v>
      </c>
      <c r="F132" s="1"/>
      <c r="G132" s="2">
        <v>26667</v>
      </c>
      <c r="H132" s="18"/>
      <c r="I132" s="6"/>
      <c r="J132" s="19"/>
    </row>
    <row r="133" spans="1:10" ht="12.75" customHeight="1">
      <c r="A133" s="17" t="s">
        <v>147</v>
      </c>
      <c r="B133" s="1"/>
      <c r="C133" s="1"/>
      <c r="D133" s="2" t="s">
        <v>25</v>
      </c>
      <c r="E133" s="17" t="s">
        <v>61</v>
      </c>
      <c r="F133" s="1"/>
      <c r="G133" s="2" t="s">
        <v>25</v>
      </c>
      <c r="H133" s="18" t="s">
        <v>290</v>
      </c>
      <c r="I133" s="6"/>
      <c r="J133" s="19"/>
    </row>
    <row r="134" spans="1:10" ht="12.75" customHeight="1">
      <c r="A134" s="17" t="s">
        <v>136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8"/>
      <c r="I134" s="6"/>
      <c r="J134" s="19"/>
    </row>
    <row r="135" spans="1:10" ht="12.75" customHeight="1">
      <c r="A135" s="18" t="s">
        <v>40</v>
      </c>
      <c r="B135" s="6"/>
      <c r="C135" s="6"/>
      <c r="D135" s="2" t="s">
        <v>25</v>
      </c>
      <c r="E135" s="17" t="s">
        <v>161</v>
      </c>
      <c r="F135" s="2"/>
      <c r="G135" s="2" t="s">
        <v>25</v>
      </c>
      <c r="H135" s="18"/>
      <c r="I135" s="6"/>
      <c r="J135" s="19"/>
    </row>
    <row r="136" spans="1:10" ht="12.75" customHeight="1">
      <c r="A136" s="204" t="s">
        <v>63</v>
      </c>
      <c r="B136" s="205"/>
      <c r="C136" s="206"/>
      <c r="D136" s="229">
        <f>SUM(D129:D135)</f>
        <v>80000</v>
      </c>
      <c r="E136" s="1" t="s">
        <v>43</v>
      </c>
      <c r="F136" s="1"/>
      <c r="G136" s="2" t="s">
        <v>25</v>
      </c>
      <c r="H136" s="18"/>
      <c r="I136" s="6"/>
      <c r="J136" s="19"/>
    </row>
    <row r="137" spans="1:10" ht="12.7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26767</v>
      </c>
      <c r="H137" s="21" t="s">
        <v>44</v>
      </c>
      <c r="I137" s="22"/>
      <c r="J137" s="13">
        <f>D136-G137</f>
        <v>53233</v>
      </c>
    </row>
    <row r="138" spans="1:10" ht="12.7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2.75" customHeight="1">
      <c r="A140" s="3"/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2.7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2.7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2.75" customHeight="1">
      <c r="A143" s="1" t="s">
        <v>2</v>
      </c>
      <c r="B143" s="1"/>
      <c r="C143" s="191" t="s">
        <v>291</v>
      </c>
      <c r="D143" s="191"/>
      <c r="E143" s="2"/>
      <c r="F143" s="3"/>
      <c r="G143" s="1" t="s">
        <v>4</v>
      </c>
      <c r="H143" s="191" t="s">
        <v>143</v>
      </c>
      <c r="I143" s="191"/>
      <c r="J143" s="191"/>
    </row>
    <row r="144" spans="1:10" ht="12.75" customHeight="1">
      <c r="A144" s="1" t="s">
        <v>6</v>
      </c>
      <c r="B144" s="1"/>
      <c r="C144" s="192" t="s">
        <v>292</v>
      </c>
      <c r="D144" s="192"/>
      <c r="E144" s="2"/>
      <c r="F144" s="3"/>
      <c r="G144" s="1" t="s">
        <v>8</v>
      </c>
      <c r="H144" s="193" t="s">
        <v>9</v>
      </c>
      <c r="I144" s="193"/>
      <c r="J144" s="193"/>
    </row>
    <row r="145" spans="1:10" ht="12.75" customHeight="1">
      <c r="A145" s="6" t="s">
        <v>10</v>
      </c>
      <c r="B145" s="6"/>
      <c r="C145" s="194" t="s">
        <v>201</v>
      </c>
      <c r="D145" s="194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2.75" customHeight="1">
      <c r="A146" s="2" t="s">
        <v>14</v>
      </c>
      <c r="B146" s="2"/>
      <c r="C146" s="1" t="s">
        <v>15</v>
      </c>
      <c r="D146" s="1"/>
      <c r="E146" s="2"/>
      <c r="F146" s="3"/>
      <c r="G146" s="1" t="s">
        <v>16</v>
      </c>
      <c r="H146" s="209" t="s">
        <v>119</v>
      </c>
      <c r="I146" s="209"/>
      <c r="J146" s="209"/>
    </row>
    <row r="147" spans="1:10" ht="12.75" customHeight="1">
      <c r="A147" s="2">
        <v>30</v>
      </c>
      <c r="B147" s="2"/>
      <c r="C147" s="2">
        <f>A147-H147</f>
        <v>0</v>
      </c>
      <c r="D147" s="2"/>
      <c r="E147" s="2"/>
      <c r="F147" s="3"/>
      <c r="G147" s="8" t="s">
        <v>18</v>
      </c>
      <c r="H147" s="197">
        <v>30</v>
      </c>
      <c r="I147" s="197"/>
      <c r="J147" s="197"/>
    </row>
    <row r="148" spans="1:10" ht="12.7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2.75" customHeight="1">
      <c r="A149" s="17" t="s">
        <v>56</v>
      </c>
      <c r="B149" s="1"/>
      <c r="C149" s="1"/>
      <c r="D149" s="2">
        <v>100000</v>
      </c>
      <c r="E149" s="17" t="s">
        <v>24</v>
      </c>
      <c r="F149" s="1"/>
      <c r="G149" s="2" t="s">
        <v>25</v>
      </c>
      <c r="H149" s="18" t="s">
        <v>26</v>
      </c>
      <c r="I149" s="23"/>
      <c r="J149" s="24"/>
    </row>
    <row r="150" spans="1:10" ht="12.75" customHeight="1">
      <c r="A150" s="17" t="s">
        <v>77</v>
      </c>
      <c r="B150" s="209" t="s">
        <v>229</v>
      </c>
      <c r="C150" s="209"/>
      <c r="D150" s="2">
        <v>2222</v>
      </c>
      <c r="E150" s="17" t="s">
        <v>28</v>
      </c>
      <c r="F150" s="1"/>
      <c r="G150" s="2" t="s">
        <v>25</v>
      </c>
      <c r="H150" s="18" t="s">
        <v>29</v>
      </c>
      <c r="I150" s="23"/>
      <c r="J150" s="24"/>
    </row>
    <row r="151" spans="1:10" ht="12.75" customHeight="1">
      <c r="A151" s="17" t="s">
        <v>30</v>
      </c>
      <c r="B151" s="1"/>
      <c r="C151" s="1"/>
      <c r="D151" s="2">
        <v>2878</v>
      </c>
      <c r="E151" s="17" t="s">
        <v>40</v>
      </c>
      <c r="F151" s="1"/>
      <c r="G151" s="2" t="s">
        <v>25</v>
      </c>
      <c r="H151" s="18" t="s">
        <v>32</v>
      </c>
      <c r="I151" s="23"/>
      <c r="J151" s="24"/>
    </row>
    <row r="152" spans="1:10" ht="12.75" customHeight="1">
      <c r="A152" s="17" t="s">
        <v>27</v>
      </c>
      <c r="B152" s="1"/>
      <c r="C152" s="1"/>
      <c r="D152" s="2" t="s">
        <v>25</v>
      </c>
      <c r="E152" s="17" t="s">
        <v>35</v>
      </c>
      <c r="F152" s="1"/>
      <c r="G152" s="2" t="s">
        <v>25</v>
      </c>
      <c r="H152" s="18"/>
      <c r="I152" s="6"/>
      <c r="J152" s="19"/>
    </row>
    <row r="153" spans="1:10" ht="12.75" customHeight="1">
      <c r="A153" s="17" t="s">
        <v>147</v>
      </c>
      <c r="B153" s="1"/>
      <c r="C153" s="1"/>
      <c r="D153" s="2" t="s">
        <v>25</v>
      </c>
      <c r="E153" s="17" t="s">
        <v>61</v>
      </c>
      <c r="F153" s="1"/>
      <c r="G153" s="2" t="s">
        <v>25</v>
      </c>
      <c r="H153" s="18"/>
      <c r="I153" s="6"/>
      <c r="J153" s="19"/>
    </row>
    <row r="154" spans="1:10" ht="12.75" customHeight="1">
      <c r="A154" s="17" t="s">
        <v>136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2.75" customHeight="1">
      <c r="A155" s="18" t="s">
        <v>40</v>
      </c>
      <c r="B155" s="6"/>
      <c r="C155" s="6"/>
      <c r="D155" s="2" t="s">
        <v>25</v>
      </c>
      <c r="E155" s="17" t="s">
        <v>161</v>
      </c>
      <c r="F155" s="2"/>
      <c r="G155" s="2" t="s">
        <v>25</v>
      </c>
      <c r="H155" s="18"/>
      <c r="I155" s="6"/>
      <c r="J155" s="19"/>
    </row>
    <row r="156" spans="1:10" ht="12.75" customHeight="1">
      <c r="A156" s="204" t="s">
        <v>63</v>
      </c>
      <c r="B156" s="205"/>
      <c r="C156" s="206"/>
      <c r="D156" s="229">
        <f>SUM(D149:D155)</f>
        <v>105100</v>
      </c>
      <c r="E156" s="1" t="s">
        <v>43</v>
      </c>
      <c r="F156" s="1"/>
      <c r="G156" s="2" t="s">
        <v>25</v>
      </c>
      <c r="H156" s="18"/>
      <c r="I156" s="6"/>
      <c r="J156" s="19"/>
    </row>
    <row r="157" spans="1:10" ht="12.7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100</v>
      </c>
      <c r="H157" s="21" t="s">
        <v>44</v>
      </c>
      <c r="I157" s="22"/>
      <c r="J157" s="13">
        <f>D156-G157</f>
        <v>105000</v>
      </c>
    </row>
    <row r="158" spans="1:10" ht="12.7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2.75" customHeight="1">
      <c r="A160" s="3"/>
      <c r="B160" s="3" t="s">
        <v>47</v>
      </c>
      <c r="C160" s="3"/>
      <c r="D160" s="3"/>
      <c r="E160" s="3" t="s">
        <v>48</v>
      </c>
      <c r="F160" s="3"/>
      <c r="G160" s="3"/>
      <c r="H160" s="3" t="s">
        <v>49</v>
      </c>
      <c r="I160" s="3"/>
      <c r="J160" s="3"/>
    </row>
    <row r="161" spans="1:10" ht="12.75" customHeight="1">
      <c r="A161" s="184" t="s">
        <v>0</v>
      </c>
      <c r="B161" s="185"/>
      <c r="C161" s="185"/>
      <c r="D161" s="185"/>
      <c r="E161" s="185"/>
      <c r="F161" s="185"/>
      <c r="G161" s="185"/>
      <c r="H161" s="185"/>
      <c r="I161" s="185"/>
      <c r="J161" s="186"/>
    </row>
    <row r="162" spans="1:10" ht="12.75" customHeight="1">
      <c r="A162" s="187" t="s">
        <v>1</v>
      </c>
      <c r="B162" s="188"/>
      <c r="C162" s="188"/>
      <c r="D162" s="188"/>
      <c r="E162" s="188"/>
      <c r="F162" s="188"/>
      <c r="G162" s="188"/>
      <c r="H162" s="188"/>
      <c r="I162" s="188"/>
      <c r="J162" s="189"/>
    </row>
    <row r="163" spans="1:10" ht="12.75" customHeight="1">
      <c r="A163" s="1" t="s">
        <v>2</v>
      </c>
      <c r="B163" s="1"/>
      <c r="C163" s="190" t="s">
        <v>293</v>
      </c>
      <c r="D163" s="190"/>
      <c r="E163" s="2"/>
      <c r="F163" s="3"/>
      <c r="G163" s="1" t="s">
        <v>4</v>
      </c>
      <c r="H163" s="191" t="s">
        <v>143</v>
      </c>
      <c r="I163" s="191"/>
      <c r="J163" s="191"/>
    </row>
    <row r="164" spans="1:10" ht="12.75" customHeight="1">
      <c r="A164" s="1" t="s">
        <v>6</v>
      </c>
      <c r="B164" s="1"/>
      <c r="C164" s="25" t="s">
        <v>294</v>
      </c>
      <c r="D164" s="25"/>
      <c r="E164" s="2"/>
      <c r="F164" s="3"/>
      <c r="G164" s="1" t="s">
        <v>8</v>
      </c>
      <c r="H164" s="193" t="s">
        <v>9</v>
      </c>
      <c r="I164" s="193"/>
      <c r="J164" s="193"/>
    </row>
    <row r="165" spans="1:10" ht="12.75" customHeight="1">
      <c r="A165" s="6" t="s">
        <v>10</v>
      </c>
      <c r="B165" s="6"/>
      <c r="C165" s="194" t="s">
        <v>261</v>
      </c>
      <c r="D165" s="194"/>
      <c r="E165" s="2"/>
      <c r="F165" s="3"/>
      <c r="G165" s="1" t="s">
        <v>12</v>
      </c>
      <c r="H165" s="195" t="s">
        <v>13</v>
      </c>
      <c r="I165" s="195"/>
      <c r="J165" s="195"/>
    </row>
    <row r="166" spans="1:10" ht="12.75" customHeight="1">
      <c r="A166" s="2" t="s">
        <v>14</v>
      </c>
      <c r="B166" s="2"/>
      <c r="C166" s="1" t="s">
        <v>15</v>
      </c>
      <c r="D166" s="1"/>
      <c r="E166" s="2"/>
      <c r="F166" s="3"/>
      <c r="G166" s="1" t="s">
        <v>16</v>
      </c>
      <c r="H166" s="209" t="s">
        <v>207</v>
      </c>
      <c r="I166" s="209"/>
      <c r="J166" s="209"/>
    </row>
    <row r="167" spans="1:10" ht="12.75" customHeight="1">
      <c r="A167" s="2">
        <v>30</v>
      </c>
      <c r="B167" s="2"/>
      <c r="C167" s="2">
        <f>A167-H167</f>
        <v>0</v>
      </c>
      <c r="D167" s="2"/>
      <c r="E167" s="2"/>
      <c r="F167" s="3"/>
      <c r="G167" s="8" t="s">
        <v>18</v>
      </c>
      <c r="H167" s="197">
        <v>30</v>
      </c>
      <c r="I167" s="197"/>
      <c r="J167" s="197"/>
    </row>
    <row r="168" spans="1:10" ht="12.75" customHeight="1">
      <c r="A168" s="198" t="s">
        <v>19</v>
      </c>
      <c r="B168" s="199"/>
      <c r="C168" s="200"/>
      <c r="D168" s="13" t="s">
        <v>20</v>
      </c>
      <c r="E168" s="14" t="s">
        <v>21</v>
      </c>
      <c r="F168" s="15"/>
      <c r="G168" s="16" t="s">
        <v>20</v>
      </c>
      <c r="H168" s="201" t="s">
        <v>22</v>
      </c>
      <c r="I168" s="202"/>
      <c r="J168" s="203"/>
    </row>
    <row r="169" spans="1:10" ht="12.75" customHeight="1">
      <c r="A169" s="17" t="s">
        <v>56</v>
      </c>
      <c r="B169" s="1"/>
      <c r="C169" s="1"/>
      <c r="D169" s="2">
        <v>55000</v>
      </c>
      <c r="E169" s="17" t="s">
        <v>24</v>
      </c>
      <c r="F169" s="1"/>
      <c r="G169" s="2" t="s">
        <v>25</v>
      </c>
      <c r="H169" s="18" t="s">
        <v>26</v>
      </c>
      <c r="I169" s="23"/>
      <c r="J169" s="24"/>
    </row>
    <row r="170" spans="1:10" ht="12.75" customHeight="1">
      <c r="A170" s="17" t="s">
        <v>57</v>
      </c>
      <c r="B170" s="209" t="s">
        <v>295</v>
      </c>
      <c r="C170" s="209"/>
      <c r="D170" s="2">
        <v>8252</v>
      </c>
      <c r="E170" s="17" t="s">
        <v>28</v>
      </c>
      <c r="F170" s="1"/>
      <c r="G170" s="2" t="s">
        <v>25</v>
      </c>
      <c r="H170" s="18" t="s">
        <v>29</v>
      </c>
      <c r="I170" s="23"/>
      <c r="J170" s="24"/>
    </row>
    <row r="171" spans="1:10" ht="12.75" customHeight="1">
      <c r="A171" s="17" t="s">
        <v>30</v>
      </c>
      <c r="B171" s="1"/>
      <c r="C171" s="1"/>
      <c r="D171" s="2">
        <v>17848</v>
      </c>
      <c r="E171" s="17" t="s">
        <v>58</v>
      </c>
      <c r="F171" s="1"/>
      <c r="G171" s="2" t="s">
        <v>25</v>
      </c>
      <c r="H171" s="18" t="s">
        <v>32</v>
      </c>
      <c r="I171" s="23"/>
      <c r="J171" s="24"/>
    </row>
    <row r="172" spans="1:10" ht="12.75" customHeight="1">
      <c r="A172" s="17" t="s">
        <v>72</v>
      </c>
      <c r="B172" s="6"/>
      <c r="C172" s="6"/>
      <c r="D172" s="2" t="s">
        <v>25</v>
      </c>
      <c r="E172" s="17" t="s">
        <v>35</v>
      </c>
      <c r="F172" s="1"/>
      <c r="G172" s="2" t="s">
        <v>25</v>
      </c>
      <c r="H172" s="18"/>
      <c r="I172" s="6"/>
      <c r="J172" s="19"/>
    </row>
    <row r="173" spans="1:10" ht="12.75" customHeight="1">
      <c r="A173" s="17" t="s">
        <v>147</v>
      </c>
      <c r="B173" s="1"/>
      <c r="C173" s="1"/>
      <c r="D173" s="2" t="s">
        <v>25</v>
      </c>
      <c r="E173" s="17" t="s">
        <v>37</v>
      </c>
      <c r="F173" s="1"/>
      <c r="G173" s="2" t="s">
        <v>25</v>
      </c>
      <c r="H173" s="18" t="s">
        <v>296</v>
      </c>
      <c r="I173" s="6"/>
      <c r="J173" s="19"/>
    </row>
    <row r="174" spans="1:10" ht="12.75" customHeight="1">
      <c r="A174" s="17" t="s">
        <v>136</v>
      </c>
      <c r="B174" s="1"/>
      <c r="C174" s="1"/>
      <c r="D174" s="2" t="s">
        <v>25</v>
      </c>
      <c r="E174" s="17" t="s">
        <v>39</v>
      </c>
      <c r="F174" s="1"/>
      <c r="G174" s="2">
        <v>100</v>
      </c>
      <c r="H174" s="18" t="s">
        <v>285</v>
      </c>
      <c r="I174" s="6"/>
      <c r="J174" s="19"/>
    </row>
    <row r="175" spans="1:10" ht="12.75" customHeight="1">
      <c r="A175" s="18" t="s">
        <v>40</v>
      </c>
      <c r="B175" s="6"/>
      <c r="C175" s="6"/>
      <c r="D175" s="2" t="s">
        <v>25</v>
      </c>
      <c r="E175" s="17" t="s">
        <v>161</v>
      </c>
      <c r="F175" s="2"/>
      <c r="G175" s="2" t="s">
        <v>25</v>
      </c>
      <c r="H175" s="18"/>
      <c r="I175" s="6"/>
      <c r="J175" s="19"/>
    </row>
    <row r="176" spans="1:10" ht="12.75" customHeight="1">
      <c r="A176" s="204" t="s">
        <v>63</v>
      </c>
      <c r="B176" s="205"/>
      <c r="C176" s="206"/>
      <c r="D176" s="229">
        <f>SUM(D169:D175)</f>
        <v>81100</v>
      </c>
      <c r="E176" s="1" t="s">
        <v>43</v>
      </c>
      <c r="F176" s="1"/>
      <c r="G176" s="2" t="s">
        <v>25</v>
      </c>
      <c r="H176" s="18"/>
      <c r="I176" s="6"/>
      <c r="J176" s="19"/>
    </row>
    <row r="177" spans="1:10" ht="12.75" customHeight="1">
      <c r="A177" s="207"/>
      <c r="B177" s="197"/>
      <c r="C177" s="208"/>
      <c r="D177" s="230"/>
      <c r="E177" s="21" t="s">
        <v>21</v>
      </c>
      <c r="F177" s="22"/>
      <c r="G177" s="13">
        <f>SUM(G169:G176)</f>
        <v>100</v>
      </c>
      <c r="H177" s="21" t="s">
        <v>44</v>
      </c>
      <c r="I177" s="22"/>
      <c r="J177" s="13">
        <f>D176-G177</f>
        <v>81000</v>
      </c>
    </row>
    <row r="178" spans="1:10" ht="12.75" customHeight="1">
      <c r="A178" s="3" t="s">
        <v>45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2.75" customHeight="1">
      <c r="A180" s="3"/>
      <c r="B180" s="3" t="s">
        <v>47</v>
      </c>
      <c r="C180" s="3"/>
      <c r="D180" s="3"/>
      <c r="E180" s="3" t="s">
        <v>48</v>
      </c>
      <c r="F180" s="3"/>
      <c r="G180" s="3"/>
      <c r="H180" s="3" t="s">
        <v>49</v>
      </c>
      <c r="I180" s="3"/>
      <c r="J180" s="3"/>
    </row>
    <row r="181" spans="1:10" ht="12.75" customHeight="1">
      <c r="A181" s="184" t="s">
        <v>0</v>
      </c>
      <c r="B181" s="185"/>
      <c r="C181" s="185"/>
      <c r="D181" s="185"/>
      <c r="E181" s="185"/>
      <c r="F181" s="185"/>
      <c r="G181" s="185"/>
      <c r="H181" s="185"/>
      <c r="I181" s="185"/>
      <c r="J181" s="186"/>
    </row>
    <row r="182" spans="1:10" ht="12.75" customHeight="1">
      <c r="A182" s="187" t="s">
        <v>1</v>
      </c>
      <c r="B182" s="188"/>
      <c r="C182" s="188"/>
      <c r="D182" s="188"/>
      <c r="E182" s="188"/>
      <c r="F182" s="188"/>
      <c r="G182" s="188"/>
      <c r="H182" s="188"/>
      <c r="I182" s="188"/>
      <c r="J182" s="189"/>
    </row>
    <row r="183" spans="1:10" ht="12.75" customHeight="1">
      <c r="A183" s="1" t="s">
        <v>2</v>
      </c>
      <c r="B183" s="1"/>
      <c r="C183" s="190" t="s">
        <v>293</v>
      </c>
      <c r="D183" s="190"/>
      <c r="E183" s="2"/>
      <c r="F183" s="3"/>
      <c r="G183" s="1" t="s">
        <v>4</v>
      </c>
      <c r="H183" s="191" t="s">
        <v>143</v>
      </c>
      <c r="I183" s="191"/>
      <c r="J183" s="191"/>
    </row>
    <row r="184" spans="1:10" ht="12.75" customHeight="1">
      <c r="A184" s="1" t="s">
        <v>6</v>
      </c>
      <c r="B184" s="1"/>
      <c r="C184" s="25" t="s">
        <v>297</v>
      </c>
      <c r="D184" s="25"/>
      <c r="E184" s="2"/>
      <c r="F184" s="3"/>
      <c r="G184" s="1" t="s">
        <v>8</v>
      </c>
      <c r="H184" s="193" t="s">
        <v>9</v>
      </c>
      <c r="I184" s="193"/>
      <c r="J184" s="193"/>
    </row>
    <row r="185" spans="1:10" ht="12.75" customHeight="1">
      <c r="A185" s="6" t="s">
        <v>10</v>
      </c>
      <c r="B185" s="6"/>
      <c r="C185" s="194" t="s">
        <v>261</v>
      </c>
      <c r="D185" s="194"/>
      <c r="E185" s="2"/>
      <c r="F185" s="3"/>
      <c r="G185" s="1" t="s">
        <v>12</v>
      </c>
      <c r="H185" s="195" t="s">
        <v>13</v>
      </c>
      <c r="I185" s="195"/>
      <c r="J185" s="195"/>
    </row>
    <row r="186" spans="1:10" ht="12.75" customHeight="1">
      <c r="A186" s="2" t="s">
        <v>14</v>
      </c>
      <c r="B186" s="2"/>
      <c r="C186" s="1" t="s">
        <v>15</v>
      </c>
      <c r="D186" s="1"/>
      <c r="E186" s="2"/>
      <c r="F186" s="3"/>
      <c r="G186" s="1" t="s">
        <v>16</v>
      </c>
      <c r="H186" s="209" t="s">
        <v>289</v>
      </c>
      <c r="I186" s="209"/>
      <c r="J186" s="209"/>
    </row>
    <row r="187" spans="1:10" ht="12.75" customHeight="1">
      <c r="A187" s="2">
        <v>30</v>
      </c>
      <c r="B187" s="2"/>
      <c r="C187" s="2">
        <f>A187-H187</f>
        <v>10</v>
      </c>
      <c r="D187" s="2"/>
      <c r="E187" s="2"/>
      <c r="F187" s="3"/>
      <c r="G187" s="8" t="s">
        <v>18</v>
      </c>
      <c r="H187" s="197">
        <v>20</v>
      </c>
      <c r="I187" s="197"/>
      <c r="J187" s="197"/>
    </row>
    <row r="188" spans="1:10" ht="12.75" customHeight="1">
      <c r="A188" s="198" t="s">
        <v>19</v>
      </c>
      <c r="B188" s="199"/>
      <c r="C188" s="200"/>
      <c r="D188" s="13" t="s">
        <v>20</v>
      </c>
      <c r="E188" s="14" t="s">
        <v>21</v>
      </c>
      <c r="F188" s="15"/>
      <c r="G188" s="16" t="s">
        <v>20</v>
      </c>
      <c r="H188" s="201" t="s">
        <v>22</v>
      </c>
      <c r="I188" s="202"/>
      <c r="J188" s="203"/>
    </row>
    <row r="189" spans="1:10" ht="12.75" customHeight="1">
      <c r="A189" s="17" t="s">
        <v>56</v>
      </c>
      <c r="B189" s="1"/>
      <c r="C189" s="1"/>
      <c r="D189" s="2">
        <v>60000</v>
      </c>
      <c r="E189" s="17" t="s">
        <v>24</v>
      </c>
      <c r="F189" s="1"/>
      <c r="G189" s="2" t="s">
        <v>25</v>
      </c>
      <c r="H189" s="18" t="s">
        <v>298</v>
      </c>
      <c r="I189" s="6"/>
      <c r="J189" s="19"/>
    </row>
    <row r="190" spans="1:10" ht="12.75" customHeight="1">
      <c r="A190" s="17" t="s">
        <v>57</v>
      </c>
      <c r="B190" s="209"/>
      <c r="C190" s="209"/>
      <c r="D190" s="2" t="s">
        <v>25</v>
      </c>
      <c r="E190" s="17" t="s">
        <v>28</v>
      </c>
      <c r="F190" s="1"/>
      <c r="G190" s="2" t="s">
        <v>25</v>
      </c>
      <c r="H190" s="18" t="s">
        <v>299</v>
      </c>
      <c r="I190" s="6"/>
      <c r="J190" s="19"/>
    </row>
    <row r="191" spans="1:10" ht="12.75" customHeight="1">
      <c r="A191" s="17" t="s">
        <v>30</v>
      </c>
      <c r="B191" s="1"/>
      <c r="C191" s="1"/>
      <c r="D191" s="2">
        <v>10100</v>
      </c>
      <c r="E191" s="17" t="s">
        <v>58</v>
      </c>
      <c r="F191" s="1"/>
      <c r="G191" s="2" t="s">
        <v>25</v>
      </c>
      <c r="H191" s="18" t="s">
        <v>32</v>
      </c>
      <c r="I191" s="6"/>
      <c r="J191" s="19"/>
    </row>
    <row r="192" spans="1:10" ht="12.75" customHeight="1">
      <c r="A192" s="17" t="s">
        <v>72</v>
      </c>
      <c r="B192" s="6"/>
      <c r="C192" s="6"/>
      <c r="D192" s="2" t="s">
        <v>25</v>
      </c>
      <c r="E192" s="17" t="s">
        <v>35</v>
      </c>
      <c r="F192" s="1"/>
      <c r="G192" s="2">
        <v>20000</v>
      </c>
      <c r="H192" s="18"/>
      <c r="I192" s="6"/>
      <c r="J192" s="19"/>
    </row>
    <row r="193" spans="1:10" ht="12.75" customHeight="1">
      <c r="A193" s="17" t="s">
        <v>147</v>
      </c>
      <c r="B193" s="1"/>
      <c r="C193" s="1"/>
      <c r="D193" s="2" t="s">
        <v>25</v>
      </c>
      <c r="E193" s="17" t="s">
        <v>37</v>
      </c>
      <c r="F193" s="1"/>
      <c r="G193" s="2" t="s">
        <v>25</v>
      </c>
      <c r="H193" s="18"/>
      <c r="I193" s="6"/>
      <c r="J193" s="19"/>
    </row>
    <row r="194" spans="1:10" ht="12.75" customHeight="1">
      <c r="A194" s="17" t="s">
        <v>136</v>
      </c>
      <c r="B194" s="1"/>
      <c r="C194" s="1"/>
      <c r="D194" s="2" t="s">
        <v>25</v>
      </c>
      <c r="E194" s="17" t="s">
        <v>39</v>
      </c>
      <c r="F194" s="1"/>
      <c r="G194" s="2">
        <v>100</v>
      </c>
      <c r="H194" s="18"/>
      <c r="I194" s="6"/>
      <c r="J194" s="19"/>
    </row>
    <row r="195" spans="1:10" ht="12.75" customHeight="1">
      <c r="A195" s="18" t="s">
        <v>40</v>
      </c>
      <c r="B195" s="6"/>
      <c r="C195" s="6"/>
      <c r="D195" s="2" t="s">
        <v>25</v>
      </c>
      <c r="E195" s="17" t="s">
        <v>161</v>
      </c>
      <c r="F195" s="2"/>
      <c r="G195" s="2" t="s">
        <v>25</v>
      </c>
      <c r="H195" s="18"/>
      <c r="I195" s="6"/>
      <c r="J195" s="19"/>
    </row>
    <row r="196" spans="1:10" ht="12.75" customHeight="1">
      <c r="A196" s="204" t="s">
        <v>63</v>
      </c>
      <c r="B196" s="205"/>
      <c r="C196" s="206"/>
      <c r="D196" s="229">
        <f>SUM(D189:D195)</f>
        <v>70100</v>
      </c>
      <c r="E196" s="1" t="s">
        <v>43</v>
      </c>
      <c r="F196" s="1"/>
      <c r="G196" s="2" t="s">
        <v>25</v>
      </c>
      <c r="H196" s="18"/>
      <c r="I196" s="6"/>
      <c r="J196" s="19"/>
    </row>
    <row r="197" spans="1:10" ht="12.75" customHeight="1">
      <c r="A197" s="207"/>
      <c r="B197" s="197"/>
      <c r="C197" s="208"/>
      <c r="D197" s="230"/>
      <c r="E197" s="21" t="s">
        <v>21</v>
      </c>
      <c r="F197" s="22"/>
      <c r="G197" s="13">
        <f>SUM(G189:G196)</f>
        <v>20100</v>
      </c>
      <c r="H197" s="21" t="s">
        <v>44</v>
      </c>
      <c r="I197" s="22"/>
      <c r="J197" s="13">
        <f>D196-G197</f>
        <v>50000</v>
      </c>
    </row>
    <row r="198" spans="1:10" ht="12.75" customHeight="1">
      <c r="A198" s="3" t="s">
        <v>45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2.75" customHeight="1">
      <c r="A200" s="3"/>
      <c r="B200" s="3" t="s">
        <v>47</v>
      </c>
      <c r="C200" s="3"/>
      <c r="D200" s="3"/>
      <c r="E200" s="3" t="s">
        <v>48</v>
      </c>
      <c r="F200" s="3"/>
      <c r="G200" s="3"/>
      <c r="H200" s="3" t="s">
        <v>49</v>
      </c>
      <c r="I200" s="3"/>
      <c r="J200" s="3"/>
    </row>
    <row r="201" spans="1:10" ht="12.75" customHeight="1">
      <c r="A201" s="184" t="s">
        <v>0</v>
      </c>
      <c r="B201" s="185"/>
      <c r="C201" s="185"/>
      <c r="D201" s="185"/>
      <c r="E201" s="185"/>
      <c r="F201" s="185"/>
      <c r="G201" s="185"/>
      <c r="H201" s="185"/>
      <c r="I201" s="185"/>
      <c r="J201" s="186"/>
    </row>
    <row r="202" spans="1:10" ht="12.75" customHeight="1">
      <c r="A202" s="187" t="s">
        <v>1</v>
      </c>
      <c r="B202" s="188"/>
      <c r="C202" s="188"/>
      <c r="D202" s="188"/>
      <c r="E202" s="188"/>
      <c r="F202" s="188"/>
      <c r="G202" s="188"/>
      <c r="H202" s="188"/>
      <c r="I202" s="188"/>
      <c r="J202" s="189"/>
    </row>
    <row r="203" spans="1:10" ht="12.75" customHeight="1">
      <c r="A203" s="1" t="s">
        <v>2</v>
      </c>
      <c r="B203" s="1"/>
      <c r="C203" s="194"/>
      <c r="D203" s="194"/>
      <c r="E203" s="2"/>
      <c r="F203" s="3"/>
      <c r="G203" s="1" t="s">
        <v>4</v>
      </c>
      <c r="H203" s="191" t="s">
        <v>143</v>
      </c>
      <c r="I203" s="191"/>
      <c r="J203" s="191"/>
    </row>
    <row r="204" spans="1:10" ht="12.75" customHeight="1">
      <c r="A204" s="1" t="s">
        <v>6</v>
      </c>
      <c r="B204" s="1"/>
      <c r="C204" s="192" t="s">
        <v>300</v>
      </c>
      <c r="D204" s="192"/>
      <c r="E204" s="2"/>
      <c r="F204" s="3"/>
      <c r="G204" s="1" t="s">
        <v>8</v>
      </c>
      <c r="H204" s="193" t="s">
        <v>9</v>
      </c>
      <c r="I204" s="193"/>
      <c r="J204" s="193"/>
    </row>
    <row r="205" spans="1:10" ht="12.75" customHeight="1">
      <c r="A205" s="6" t="s">
        <v>10</v>
      </c>
      <c r="B205" s="6"/>
      <c r="C205" s="194" t="s">
        <v>139</v>
      </c>
      <c r="D205" s="194"/>
      <c r="E205" s="2"/>
      <c r="F205" s="3"/>
      <c r="G205" s="1" t="s">
        <v>12</v>
      </c>
      <c r="H205" s="195" t="s">
        <v>13</v>
      </c>
      <c r="I205" s="195"/>
      <c r="J205" s="195"/>
    </row>
    <row r="206" spans="1:10" ht="12.75" customHeight="1">
      <c r="A206" s="2" t="s">
        <v>14</v>
      </c>
      <c r="B206" s="2"/>
      <c r="C206" s="1" t="s">
        <v>15</v>
      </c>
      <c r="D206" s="1"/>
      <c r="E206" s="2"/>
      <c r="F206" s="3"/>
      <c r="G206" s="1" t="s">
        <v>16</v>
      </c>
      <c r="H206" s="209" t="s">
        <v>68</v>
      </c>
      <c r="I206" s="209"/>
      <c r="J206" s="209"/>
    </row>
    <row r="207" spans="1:10" ht="12.75" customHeight="1">
      <c r="A207" s="2">
        <v>30</v>
      </c>
      <c r="B207" s="2"/>
      <c r="C207" s="2">
        <f>A207-H207</f>
        <v>1</v>
      </c>
      <c r="D207" s="2"/>
      <c r="E207" s="2"/>
      <c r="F207" s="3"/>
      <c r="G207" s="8" t="s">
        <v>18</v>
      </c>
      <c r="H207" s="197">
        <v>29</v>
      </c>
      <c r="I207" s="197"/>
      <c r="J207" s="197"/>
    </row>
    <row r="208" spans="1:10" ht="12.75" customHeight="1">
      <c r="A208" s="198" t="s">
        <v>19</v>
      </c>
      <c r="B208" s="199"/>
      <c r="C208" s="200"/>
      <c r="D208" s="13" t="s">
        <v>20</v>
      </c>
      <c r="E208" s="14" t="s">
        <v>21</v>
      </c>
      <c r="F208" s="15"/>
      <c r="G208" s="16" t="s">
        <v>20</v>
      </c>
      <c r="H208" s="201" t="s">
        <v>22</v>
      </c>
      <c r="I208" s="202"/>
      <c r="J208" s="203"/>
    </row>
    <row r="209" spans="1:10" ht="12.75" customHeight="1">
      <c r="A209" s="17" t="s">
        <v>56</v>
      </c>
      <c r="B209" s="1"/>
      <c r="C209" s="1"/>
      <c r="D209" s="2">
        <v>50000</v>
      </c>
      <c r="E209" s="17" t="s">
        <v>24</v>
      </c>
      <c r="F209" s="1"/>
      <c r="G209" s="2" t="s">
        <v>25</v>
      </c>
      <c r="H209" s="18" t="s">
        <v>26</v>
      </c>
      <c r="I209" s="23"/>
      <c r="J209" s="24"/>
    </row>
    <row r="210" spans="1:10" ht="12.75" customHeight="1">
      <c r="A210" s="17" t="s">
        <v>77</v>
      </c>
      <c r="B210" s="209"/>
      <c r="C210" s="209"/>
      <c r="D210" s="2" t="s">
        <v>25</v>
      </c>
      <c r="E210" s="17" t="s">
        <v>28</v>
      </c>
      <c r="F210" s="1"/>
      <c r="G210" s="2" t="s">
        <v>25</v>
      </c>
      <c r="H210" s="18" t="s">
        <v>29</v>
      </c>
      <c r="I210" s="23"/>
      <c r="J210" s="24"/>
    </row>
    <row r="211" spans="1:10" ht="12.75" customHeight="1">
      <c r="A211" s="17" t="s">
        <v>30</v>
      </c>
      <c r="B211" s="1"/>
      <c r="C211" s="1"/>
      <c r="D211" s="2">
        <v>4767</v>
      </c>
      <c r="E211" s="17" t="s">
        <v>58</v>
      </c>
      <c r="F211" s="1"/>
      <c r="G211" s="2" t="s">
        <v>25</v>
      </c>
      <c r="H211" s="18" t="s">
        <v>32</v>
      </c>
      <c r="I211" s="23"/>
      <c r="J211" s="24"/>
    </row>
    <row r="212" spans="1:10" ht="12.75" customHeight="1">
      <c r="A212" s="17" t="s">
        <v>34</v>
      </c>
      <c r="B212" s="1"/>
      <c r="C212" s="1"/>
      <c r="D212" s="2" t="s">
        <v>25</v>
      </c>
      <c r="E212" s="17" t="s">
        <v>35</v>
      </c>
      <c r="F212" s="1"/>
      <c r="G212" s="2">
        <v>1667</v>
      </c>
      <c r="H212" s="18"/>
      <c r="I212" s="6"/>
      <c r="J212" s="19"/>
    </row>
    <row r="213" spans="1:10" ht="12.75" customHeight="1">
      <c r="A213" s="17" t="s">
        <v>168</v>
      </c>
      <c r="B213" s="1"/>
      <c r="C213" s="1"/>
      <c r="D213" s="2">
        <v>7000</v>
      </c>
      <c r="E213" s="17" t="s">
        <v>37</v>
      </c>
      <c r="F213" s="1"/>
      <c r="G213" s="2" t="s">
        <v>25</v>
      </c>
      <c r="H213" s="18"/>
      <c r="I213" s="6"/>
      <c r="J213" s="40"/>
    </row>
    <row r="214" spans="1:10" ht="12.75" customHeight="1">
      <c r="A214" s="17" t="s">
        <v>136</v>
      </c>
      <c r="B214" s="1"/>
      <c r="C214" s="1"/>
      <c r="D214" s="2" t="s">
        <v>25</v>
      </c>
      <c r="E214" s="17" t="s">
        <v>39</v>
      </c>
      <c r="F214" s="1"/>
      <c r="G214" s="2">
        <v>100</v>
      </c>
      <c r="H214" s="153"/>
      <c r="I214" s="6"/>
      <c r="J214" s="40"/>
    </row>
    <row r="215" spans="1:10" ht="12.75" customHeight="1">
      <c r="A215" s="18" t="s">
        <v>40</v>
      </c>
      <c r="B215" s="6"/>
      <c r="C215" s="6"/>
      <c r="D215" s="2" t="s">
        <v>25</v>
      </c>
      <c r="E215" s="17" t="s">
        <v>161</v>
      </c>
      <c r="F215" s="2"/>
      <c r="G215" s="2" t="s">
        <v>25</v>
      </c>
      <c r="H215" s="18"/>
      <c r="I215" s="6"/>
      <c r="J215" s="40"/>
    </row>
    <row r="216" spans="1:10" ht="12.75" customHeight="1">
      <c r="A216" s="204" t="s">
        <v>63</v>
      </c>
      <c r="B216" s="205"/>
      <c r="C216" s="206"/>
      <c r="D216" s="229">
        <f>SUM(D209:D215)</f>
        <v>61767</v>
      </c>
      <c r="E216" s="1" t="s">
        <v>43</v>
      </c>
      <c r="F216" s="1"/>
      <c r="G216" s="2" t="s">
        <v>25</v>
      </c>
      <c r="H216" s="18"/>
      <c r="I216" s="6"/>
      <c r="J216" s="40"/>
    </row>
    <row r="217" spans="1:10" ht="12.75" customHeight="1">
      <c r="A217" s="207"/>
      <c r="B217" s="197"/>
      <c r="C217" s="208"/>
      <c r="D217" s="230"/>
      <c r="E217" s="21" t="s">
        <v>21</v>
      </c>
      <c r="F217" s="22"/>
      <c r="G217" s="13">
        <f>SUM(G209:G216)</f>
        <v>1767</v>
      </c>
      <c r="H217" s="21" t="s">
        <v>44</v>
      </c>
      <c r="I217" s="22"/>
      <c r="J217" s="13">
        <f>D216-G217</f>
        <v>60000</v>
      </c>
    </row>
    <row r="218" spans="1:10" ht="12.75" customHeight="1">
      <c r="A218" s="3" t="s">
        <v>45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2.75" customHeight="1">
      <c r="A220" s="3"/>
      <c r="B220" s="3" t="s">
        <v>47</v>
      </c>
      <c r="C220" s="3"/>
      <c r="D220" s="3"/>
      <c r="E220" s="3" t="s">
        <v>48</v>
      </c>
      <c r="F220" s="3"/>
      <c r="G220" s="3"/>
      <c r="H220" s="3" t="s">
        <v>49</v>
      </c>
      <c r="I220" s="3"/>
      <c r="J220" s="3"/>
    </row>
    <row r="221" spans="1:10" ht="12.75" customHeight="1">
      <c r="A221" s="184" t="s">
        <v>0</v>
      </c>
      <c r="B221" s="185"/>
      <c r="C221" s="185"/>
      <c r="D221" s="185"/>
      <c r="E221" s="185"/>
      <c r="F221" s="185"/>
      <c r="G221" s="185"/>
      <c r="H221" s="185"/>
      <c r="I221" s="185"/>
      <c r="J221" s="186"/>
    </row>
    <row r="222" spans="1:10" ht="12.75" customHeight="1">
      <c r="A222" s="187" t="s">
        <v>1</v>
      </c>
      <c r="B222" s="188"/>
      <c r="C222" s="188"/>
      <c r="D222" s="188"/>
      <c r="E222" s="188"/>
      <c r="F222" s="188"/>
      <c r="G222" s="188"/>
      <c r="H222" s="188"/>
      <c r="I222" s="188"/>
      <c r="J222" s="189"/>
    </row>
    <row r="223" spans="1:10" ht="12.75" customHeight="1">
      <c r="A223" s="1" t="s">
        <v>2</v>
      </c>
      <c r="B223" s="1"/>
      <c r="C223" s="209" t="s">
        <v>301</v>
      </c>
      <c r="D223" s="209"/>
      <c r="E223" s="2"/>
      <c r="F223" s="3"/>
      <c r="G223" s="1" t="s">
        <v>4</v>
      </c>
      <c r="H223" s="209" t="s">
        <v>182</v>
      </c>
      <c r="I223" s="209"/>
      <c r="J223" s="209"/>
    </row>
    <row r="224" spans="1:10" ht="12.75" customHeight="1">
      <c r="A224" s="1" t="s">
        <v>6</v>
      </c>
      <c r="B224" s="1"/>
      <c r="C224" s="25" t="s">
        <v>302</v>
      </c>
      <c r="D224" s="25"/>
      <c r="E224" s="2"/>
      <c r="F224" s="3"/>
      <c r="G224" s="1" t="s">
        <v>8</v>
      </c>
      <c r="H224" s="193" t="s">
        <v>9</v>
      </c>
      <c r="I224" s="193"/>
      <c r="J224" s="193"/>
    </row>
    <row r="225" spans="1:10" ht="12.75" customHeight="1">
      <c r="A225" s="6" t="s">
        <v>10</v>
      </c>
      <c r="B225" s="6"/>
      <c r="C225" s="194" t="s">
        <v>271</v>
      </c>
      <c r="D225" s="194"/>
      <c r="E225" s="2"/>
      <c r="F225" s="3"/>
      <c r="G225" s="1" t="s">
        <v>12</v>
      </c>
      <c r="H225" s="195" t="s">
        <v>13</v>
      </c>
      <c r="I225" s="195"/>
      <c r="J225" s="195"/>
    </row>
    <row r="226" spans="1:10" ht="12.75" customHeight="1">
      <c r="A226" s="2" t="s">
        <v>14</v>
      </c>
      <c r="B226" s="2"/>
      <c r="C226" s="1" t="s">
        <v>15</v>
      </c>
      <c r="D226" s="1"/>
      <c r="E226" s="2"/>
      <c r="F226" s="3"/>
      <c r="G226" s="1" t="s">
        <v>16</v>
      </c>
      <c r="H226" s="196" t="s">
        <v>119</v>
      </c>
      <c r="I226" s="196"/>
      <c r="J226" s="196"/>
    </row>
    <row r="227" spans="1:10" ht="12.75" customHeight="1">
      <c r="A227" s="2">
        <v>30</v>
      </c>
      <c r="B227" s="2"/>
      <c r="C227" s="2">
        <f>A227-H227</f>
        <v>0</v>
      </c>
      <c r="D227" s="2"/>
      <c r="E227" s="2"/>
      <c r="F227" s="3"/>
      <c r="G227" s="8" t="s">
        <v>18</v>
      </c>
      <c r="H227" s="197">
        <v>30</v>
      </c>
      <c r="I227" s="197"/>
      <c r="J227" s="197"/>
    </row>
    <row r="228" spans="1:10" ht="12.75" customHeight="1">
      <c r="A228" s="198" t="s">
        <v>19</v>
      </c>
      <c r="B228" s="199"/>
      <c r="C228" s="200"/>
      <c r="D228" s="13" t="s">
        <v>20</v>
      </c>
      <c r="E228" s="14" t="s">
        <v>21</v>
      </c>
      <c r="F228" s="15"/>
      <c r="G228" s="16" t="s">
        <v>20</v>
      </c>
      <c r="H228" s="201" t="s">
        <v>22</v>
      </c>
      <c r="I228" s="202"/>
      <c r="J228" s="203"/>
    </row>
    <row r="229" spans="1:10" ht="12.75" customHeight="1">
      <c r="A229" s="17" t="s">
        <v>56</v>
      </c>
      <c r="B229" s="1"/>
      <c r="C229" s="1"/>
      <c r="D229" s="2">
        <v>130000</v>
      </c>
      <c r="E229" s="17" t="s">
        <v>24</v>
      </c>
      <c r="F229" s="1"/>
      <c r="G229" s="2" t="s">
        <v>25</v>
      </c>
      <c r="H229" s="18" t="s">
        <v>26</v>
      </c>
      <c r="I229" s="23"/>
      <c r="J229" s="24"/>
    </row>
    <row r="230" spans="1:10" ht="12.75" customHeight="1">
      <c r="A230" s="17" t="s">
        <v>57</v>
      </c>
      <c r="B230" s="209"/>
      <c r="C230" s="209"/>
      <c r="D230" s="2" t="s">
        <v>25</v>
      </c>
      <c r="E230" s="17" t="s">
        <v>28</v>
      </c>
      <c r="F230" s="1"/>
      <c r="G230" s="2" t="s">
        <v>25</v>
      </c>
      <c r="H230" s="18" t="s">
        <v>29</v>
      </c>
      <c r="I230" s="23"/>
      <c r="J230" s="24"/>
    </row>
    <row r="231" spans="1:10" ht="12.75" customHeight="1">
      <c r="A231" s="17" t="s">
        <v>30</v>
      </c>
      <c r="B231" s="1"/>
      <c r="C231" s="1"/>
      <c r="D231" s="2">
        <v>30100</v>
      </c>
      <c r="E231" s="17" t="s">
        <v>40</v>
      </c>
      <c r="F231" s="1"/>
      <c r="G231" s="2" t="s">
        <v>25</v>
      </c>
      <c r="H231" s="18" t="s">
        <v>32</v>
      </c>
      <c r="I231" s="23"/>
      <c r="J231" s="24"/>
    </row>
    <row r="232" spans="1:10" ht="12.75" customHeight="1">
      <c r="A232" s="17" t="s">
        <v>27</v>
      </c>
      <c r="B232" s="1"/>
      <c r="C232" s="1"/>
      <c r="D232" s="2" t="s">
        <v>25</v>
      </c>
      <c r="E232" s="17" t="s">
        <v>35</v>
      </c>
      <c r="F232" s="1"/>
      <c r="G232" s="2" t="s">
        <v>25</v>
      </c>
      <c r="H232" s="18"/>
      <c r="I232" s="6"/>
      <c r="J232" s="19"/>
    </row>
    <row r="233" spans="1:10" ht="12.75" customHeight="1">
      <c r="A233" s="17" t="s">
        <v>109</v>
      </c>
      <c r="B233" s="209"/>
      <c r="C233" s="209"/>
      <c r="D233" s="2" t="s">
        <v>25</v>
      </c>
      <c r="E233" s="17" t="s">
        <v>37</v>
      </c>
      <c r="F233" s="2"/>
      <c r="G233" s="2" t="s">
        <v>25</v>
      </c>
      <c r="H233" s="18"/>
      <c r="I233" s="6"/>
      <c r="J233" s="19"/>
    </row>
    <row r="234" spans="1:10" ht="12.75" customHeight="1">
      <c r="A234" s="17" t="s">
        <v>136</v>
      </c>
      <c r="B234" s="1"/>
      <c r="C234" s="1"/>
      <c r="D234" s="2" t="s">
        <v>25</v>
      </c>
      <c r="E234" s="17" t="s">
        <v>39</v>
      </c>
      <c r="F234" s="1"/>
      <c r="G234" s="2">
        <v>100</v>
      </c>
      <c r="H234" s="18"/>
      <c r="I234" s="6"/>
      <c r="J234" s="19"/>
    </row>
    <row r="235" spans="1:10" ht="12.75" customHeight="1">
      <c r="A235" s="18" t="s">
        <v>40</v>
      </c>
      <c r="B235" s="6"/>
      <c r="C235" s="6"/>
      <c r="D235" s="2" t="s">
        <v>25</v>
      </c>
      <c r="E235" s="17" t="s">
        <v>78</v>
      </c>
      <c r="F235" s="1"/>
      <c r="G235" s="2" t="s">
        <v>25</v>
      </c>
      <c r="H235" s="18"/>
      <c r="I235" s="6"/>
      <c r="J235" s="19"/>
    </row>
    <row r="236" spans="1:10" ht="12.75" customHeight="1">
      <c r="A236" s="204" t="s">
        <v>63</v>
      </c>
      <c r="B236" s="205"/>
      <c r="C236" s="206"/>
      <c r="D236" s="229">
        <f>SUM(D229:D235)</f>
        <v>160100</v>
      </c>
      <c r="E236" s="1" t="s">
        <v>43</v>
      </c>
      <c r="F236" s="1"/>
      <c r="G236" s="2" t="s">
        <v>25</v>
      </c>
      <c r="H236" s="18"/>
      <c r="I236" s="6"/>
      <c r="J236" s="19"/>
    </row>
    <row r="237" spans="1:10" ht="12.75" customHeight="1">
      <c r="A237" s="207"/>
      <c r="B237" s="197"/>
      <c r="C237" s="208"/>
      <c r="D237" s="230"/>
      <c r="E237" s="21" t="s">
        <v>21</v>
      </c>
      <c r="F237" s="22"/>
      <c r="G237" s="13">
        <f>SUM(G229:G236)</f>
        <v>100</v>
      </c>
      <c r="H237" s="21" t="s">
        <v>44</v>
      </c>
      <c r="I237" s="22"/>
      <c r="J237" s="13">
        <f>D236-G237</f>
        <v>160000</v>
      </c>
    </row>
    <row r="238" spans="1:10" ht="12.75" customHeight="1">
      <c r="A238" s="3" t="s">
        <v>45</v>
      </c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2.75" customHeight="1">
      <c r="A240" s="3"/>
      <c r="B240" s="3" t="s">
        <v>47</v>
      </c>
      <c r="C240" s="3"/>
      <c r="D240" s="3"/>
      <c r="E240" s="3" t="s">
        <v>48</v>
      </c>
      <c r="F240" s="3"/>
      <c r="G240" s="3"/>
      <c r="H240" s="3" t="s">
        <v>49</v>
      </c>
      <c r="I240" s="3"/>
      <c r="J240" s="3"/>
    </row>
    <row r="241" spans="1:10" ht="12.75" customHeight="1">
      <c r="A241" s="184" t="s">
        <v>0</v>
      </c>
      <c r="B241" s="185"/>
      <c r="C241" s="185"/>
      <c r="D241" s="185"/>
      <c r="E241" s="185"/>
      <c r="F241" s="185"/>
      <c r="G241" s="185"/>
      <c r="H241" s="185"/>
      <c r="I241" s="185"/>
      <c r="J241" s="186"/>
    </row>
    <row r="242" spans="1:10" ht="12.75" customHeight="1">
      <c r="A242" s="187" t="s">
        <v>1</v>
      </c>
      <c r="B242" s="188"/>
      <c r="C242" s="188"/>
      <c r="D242" s="188"/>
      <c r="E242" s="188"/>
      <c r="F242" s="188"/>
      <c r="G242" s="188"/>
      <c r="H242" s="188"/>
      <c r="I242" s="188"/>
      <c r="J242" s="189"/>
    </row>
    <row r="243" spans="1:10" ht="12.75" customHeight="1">
      <c r="A243" s="1" t="s">
        <v>2</v>
      </c>
      <c r="B243" s="1"/>
      <c r="C243" s="190" t="s">
        <v>245</v>
      </c>
      <c r="D243" s="190"/>
      <c r="E243" s="2"/>
      <c r="F243" s="3"/>
      <c r="G243" s="1" t="s">
        <v>4</v>
      </c>
      <c r="H243" s="209" t="s">
        <v>182</v>
      </c>
      <c r="I243" s="209"/>
      <c r="J243" s="209"/>
    </row>
    <row r="244" spans="1:10" ht="12.75" customHeight="1">
      <c r="A244" s="1" t="s">
        <v>6</v>
      </c>
      <c r="B244" s="1"/>
      <c r="C244" s="25" t="s">
        <v>303</v>
      </c>
      <c r="D244" s="25"/>
      <c r="E244" s="2"/>
      <c r="F244" s="3"/>
      <c r="G244" s="1" t="s">
        <v>8</v>
      </c>
      <c r="H244" s="193" t="s">
        <v>9</v>
      </c>
      <c r="I244" s="193"/>
      <c r="J244" s="193"/>
    </row>
    <row r="245" spans="1:10" ht="12.75" customHeight="1">
      <c r="A245" s="6" t="s">
        <v>10</v>
      </c>
      <c r="B245" s="6"/>
      <c r="C245" s="194" t="s">
        <v>271</v>
      </c>
      <c r="D245" s="194"/>
      <c r="E245" s="2"/>
      <c r="F245" s="3"/>
      <c r="G245" s="1" t="s">
        <v>12</v>
      </c>
      <c r="H245" s="195" t="s">
        <v>13</v>
      </c>
      <c r="I245" s="195"/>
      <c r="J245" s="195"/>
    </row>
    <row r="246" spans="1:10" ht="12.75" customHeight="1">
      <c r="A246" s="2" t="s">
        <v>14</v>
      </c>
      <c r="B246" s="2"/>
      <c r="C246" s="1" t="s">
        <v>15</v>
      </c>
      <c r="D246" s="1"/>
      <c r="E246" s="2"/>
      <c r="F246" s="3"/>
      <c r="G246" s="1" t="s">
        <v>16</v>
      </c>
      <c r="H246" s="209" t="s">
        <v>185</v>
      </c>
      <c r="I246" s="209"/>
      <c r="J246" s="209"/>
    </row>
    <row r="247" spans="1:10" ht="12.75" customHeight="1">
      <c r="A247" s="2">
        <v>30</v>
      </c>
      <c r="B247" s="2"/>
      <c r="C247" s="2">
        <f>A247-H247</f>
        <v>0</v>
      </c>
      <c r="D247" s="2"/>
      <c r="E247" s="2"/>
      <c r="F247" s="3"/>
      <c r="G247" s="8" t="s">
        <v>18</v>
      </c>
      <c r="H247" s="197">
        <v>30</v>
      </c>
      <c r="I247" s="197"/>
      <c r="J247" s="197"/>
    </row>
    <row r="248" spans="1:10" ht="12.75" customHeight="1">
      <c r="A248" s="198" t="s">
        <v>19</v>
      </c>
      <c r="B248" s="199"/>
      <c r="C248" s="200"/>
      <c r="D248" s="13" t="s">
        <v>20</v>
      </c>
      <c r="E248" s="14" t="s">
        <v>21</v>
      </c>
      <c r="F248" s="15"/>
      <c r="G248" s="16" t="s">
        <v>20</v>
      </c>
      <c r="H248" s="201" t="s">
        <v>22</v>
      </c>
      <c r="I248" s="202"/>
      <c r="J248" s="203"/>
    </row>
    <row r="249" spans="1:10" ht="12.75" customHeight="1">
      <c r="A249" s="17" t="s">
        <v>56</v>
      </c>
      <c r="B249" s="1"/>
      <c r="C249" s="1"/>
      <c r="D249" s="2">
        <v>100000</v>
      </c>
      <c r="E249" s="17" t="s">
        <v>24</v>
      </c>
      <c r="F249" s="1"/>
      <c r="G249" s="2" t="s">
        <v>25</v>
      </c>
      <c r="H249" s="18" t="s">
        <v>26</v>
      </c>
      <c r="I249" s="6"/>
      <c r="J249" s="19"/>
    </row>
    <row r="250" spans="1:10" ht="12.75" customHeight="1">
      <c r="A250" s="17" t="s">
        <v>247</v>
      </c>
      <c r="B250" s="209"/>
      <c r="C250" s="209"/>
      <c r="D250" s="2" t="s">
        <v>25</v>
      </c>
      <c r="E250" s="17" t="s">
        <v>249</v>
      </c>
      <c r="F250" s="1"/>
      <c r="G250" s="2" t="s">
        <v>25</v>
      </c>
      <c r="H250" s="18" t="s">
        <v>29</v>
      </c>
      <c r="I250" s="6"/>
      <c r="J250" s="19"/>
    </row>
    <row r="251" spans="1:10" ht="12.75" customHeight="1">
      <c r="A251" s="17" t="s">
        <v>30</v>
      </c>
      <c r="B251" s="1"/>
      <c r="C251" s="1"/>
      <c r="D251" s="2">
        <v>12600</v>
      </c>
      <c r="E251" s="17" t="s">
        <v>64</v>
      </c>
      <c r="F251" s="1"/>
      <c r="G251" s="2" t="s">
        <v>25</v>
      </c>
      <c r="H251" s="18" t="s">
        <v>32</v>
      </c>
      <c r="I251" s="209"/>
      <c r="J251" s="210"/>
    </row>
    <row r="252" spans="1:10" ht="12.75" customHeight="1">
      <c r="A252" s="17" t="s">
        <v>59</v>
      </c>
      <c r="B252" s="1"/>
      <c r="C252" s="1"/>
      <c r="D252" s="2" t="s">
        <v>25</v>
      </c>
      <c r="E252" s="17" t="s">
        <v>35</v>
      </c>
      <c r="F252" s="1"/>
      <c r="G252" s="2" t="s">
        <v>25</v>
      </c>
      <c r="H252" s="18"/>
      <c r="I252" s="6"/>
      <c r="J252" s="19"/>
    </row>
    <row r="253" spans="1:10" ht="12.75" customHeight="1">
      <c r="A253" s="17" t="s">
        <v>304</v>
      </c>
      <c r="B253" s="1"/>
      <c r="C253" s="1"/>
      <c r="D253" s="2">
        <v>3000</v>
      </c>
      <c r="E253" s="17" t="s">
        <v>61</v>
      </c>
      <c r="F253" s="1"/>
      <c r="G253" s="2" t="s">
        <v>25</v>
      </c>
      <c r="H253" s="18"/>
      <c r="I253" s="6"/>
      <c r="J253" s="40"/>
    </row>
    <row r="254" spans="1:10" ht="12.75" customHeight="1">
      <c r="A254" s="17" t="s">
        <v>136</v>
      </c>
      <c r="B254" s="1"/>
      <c r="C254" s="1"/>
      <c r="D254" s="2" t="s">
        <v>25</v>
      </c>
      <c r="E254" s="17" t="s">
        <v>39</v>
      </c>
      <c r="F254" s="1"/>
      <c r="G254" s="2">
        <v>100</v>
      </c>
      <c r="H254" s="18"/>
      <c r="I254" s="6"/>
      <c r="J254" s="40"/>
    </row>
    <row r="255" spans="1:10" ht="12.75" customHeight="1">
      <c r="A255" s="18" t="s">
        <v>40</v>
      </c>
      <c r="B255" s="6"/>
      <c r="C255" s="6"/>
      <c r="D255" s="2" t="s">
        <v>25</v>
      </c>
      <c r="E255" s="17" t="s">
        <v>62</v>
      </c>
      <c r="F255" s="2"/>
      <c r="G255" s="2" t="s">
        <v>25</v>
      </c>
      <c r="H255" s="18"/>
      <c r="I255" s="6"/>
      <c r="J255" s="40"/>
    </row>
    <row r="256" spans="1:10" ht="12.75" customHeight="1">
      <c r="A256" s="204" t="s">
        <v>63</v>
      </c>
      <c r="B256" s="205"/>
      <c r="C256" s="206"/>
      <c r="D256" s="229">
        <f>SUM(D249:D255)</f>
        <v>115600</v>
      </c>
      <c r="E256" s="1" t="s">
        <v>251</v>
      </c>
      <c r="F256" s="1"/>
      <c r="G256" s="2" t="s">
        <v>25</v>
      </c>
      <c r="H256" s="18"/>
      <c r="I256" s="6"/>
      <c r="J256" s="39"/>
    </row>
    <row r="257" spans="1:10" ht="12.75" customHeight="1">
      <c r="A257" s="207"/>
      <c r="B257" s="197"/>
      <c r="C257" s="208"/>
      <c r="D257" s="230"/>
      <c r="E257" s="21" t="s">
        <v>21</v>
      </c>
      <c r="F257" s="22"/>
      <c r="G257" s="13">
        <f>SUM(G249:G256)</f>
        <v>100</v>
      </c>
      <c r="H257" s="21" t="s">
        <v>44</v>
      </c>
      <c r="I257" s="22"/>
      <c r="J257" s="13">
        <f>D256-G257</f>
        <v>115500</v>
      </c>
    </row>
    <row r="258" spans="1:10" ht="12.75" customHeight="1">
      <c r="A258" s="3" t="s">
        <v>45</v>
      </c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2.75" customHeight="1">
      <c r="A260" s="184" t="s">
        <v>0</v>
      </c>
      <c r="B260" s="185"/>
      <c r="C260" s="185"/>
      <c r="D260" s="185"/>
      <c r="E260" s="185"/>
      <c r="F260" s="185"/>
      <c r="G260" s="185"/>
      <c r="H260" s="185"/>
      <c r="I260" s="185"/>
      <c r="J260" s="186"/>
    </row>
    <row r="261" spans="1:10" ht="12.75" customHeight="1">
      <c r="A261" s="187" t="s">
        <v>1</v>
      </c>
      <c r="B261" s="188"/>
      <c r="C261" s="188"/>
      <c r="D261" s="188"/>
      <c r="E261" s="188"/>
      <c r="F261" s="188"/>
      <c r="G261" s="188"/>
      <c r="H261" s="188"/>
      <c r="I261" s="188"/>
      <c r="J261" s="189"/>
    </row>
    <row r="262" spans="1:10" ht="12.75" customHeight="1">
      <c r="A262" s="1" t="s">
        <v>2</v>
      </c>
      <c r="B262" s="1"/>
      <c r="C262" s="190" t="s">
        <v>305</v>
      </c>
      <c r="D262" s="190"/>
      <c r="E262" s="2"/>
      <c r="F262" s="3"/>
      <c r="G262" s="1" t="s">
        <v>4</v>
      </c>
      <c r="H262" s="209" t="s">
        <v>182</v>
      </c>
      <c r="I262" s="209"/>
      <c r="J262" s="209"/>
    </row>
    <row r="263" spans="1:10" ht="12.75" customHeight="1">
      <c r="A263" s="1" t="s">
        <v>6</v>
      </c>
      <c r="B263" s="1"/>
      <c r="C263" s="25" t="s">
        <v>306</v>
      </c>
      <c r="D263" s="25"/>
      <c r="E263" s="2"/>
      <c r="F263" s="3"/>
      <c r="G263" s="1" t="s">
        <v>8</v>
      </c>
      <c r="H263" s="193" t="s">
        <v>9</v>
      </c>
      <c r="I263" s="193"/>
      <c r="J263" s="193"/>
    </row>
    <row r="264" spans="1:10" ht="12.75" customHeight="1">
      <c r="A264" s="6" t="s">
        <v>10</v>
      </c>
      <c r="B264" s="6"/>
      <c r="C264" s="194" t="s">
        <v>261</v>
      </c>
      <c r="D264" s="194"/>
      <c r="E264" s="2"/>
      <c r="F264" s="3"/>
      <c r="G264" s="1" t="s">
        <v>12</v>
      </c>
      <c r="H264" s="195" t="s">
        <v>13</v>
      </c>
      <c r="I264" s="195"/>
      <c r="J264" s="195"/>
    </row>
    <row r="265" spans="1:10" ht="12.75" customHeight="1">
      <c r="A265" s="2" t="s">
        <v>14</v>
      </c>
      <c r="B265" s="2"/>
      <c r="C265" s="1" t="s">
        <v>15</v>
      </c>
      <c r="D265" s="1"/>
      <c r="E265" s="2"/>
      <c r="F265" s="3"/>
      <c r="G265" s="1" t="s">
        <v>16</v>
      </c>
      <c r="H265" s="209" t="s">
        <v>207</v>
      </c>
      <c r="I265" s="209"/>
      <c r="J265" s="209"/>
    </row>
    <row r="266" spans="1:10" ht="12.75" customHeight="1">
      <c r="A266" s="2">
        <v>30</v>
      </c>
      <c r="B266" s="2"/>
      <c r="C266" s="2">
        <f>A266-H266</f>
        <v>4</v>
      </c>
      <c r="D266" s="2"/>
      <c r="E266" s="2"/>
      <c r="F266" s="3"/>
      <c r="G266" s="8" t="s">
        <v>18</v>
      </c>
      <c r="H266" s="197">
        <v>26</v>
      </c>
      <c r="I266" s="197"/>
      <c r="J266" s="197"/>
    </row>
    <row r="267" spans="1:10" ht="12.75" customHeight="1">
      <c r="A267" s="198" t="s">
        <v>19</v>
      </c>
      <c r="B267" s="199"/>
      <c r="C267" s="200"/>
      <c r="D267" s="13" t="s">
        <v>20</v>
      </c>
      <c r="E267" s="14" t="s">
        <v>21</v>
      </c>
      <c r="F267" s="15"/>
      <c r="G267" s="16" t="s">
        <v>20</v>
      </c>
      <c r="H267" s="201" t="s">
        <v>22</v>
      </c>
      <c r="I267" s="202"/>
      <c r="J267" s="203"/>
    </row>
    <row r="268" spans="1:10" ht="12.75" customHeight="1">
      <c r="A268" s="17" t="s">
        <v>56</v>
      </c>
      <c r="B268" s="1"/>
      <c r="C268" s="1"/>
      <c r="D268" s="2">
        <v>55000</v>
      </c>
      <c r="E268" s="17" t="s">
        <v>24</v>
      </c>
      <c r="F268" s="1"/>
      <c r="G268" s="2" t="s">
        <v>25</v>
      </c>
      <c r="H268" s="18" t="s">
        <v>26</v>
      </c>
      <c r="I268" s="23"/>
      <c r="J268" s="24"/>
    </row>
    <row r="269" spans="1:10" ht="12.75" customHeight="1">
      <c r="A269" s="17" t="s">
        <v>57</v>
      </c>
      <c r="B269" s="209"/>
      <c r="C269" s="209"/>
      <c r="D269" s="2" t="s">
        <v>25</v>
      </c>
      <c r="E269" s="17" t="s">
        <v>28</v>
      </c>
      <c r="F269" s="1"/>
      <c r="G269" s="2" t="s">
        <v>25</v>
      </c>
      <c r="H269" s="18" t="s">
        <v>29</v>
      </c>
      <c r="I269" s="23"/>
      <c r="J269" s="24"/>
    </row>
    <row r="270" spans="1:10" ht="12.75" customHeight="1">
      <c r="A270" s="17" t="s">
        <v>30</v>
      </c>
      <c r="B270" s="1"/>
      <c r="C270" s="1"/>
      <c r="D270" s="2">
        <v>14933</v>
      </c>
      <c r="E270" s="17" t="s">
        <v>146</v>
      </c>
      <c r="F270" s="1"/>
      <c r="G270" s="2" t="s">
        <v>25</v>
      </c>
      <c r="H270" s="18" t="s">
        <v>32</v>
      </c>
      <c r="I270" s="23"/>
      <c r="J270" s="24"/>
    </row>
    <row r="271" spans="1:10" ht="12.75" customHeight="1">
      <c r="A271" s="159" t="s">
        <v>147</v>
      </c>
      <c r="B271" s="209"/>
      <c r="C271" s="209"/>
      <c r="D271" s="2" t="s">
        <v>25</v>
      </c>
      <c r="E271" s="17" t="s">
        <v>35</v>
      </c>
      <c r="F271" s="1"/>
      <c r="G271" s="2">
        <v>7333</v>
      </c>
      <c r="H271" s="18"/>
      <c r="I271" s="6"/>
      <c r="J271" s="19"/>
    </row>
    <row r="272" spans="1:10" ht="12.75" customHeight="1">
      <c r="A272" s="17" t="s">
        <v>78</v>
      </c>
      <c r="B272" s="1"/>
      <c r="C272" s="1"/>
      <c r="D272" s="2" t="s">
        <v>25</v>
      </c>
      <c r="E272" s="17" t="s">
        <v>62</v>
      </c>
      <c r="F272" s="2"/>
      <c r="G272" s="2" t="s">
        <v>25</v>
      </c>
      <c r="H272" s="18"/>
      <c r="I272" s="6"/>
      <c r="J272" s="19"/>
    </row>
    <row r="273" spans="1:10" ht="12.75" customHeight="1">
      <c r="A273" s="17" t="s">
        <v>136</v>
      </c>
      <c r="B273" s="1"/>
      <c r="C273" s="1"/>
      <c r="D273" s="2" t="s">
        <v>25</v>
      </c>
      <c r="E273" s="17" t="s">
        <v>39</v>
      </c>
      <c r="F273" s="1"/>
      <c r="G273" s="2">
        <v>100</v>
      </c>
      <c r="H273" s="18"/>
      <c r="I273" s="6"/>
      <c r="J273" s="19"/>
    </row>
    <row r="274" spans="1:10" ht="12.75" customHeight="1">
      <c r="A274" s="18" t="s">
        <v>40</v>
      </c>
      <c r="B274" s="6"/>
      <c r="C274" s="6"/>
      <c r="D274" s="2" t="s">
        <v>25</v>
      </c>
      <c r="E274" s="17" t="s">
        <v>161</v>
      </c>
      <c r="F274" s="2"/>
      <c r="G274" s="2" t="s">
        <v>25</v>
      </c>
      <c r="H274" s="18"/>
      <c r="I274" s="6"/>
      <c r="J274" s="19"/>
    </row>
    <row r="275" spans="1:10" ht="12.75" customHeight="1">
      <c r="A275" s="204" t="s">
        <v>63</v>
      </c>
      <c r="B275" s="205"/>
      <c r="C275" s="206"/>
      <c r="D275" s="229">
        <f>SUM(D268:D274)</f>
        <v>69933</v>
      </c>
      <c r="E275" s="1" t="s">
        <v>43</v>
      </c>
      <c r="F275" s="1"/>
      <c r="G275" s="2" t="s">
        <v>25</v>
      </c>
      <c r="H275" s="18"/>
      <c r="I275" s="6"/>
      <c r="J275" s="19"/>
    </row>
    <row r="276" spans="1:10" ht="12.75" customHeight="1">
      <c r="A276" s="207"/>
      <c r="B276" s="197"/>
      <c r="C276" s="208"/>
      <c r="D276" s="230"/>
      <c r="E276" s="21" t="s">
        <v>21</v>
      </c>
      <c r="F276" s="22"/>
      <c r="G276" s="13">
        <f>SUM(G268:G275)</f>
        <v>7433</v>
      </c>
      <c r="H276" s="21" t="s">
        <v>44</v>
      </c>
      <c r="I276" s="22"/>
      <c r="J276" s="13">
        <f>D275-G276</f>
        <v>62500</v>
      </c>
    </row>
    <row r="277" spans="1:10" ht="12.75" customHeight="1">
      <c r="A277" s="3" t="s">
        <v>45</v>
      </c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2.75" customHeight="1">
      <c r="A279" s="3"/>
      <c r="B279" s="3" t="s">
        <v>47</v>
      </c>
      <c r="C279" s="3"/>
      <c r="D279" s="3"/>
      <c r="E279" s="3" t="s">
        <v>48</v>
      </c>
      <c r="F279" s="3"/>
      <c r="G279" s="3"/>
      <c r="H279" s="3" t="s">
        <v>49</v>
      </c>
      <c r="I279" s="3"/>
      <c r="J279" s="3"/>
    </row>
    <row r="280" spans="1:10" ht="12.75" customHeight="1">
      <c r="A280" s="184" t="s">
        <v>0</v>
      </c>
      <c r="B280" s="185"/>
      <c r="C280" s="185"/>
      <c r="D280" s="185"/>
      <c r="E280" s="185"/>
      <c r="F280" s="185"/>
      <c r="G280" s="185"/>
      <c r="H280" s="185"/>
      <c r="I280" s="185"/>
      <c r="J280" s="186"/>
    </row>
    <row r="281" spans="1:10" ht="12.75" customHeight="1">
      <c r="A281" s="187" t="s">
        <v>1</v>
      </c>
      <c r="B281" s="188"/>
      <c r="C281" s="188"/>
      <c r="D281" s="188"/>
      <c r="E281" s="188"/>
      <c r="F281" s="188"/>
      <c r="G281" s="188"/>
      <c r="H281" s="188"/>
      <c r="I281" s="188"/>
      <c r="J281" s="189"/>
    </row>
    <row r="282" spans="1:10" ht="12.75" customHeight="1">
      <c r="A282" s="1" t="s">
        <v>2</v>
      </c>
      <c r="B282" s="1"/>
      <c r="C282" s="209" t="s">
        <v>307</v>
      </c>
      <c r="D282" s="209"/>
      <c r="E282" s="2"/>
      <c r="F282" s="3"/>
      <c r="G282" s="1" t="s">
        <v>4</v>
      </c>
      <c r="H282" s="191" t="s">
        <v>191</v>
      </c>
      <c r="I282" s="191"/>
      <c r="J282" s="191"/>
    </row>
    <row r="283" spans="1:10" ht="12.75" customHeight="1">
      <c r="A283" s="1" t="s">
        <v>6</v>
      </c>
      <c r="B283" s="1"/>
      <c r="C283" s="25" t="s">
        <v>308</v>
      </c>
      <c r="D283" s="25"/>
      <c r="E283" s="7"/>
      <c r="F283" s="3"/>
      <c r="G283" s="1" t="s">
        <v>8</v>
      </c>
      <c r="H283" s="193" t="s">
        <v>9</v>
      </c>
      <c r="I283" s="193"/>
      <c r="J283" s="193"/>
    </row>
    <row r="284" spans="1:10" ht="12.75" customHeight="1">
      <c r="A284" s="6" t="s">
        <v>10</v>
      </c>
      <c r="B284" s="6"/>
      <c r="C284" s="194" t="s">
        <v>261</v>
      </c>
      <c r="D284" s="194"/>
      <c r="E284" s="2"/>
      <c r="F284" s="3"/>
      <c r="G284" s="1" t="s">
        <v>12</v>
      </c>
      <c r="H284" s="195" t="s">
        <v>13</v>
      </c>
      <c r="I284" s="195"/>
      <c r="J284" s="195"/>
    </row>
    <row r="285" spans="1:10" ht="12.75" customHeight="1">
      <c r="A285" s="6" t="s">
        <v>14</v>
      </c>
      <c r="B285" s="6"/>
      <c r="C285" s="2" t="s">
        <v>15</v>
      </c>
      <c r="D285" s="2"/>
      <c r="E285" s="2"/>
      <c r="F285" s="3"/>
      <c r="G285" s="1" t="s">
        <v>16</v>
      </c>
      <c r="H285" s="196" t="s">
        <v>309</v>
      </c>
      <c r="I285" s="196"/>
      <c r="J285" s="196"/>
    </row>
    <row r="286" spans="1:10" ht="12.75" customHeight="1">
      <c r="A286" s="6">
        <v>30</v>
      </c>
      <c r="B286" s="6"/>
      <c r="C286" s="2">
        <f>A286-I286</f>
        <v>0</v>
      </c>
      <c r="D286" s="2"/>
      <c r="E286" s="2"/>
      <c r="F286" s="3"/>
      <c r="G286" s="8" t="s">
        <v>18</v>
      </c>
      <c r="H286" s="8"/>
      <c r="I286" s="9">
        <v>30</v>
      </c>
      <c r="J286" s="9"/>
    </row>
    <row r="287" spans="1:10" ht="12.75" customHeight="1">
      <c r="A287" s="198" t="s">
        <v>19</v>
      </c>
      <c r="B287" s="199"/>
      <c r="C287" s="200"/>
      <c r="D287" s="13" t="s">
        <v>20</v>
      </c>
      <c r="E287" s="14" t="s">
        <v>21</v>
      </c>
      <c r="F287" s="15"/>
      <c r="G287" s="16" t="s">
        <v>20</v>
      </c>
      <c r="H287" s="201" t="s">
        <v>22</v>
      </c>
      <c r="I287" s="202"/>
      <c r="J287" s="203"/>
    </row>
    <row r="288" spans="1:10" ht="12.75" customHeight="1">
      <c r="A288" s="17" t="s">
        <v>23</v>
      </c>
      <c r="B288" s="1"/>
      <c r="C288" s="1"/>
      <c r="D288" s="2">
        <v>55000</v>
      </c>
      <c r="E288" s="17" t="s">
        <v>24</v>
      </c>
      <c r="F288" s="1"/>
      <c r="G288" s="2" t="s">
        <v>25</v>
      </c>
      <c r="H288" s="18" t="s">
        <v>26</v>
      </c>
      <c r="I288" s="23"/>
      <c r="J288" s="24"/>
    </row>
    <row r="289" spans="1:10" ht="12.75" customHeight="1">
      <c r="A289" s="17" t="s">
        <v>77</v>
      </c>
      <c r="B289" s="196" t="s">
        <v>310</v>
      </c>
      <c r="C289" s="196"/>
      <c r="D289" s="2">
        <v>24750</v>
      </c>
      <c r="E289" s="17" t="s">
        <v>58</v>
      </c>
      <c r="F289" s="1"/>
      <c r="G289" s="2" t="s">
        <v>25</v>
      </c>
      <c r="H289" s="18" t="s">
        <v>29</v>
      </c>
      <c r="I289" s="23"/>
      <c r="J289" s="24"/>
    </row>
    <row r="290" spans="1:10" ht="12.75" customHeight="1">
      <c r="A290" s="17" t="s">
        <v>30</v>
      </c>
      <c r="B290" s="1"/>
      <c r="C290" s="1"/>
      <c r="D290" s="2">
        <v>9017</v>
      </c>
      <c r="E290" s="17" t="s">
        <v>146</v>
      </c>
      <c r="F290" s="1"/>
      <c r="G290" s="2" t="s">
        <v>25</v>
      </c>
      <c r="H290" s="18" t="s">
        <v>32</v>
      </c>
      <c r="I290" s="23"/>
      <c r="J290" s="24"/>
    </row>
    <row r="291" spans="1:10" ht="12.75" customHeight="1">
      <c r="A291" s="17" t="s">
        <v>147</v>
      </c>
      <c r="B291" s="1"/>
      <c r="C291" s="1"/>
      <c r="D291" s="2" t="s">
        <v>25</v>
      </c>
      <c r="E291" s="17" t="s">
        <v>71</v>
      </c>
      <c r="F291" s="1"/>
      <c r="G291" s="2" t="s">
        <v>25</v>
      </c>
      <c r="H291" s="18"/>
      <c r="I291" s="6"/>
      <c r="J291" s="26"/>
    </row>
    <row r="292" spans="1:10" ht="12.75" customHeight="1">
      <c r="A292" s="17" t="s">
        <v>27</v>
      </c>
      <c r="B292" s="1"/>
      <c r="C292" s="1"/>
      <c r="D292" s="2" t="s">
        <v>25</v>
      </c>
      <c r="E292" s="17" t="s">
        <v>61</v>
      </c>
      <c r="F292" s="1"/>
      <c r="G292" s="2" t="s">
        <v>25</v>
      </c>
      <c r="H292" s="18" t="s">
        <v>225</v>
      </c>
      <c r="I292" s="6"/>
      <c r="J292" s="27"/>
    </row>
    <row r="293" spans="1:10" ht="12.75" customHeight="1">
      <c r="A293" s="17" t="s">
        <v>136</v>
      </c>
      <c r="B293" s="1"/>
      <c r="C293" s="1"/>
      <c r="D293" s="2" t="s">
        <v>25</v>
      </c>
      <c r="E293" s="17" t="s">
        <v>39</v>
      </c>
      <c r="F293" s="1"/>
      <c r="G293" s="2">
        <v>100</v>
      </c>
      <c r="H293" s="17"/>
      <c r="I293" s="6"/>
      <c r="J293" s="27"/>
    </row>
    <row r="294" spans="1:10" ht="12.75" customHeight="1">
      <c r="A294" s="18" t="s">
        <v>40</v>
      </c>
      <c r="B294" s="6"/>
      <c r="C294" s="6"/>
      <c r="D294" s="2" t="s">
        <v>25</v>
      </c>
      <c r="E294" s="17" t="s">
        <v>79</v>
      </c>
      <c r="F294" s="2">
        <v>16</v>
      </c>
      <c r="G294" s="2">
        <v>3667</v>
      </c>
      <c r="H294" s="18"/>
      <c r="I294" s="6"/>
      <c r="J294" s="26"/>
    </row>
    <row r="295" spans="1:10" ht="12.75" customHeight="1">
      <c r="A295" s="204" t="s">
        <v>63</v>
      </c>
      <c r="B295" s="205"/>
      <c r="C295" s="206"/>
      <c r="D295" s="229">
        <f>SUM(D288:D294)</f>
        <v>88767</v>
      </c>
      <c r="E295" s="1" t="s">
        <v>43</v>
      </c>
      <c r="F295" s="1"/>
      <c r="G295" s="2" t="s">
        <v>25</v>
      </c>
      <c r="H295" s="18"/>
      <c r="I295" s="6"/>
      <c r="J295" s="19"/>
    </row>
    <row r="296" spans="1:10" ht="12.75" customHeight="1">
      <c r="A296" s="207"/>
      <c r="B296" s="197"/>
      <c r="C296" s="208"/>
      <c r="D296" s="230"/>
      <c r="E296" s="21" t="s">
        <v>21</v>
      </c>
      <c r="F296" s="22"/>
      <c r="G296" s="13">
        <f>SUM(G288:G295)</f>
        <v>3767</v>
      </c>
      <c r="H296" s="21" t="s">
        <v>44</v>
      </c>
      <c r="I296" s="22"/>
      <c r="J296" s="13">
        <f>D295-G296</f>
        <v>85000</v>
      </c>
    </row>
    <row r="297" spans="1:10" ht="12.75" customHeight="1">
      <c r="A297" s="3" t="s">
        <v>45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2.75" customHeight="1">
      <c r="A298" s="3"/>
      <c r="B298" s="3" t="s">
        <v>47</v>
      </c>
      <c r="C298" s="3"/>
      <c r="D298" s="3"/>
      <c r="E298" s="3" t="s">
        <v>48</v>
      </c>
      <c r="F298" s="3"/>
      <c r="G298" s="3"/>
      <c r="H298" s="3" t="s">
        <v>49</v>
      </c>
      <c r="I298" s="3"/>
      <c r="J298" s="3"/>
    </row>
    <row r="299" spans="1:10" ht="12.75" customHeight="1">
      <c r="A299" s="184" t="s">
        <v>0</v>
      </c>
      <c r="B299" s="185"/>
      <c r="C299" s="185"/>
      <c r="D299" s="185"/>
      <c r="E299" s="185"/>
      <c r="F299" s="185"/>
      <c r="G299" s="185"/>
      <c r="H299" s="185"/>
      <c r="I299" s="185"/>
      <c r="J299" s="186"/>
    </row>
    <row r="300" spans="1:10" ht="12.75" customHeight="1">
      <c r="A300" s="187" t="s">
        <v>1</v>
      </c>
      <c r="B300" s="188"/>
      <c r="C300" s="188"/>
      <c r="D300" s="188"/>
      <c r="E300" s="188"/>
      <c r="F300" s="188"/>
      <c r="G300" s="188"/>
      <c r="H300" s="188"/>
      <c r="I300" s="188"/>
      <c r="J300" s="189"/>
    </row>
    <row r="301" spans="1:10" ht="12.75" customHeight="1">
      <c r="A301" s="1" t="s">
        <v>2</v>
      </c>
      <c r="B301" s="1"/>
      <c r="C301" s="209" t="s">
        <v>311</v>
      </c>
      <c r="D301" s="209"/>
      <c r="E301" s="2"/>
      <c r="F301" s="3"/>
      <c r="G301" s="1" t="s">
        <v>4</v>
      </c>
      <c r="H301" s="191" t="s">
        <v>191</v>
      </c>
      <c r="I301" s="191"/>
      <c r="J301" s="191"/>
    </row>
    <row r="302" spans="1:10" ht="12.75" customHeight="1">
      <c r="A302" s="1" t="s">
        <v>6</v>
      </c>
      <c r="B302" s="1"/>
      <c r="C302" s="25" t="s">
        <v>312</v>
      </c>
      <c r="D302" s="25"/>
      <c r="E302" s="7"/>
      <c r="F302" s="3"/>
      <c r="G302" s="1" t="s">
        <v>8</v>
      </c>
      <c r="H302" s="193" t="s">
        <v>9</v>
      </c>
      <c r="I302" s="193"/>
      <c r="J302" s="193"/>
    </row>
    <row r="303" spans="1:10" ht="12.75" customHeight="1">
      <c r="A303" s="6" t="s">
        <v>10</v>
      </c>
      <c r="B303" s="6"/>
      <c r="C303" s="194" t="s">
        <v>261</v>
      </c>
      <c r="D303" s="194"/>
      <c r="E303" s="2"/>
      <c r="F303" s="3"/>
      <c r="G303" s="1" t="s">
        <v>12</v>
      </c>
      <c r="H303" s="195" t="s">
        <v>13</v>
      </c>
      <c r="I303" s="195"/>
      <c r="J303" s="195"/>
    </row>
    <row r="304" spans="1:10" ht="12.75" customHeight="1">
      <c r="A304" s="6" t="s">
        <v>14</v>
      </c>
      <c r="B304" s="6"/>
      <c r="C304" s="2" t="s">
        <v>15</v>
      </c>
      <c r="D304" s="2"/>
      <c r="E304" s="2"/>
      <c r="F304" s="3"/>
      <c r="G304" s="1" t="s">
        <v>16</v>
      </c>
      <c r="H304" s="196" t="s">
        <v>313</v>
      </c>
      <c r="I304" s="196"/>
      <c r="J304" s="196"/>
    </row>
    <row r="305" spans="1:10" ht="12.75" customHeight="1">
      <c r="A305" s="6">
        <v>30</v>
      </c>
      <c r="B305" s="6"/>
      <c r="C305" s="2">
        <f>A305-I305</f>
        <v>1</v>
      </c>
      <c r="D305" s="2"/>
      <c r="E305" s="2"/>
      <c r="F305" s="3"/>
      <c r="G305" s="8" t="s">
        <v>18</v>
      </c>
      <c r="H305" s="8"/>
      <c r="I305" s="9">
        <v>29</v>
      </c>
      <c r="J305" s="9"/>
    </row>
    <row r="306" spans="1:10" ht="12.75" customHeight="1">
      <c r="A306" s="198" t="s">
        <v>19</v>
      </c>
      <c r="B306" s="199"/>
      <c r="C306" s="200"/>
      <c r="D306" s="13" t="s">
        <v>20</v>
      </c>
      <c r="E306" s="14" t="s">
        <v>21</v>
      </c>
      <c r="F306" s="15"/>
      <c r="G306" s="16" t="s">
        <v>20</v>
      </c>
      <c r="H306" s="201" t="s">
        <v>22</v>
      </c>
      <c r="I306" s="202"/>
      <c r="J306" s="203"/>
    </row>
    <row r="307" spans="1:10" ht="12.75" customHeight="1">
      <c r="A307" s="17" t="s">
        <v>23</v>
      </c>
      <c r="B307" s="1"/>
      <c r="C307" s="1"/>
      <c r="D307" s="2">
        <v>55000</v>
      </c>
      <c r="E307" s="17" t="s">
        <v>24</v>
      </c>
      <c r="F307" s="1"/>
      <c r="G307" s="2" t="s">
        <v>25</v>
      </c>
      <c r="H307" s="18" t="s">
        <v>26</v>
      </c>
      <c r="I307" s="23"/>
      <c r="J307" s="24"/>
    </row>
    <row r="308" spans="1:10" ht="12.75" customHeight="1">
      <c r="A308" s="17" t="s">
        <v>77</v>
      </c>
      <c r="B308" s="196" t="s">
        <v>314</v>
      </c>
      <c r="C308" s="196"/>
      <c r="D308" s="2">
        <v>16729</v>
      </c>
      <c r="E308" s="17" t="s">
        <v>58</v>
      </c>
      <c r="F308" s="1"/>
      <c r="G308" s="2" t="s">
        <v>25</v>
      </c>
      <c r="H308" s="18" t="s">
        <v>29</v>
      </c>
      <c r="I308" s="23"/>
      <c r="J308" s="24"/>
    </row>
    <row r="309" spans="1:10" ht="12.75" customHeight="1">
      <c r="A309" s="17" t="s">
        <v>30</v>
      </c>
      <c r="B309" s="1"/>
      <c r="C309" s="1"/>
      <c r="D309" s="2">
        <v>11004</v>
      </c>
      <c r="E309" s="17" t="s">
        <v>315</v>
      </c>
      <c r="F309" s="1"/>
      <c r="G309" s="2">
        <v>800</v>
      </c>
      <c r="H309" s="18" t="s">
        <v>32</v>
      </c>
      <c r="I309" s="23"/>
      <c r="J309" s="24"/>
    </row>
    <row r="310" spans="1:10" ht="12.75" customHeight="1">
      <c r="A310" s="17" t="s">
        <v>316</v>
      </c>
      <c r="B310" s="1"/>
      <c r="C310" s="1"/>
      <c r="D310" s="2" t="s">
        <v>25</v>
      </c>
      <c r="E310" s="17" t="s">
        <v>71</v>
      </c>
      <c r="F310" s="1"/>
      <c r="G310" s="2">
        <v>1833</v>
      </c>
      <c r="H310" s="18"/>
      <c r="I310" s="6"/>
      <c r="J310" s="26"/>
    </row>
    <row r="311" spans="1:10" ht="12.75" customHeight="1">
      <c r="A311" s="17" t="s">
        <v>147</v>
      </c>
      <c r="B311" s="1"/>
      <c r="C311" s="1"/>
      <c r="D311" s="2">
        <v>5000</v>
      </c>
      <c r="E311" s="17" t="s">
        <v>61</v>
      </c>
      <c r="F311" s="1"/>
      <c r="G311" s="2" t="s">
        <v>25</v>
      </c>
      <c r="H311" s="18"/>
      <c r="I311" s="6"/>
      <c r="J311" s="27"/>
    </row>
    <row r="312" spans="1:10" ht="12.75" customHeight="1">
      <c r="A312" s="17" t="s">
        <v>136</v>
      </c>
      <c r="B312" s="1"/>
      <c r="C312" s="1"/>
      <c r="D312" s="2" t="s">
        <v>25</v>
      </c>
      <c r="E312" s="17" t="s">
        <v>39</v>
      </c>
      <c r="F312" s="1"/>
      <c r="G312" s="2">
        <v>100</v>
      </c>
      <c r="H312" s="17" t="s">
        <v>197</v>
      </c>
      <c r="I312" s="6"/>
      <c r="J312" s="27"/>
    </row>
    <row r="313" spans="1:10" ht="12.75" customHeight="1">
      <c r="A313" s="18" t="s">
        <v>40</v>
      </c>
      <c r="B313" s="6"/>
      <c r="C313" s="6"/>
      <c r="D313" s="2" t="s">
        <v>25</v>
      </c>
      <c r="E313" s="17" t="s">
        <v>79</v>
      </c>
      <c r="F313" s="2"/>
      <c r="G313" s="2" t="s">
        <v>25</v>
      </c>
      <c r="H313" s="18" t="s">
        <v>317</v>
      </c>
      <c r="I313" s="6"/>
      <c r="J313" s="26"/>
    </row>
    <row r="314" spans="1:10" ht="12.75" customHeight="1">
      <c r="A314" s="204" t="s">
        <v>63</v>
      </c>
      <c r="B314" s="205"/>
      <c r="C314" s="206"/>
      <c r="D314" s="229">
        <f>SUM(D307:D313)</f>
        <v>87733</v>
      </c>
      <c r="E314" s="1" t="s">
        <v>43</v>
      </c>
      <c r="F314" s="1"/>
      <c r="G314" s="2" t="s">
        <v>25</v>
      </c>
      <c r="H314" s="18"/>
      <c r="I314" s="6"/>
      <c r="J314" s="19"/>
    </row>
    <row r="315" spans="1:10" ht="12.75" customHeight="1">
      <c r="A315" s="207"/>
      <c r="B315" s="197"/>
      <c r="C315" s="208"/>
      <c r="D315" s="230"/>
      <c r="E315" s="21" t="s">
        <v>21</v>
      </c>
      <c r="F315" s="22"/>
      <c r="G315" s="13">
        <f>SUM(G307:G314)</f>
        <v>2733</v>
      </c>
      <c r="H315" s="21" t="s">
        <v>44</v>
      </c>
      <c r="I315" s="22"/>
      <c r="J315" s="13">
        <f>D314-G315</f>
        <v>85000</v>
      </c>
    </row>
    <row r="316" spans="1:10" ht="12.75" customHeight="1">
      <c r="A316" s="3" t="s">
        <v>45</v>
      </c>
      <c r="B316" s="3"/>
      <c r="C316" s="3"/>
      <c r="D316" s="3">
        <v>1</v>
      </c>
      <c r="E316" s="3"/>
      <c r="F316" s="3"/>
      <c r="G316" s="3"/>
      <c r="H316" s="3"/>
      <c r="I316" s="3"/>
      <c r="J316" s="3"/>
    </row>
    <row r="317" spans="1:10" ht="12.75" customHeight="1">
      <c r="A317" s="3"/>
      <c r="B317" s="3" t="s">
        <v>47</v>
      </c>
      <c r="C317" s="3"/>
      <c r="D317" s="3"/>
      <c r="E317" s="3" t="s">
        <v>48</v>
      </c>
      <c r="F317" s="3"/>
      <c r="G317" s="3"/>
      <c r="H317" s="3" t="s">
        <v>49</v>
      </c>
      <c r="I317" s="3"/>
      <c r="J317" s="3"/>
    </row>
    <row r="318" spans="1:10" ht="12.75" customHeight="1"/>
    <row r="319" spans="1:10" ht="12.75" customHeight="1">
      <c r="A319" s="184" t="s">
        <v>0</v>
      </c>
      <c r="B319" s="185"/>
      <c r="C319" s="185"/>
      <c r="D319" s="185"/>
      <c r="E319" s="185"/>
      <c r="F319" s="185"/>
      <c r="G319" s="185"/>
      <c r="H319" s="185"/>
      <c r="I319" s="185"/>
      <c r="J319" s="186"/>
    </row>
    <row r="320" spans="1:10" ht="12.75" customHeight="1">
      <c r="A320" s="187" t="s">
        <v>1</v>
      </c>
      <c r="B320" s="188"/>
      <c r="C320" s="188"/>
      <c r="D320" s="188"/>
      <c r="E320" s="188"/>
      <c r="F320" s="188"/>
      <c r="G320" s="188"/>
      <c r="H320" s="188"/>
      <c r="I320" s="188"/>
      <c r="J320" s="189"/>
    </row>
    <row r="321" spans="1:10" ht="12.75" customHeight="1">
      <c r="A321" s="1" t="s">
        <v>2</v>
      </c>
      <c r="B321" s="1"/>
      <c r="C321" s="190" t="s">
        <v>318</v>
      </c>
      <c r="D321" s="190"/>
      <c r="E321" s="2"/>
      <c r="F321" s="3"/>
      <c r="G321" s="1" t="s">
        <v>4</v>
      </c>
      <c r="H321" s="191" t="s">
        <v>205</v>
      </c>
      <c r="I321" s="191"/>
      <c r="J321" s="191"/>
    </row>
    <row r="322" spans="1:10" ht="12.75" customHeight="1">
      <c r="A322" s="1" t="s">
        <v>6</v>
      </c>
      <c r="B322" s="1"/>
      <c r="C322" s="25" t="s">
        <v>319</v>
      </c>
      <c r="D322" s="25"/>
      <c r="E322" s="2"/>
      <c r="F322" s="3"/>
      <c r="G322" s="1" t="s">
        <v>8</v>
      </c>
      <c r="H322" s="193" t="s">
        <v>9</v>
      </c>
      <c r="I322" s="193"/>
      <c r="J322" s="193"/>
    </row>
    <row r="323" spans="1:10" ht="12.75" customHeight="1">
      <c r="A323" s="6" t="s">
        <v>10</v>
      </c>
      <c r="B323" s="6"/>
      <c r="C323" s="194" t="s">
        <v>261</v>
      </c>
      <c r="D323" s="194"/>
      <c r="E323" s="2"/>
      <c r="F323" s="3"/>
      <c r="G323" s="1" t="s">
        <v>12</v>
      </c>
      <c r="H323" s="195" t="s">
        <v>13</v>
      </c>
      <c r="I323" s="195"/>
      <c r="J323" s="195"/>
    </row>
    <row r="324" spans="1:10" ht="12.75" customHeight="1">
      <c r="A324" s="2" t="s">
        <v>14</v>
      </c>
      <c r="B324" s="2"/>
      <c r="C324" s="1" t="s">
        <v>15</v>
      </c>
      <c r="D324" s="1"/>
      <c r="E324" s="2"/>
      <c r="F324" s="3"/>
      <c r="G324" s="1" t="s">
        <v>16</v>
      </c>
      <c r="H324" s="209" t="s">
        <v>68</v>
      </c>
      <c r="I324" s="209"/>
      <c r="J324" s="209"/>
    </row>
    <row r="325" spans="1:10" ht="12.75" customHeight="1">
      <c r="A325" s="2">
        <v>30</v>
      </c>
      <c r="B325" s="2"/>
      <c r="C325" s="2">
        <f>A325-H325</f>
        <v>6</v>
      </c>
      <c r="D325" s="2"/>
      <c r="E325" s="2"/>
      <c r="F325" s="3"/>
      <c r="G325" s="8" t="s">
        <v>18</v>
      </c>
      <c r="H325" s="197">
        <v>24</v>
      </c>
      <c r="I325" s="197"/>
      <c r="J325" s="197"/>
    </row>
    <row r="326" spans="1:10" ht="12.75" customHeight="1">
      <c r="A326" s="198" t="s">
        <v>19</v>
      </c>
      <c r="B326" s="199"/>
      <c r="C326" s="200"/>
      <c r="D326" s="13" t="s">
        <v>20</v>
      </c>
      <c r="E326" s="14" t="s">
        <v>21</v>
      </c>
      <c r="F326" s="15"/>
      <c r="G326" s="16" t="s">
        <v>20</v>
      </c>
      <c r="H326" s="201" t="s">
        <v>22</v>
      </c>
      <c r="I326" s="202"/>
      <c r="J326" s="203"/>
    </row>
    <row r="327" spans="1:10" ht="12.75" customHeight="1">
      <c r="A327" s="17" t="s">
        <v>56</v>
      </c>
      <c r="B327" s="1"/>
      <c r="C327" s="1"/>
      <c r="D327" s="2">
        <v>55000</v>
      </c>
      <c r="E327" s="17" t="s">
        <v>24</v>
      </c>
      <c r="F327" s="1"/>
      <c r="G327" s="2" t="s">
        <v>25</v>
      </c>
      <c r="H327" s="18" t="s">
        <v>26</v>
      </c>
      <c r="I327" s="23"/>
      <c r="J327" s="24"/>
    </row>
    <row r="328" spans="1:10" ht="12.75" customHeight="1">
      <c r="A328" s="17" t="s">
        <v>57</v>
      </c>
      <c r="B328" s="209" t="s">
        <v>320</v>
      </c>
      <c r="C328" s="209"/>
      <c r="D328" s="2">
        <v>3667</v>
      </c>
      <c r="E328" s="17" t="s">
        <v>28</v>
      </c>
      <c r="F328" s="1"/>
      <c r="G328" s="2" t="s">
        <v>25</v>
      </c>
      <c r="H328" s="18" t="s">
        <v>29</v>
      </c>
      <c r="I328" s="23"/>
      <c r="J328" s="24"/>
    </row>
    <row r="329" spans="1:10" ht="12.75" customHeight="1">
      <c r="A329" s="17" t="s">
        <v>30</v>
      </c>
      <c r="B329" s="1"/>
      <c r="C329" s="1"/>
      <c r="D329" s="2">
        <v>2433</v>
      </c>
      <c r="E329" s="17" t="s">
        <v>58</v>
      </c>
      <c r="F329" s="1"/>
      <c r="G329" s="2" t="s">
        <v>25</v>
      </c>
      <c r="H329" s="18" t="s">
        <v>32</v>
      </c>
      <c r="I329" s="23"/>
      <c r="J329" s="24"/>
    </row>
    <row r="330" spans="1:10" ht="12.75" customHeight="1">
      <c r="A330" s="17" t="s">
        <v>321</v>
      </c>
      <c r="B330" s="209"/>
      <c r="C330" s="209"/>
      <c r="D330" s="2" t="s">
        <v>25</v>
      </c>
      <c r="E330" s="17" t="s">
        <v>35</v>
      </c>
      <c r="F330" s="1"/>
      <c r="G330" s="2">
        <v>11000</v>
      </c>
      <c r="H330" s="18"/>
      <c r="I330" s="6"/>
      <c r="J330" s="19"/>
    </row>
    <row r="331" spans="1:10" ht="12.75" customHeight="1">
      <c r="A331" s="17" t="s">
        <v>78</v>
      </c>
      <c r="B331" s="1"/>
      <c r="C331" s="1"/>
      <c r="D331" s="2" t="s">
        <v>25</v>
      </c>
      <c r="E331" s="17" t="s">
        <v>37</v>
      </c>
      <c r="F331" s="1"/>
      <c r="G331" s="2" t="s">
        <v>25</v>
      </c>
      <c r="H331" s="18" t="s">
        <v>84</v>
      </c>
      <c r="I331" s="6"/>
      <c r="J331" s="19"/>
    </row>
    <row r="332" spans="1:10" ht="12.75" customHeight="1">
      <c r="A332" s="17" t="s">
        <v>136</v>
      </c>
      <c r="B332" s="1"/>
      <c r="C332" s="1"/>
      <c r="D332" s="2" t="s">
        <v>25</v>
      </c>
      <c r="E332" s="17" t="s">
        <v>39</v>
      </c>
      <c r="F332" s="1"/>
      <c r="G332" s="2">
        <v>100</v>
      </c>
      <c r="H332" s="18"/>
      <c r="I332" s="6"/>
      <c r="J332" s="19"/>
    </row>
    <row r="333" spans="1:10" ht="12.75" customHeight="1">
      <c r="A333" s="18" t="s">
        <v>40</v>
      </c>
      <c r="B333" s="6"/>
      <c r="C333" s="6"/>
      <c r="D333" s="2" t="s">
        <v>25</v>
      </c>
      <c r="E333" s="17" t="s">
        <v>161</v>
      </c>
      <c r="F333" s="2"/>
      <c r="G333" s="2" t="s">
        <v>25</v>
      </c>
      <c r="H333" s="18"/>
      <c r="I333" s="6"/>
      <c r="J333" s="19"/>
    </row>
    <row r="334" spans="1:10" ht="12.75" customHeight="1">
      <c r="A334" s="204" t="s">
        <v>63</v>
      </c>
      <c r="B334" s="205"/>
      <c r="C334" s="206"/>
      <c r="D334" s="229">
        <f>SUM(D327:D333)</f>
        <v>61100</v>
      </c>
      <c r="E334" s="1" t="s">
        <v>43</v>
      </c>
      <c r="F334" s="1"/>
      <c r="G334" s="2" t="s">
        <v>25</v>
      </c>
      <c r="H334" s="18"/>
      <c r="I334" s="6"/>
      <c r="J334" s="19"/>
    </row>
    <row r="335" spans="1:10" ht="12.75" customHeight="1">
      <c r="A335" s="207"/>
      <c r="B335" s="197"/>
      <c r="C335" s="208"/>
      <c r="D335" s="230"/>
      <c r="E335" s="21" t="s">
        <v>21</v>
      </c>
      <c r="F335" s="22"/>
      <c r="G335" s="13">
        <f>SUM(G327:G334)</f>
        <v>11100</v>
      </c>
      <c r="H335" s="21" t="s">
        <v>44</v>
      </c>
      <c r="I335" s="22"/>
      <c r="J335" s="13">
        <f>D334-G335</f>
        <v>50000</v>
      </c>
    </row>
    <row r="336" spans="1:10" ht="12.75" customHeight="1">
      <c r="A336" s="3" t="s">
        <v>45</v>
      </c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2.75" customHeight="1">
      <c r="A338" s="3"/>
      <c r="B338" s="3" t="s">
        <v>47</v>
      </c>
      <c r="C338" s="3"/>
      <c r="D338" s="3"/>
      <c r="E338" s="3" t="s">
        <v>48</v>
      </c>
      <c r="F338" s="3"/>
      <c r="G338" s="3"/>
      <c r="H338" s="3" t="s">
        <v>49</v>
      </c>
      <c r="I338" s="3"/>
      <c r="J338" s="3"/>
    </row>
    <row r="339" spans="1:10" ht="12.75" customHeight="1">
      <c r="A339" s="184" t="s">
        <v>0</v>
      </c>
      <c r="B339" s="185"/>
      <c r="C339" s="185"/>
      <c r="D339" s="185"/>
      <c r="E339" s="185"/>
      <c r="F339" s="185"/>
      <c r="G339" s="185"/>
      <c r="H339" s="185"/>
      <c r="I339" s="185"/>
      <c r="J339" s="186"/>
    </row>
    <row r="340" spans="1:10" ht="12.75" customHeight="1">
      <c r="A340" s="187" t="s">
        <v>1</v>
      </c>
      <c r="B340" s="188"/>
      <c r="C340" s="188"/>
      <c r="D340" s="188"/>
      <c r="E340" s="188"/>
      <c r="F340" s="188"/>
      <c r="G340" s="188"/>
      <c r="H340" s="188"/>
      <c r="I340" s="188"/>
      <c r="J340" s="189"/>
    </row>
    <row r="341" spans="1:10" ht="12.75" customHeight="1">
      <c r="A341" s="1" t="s">
        <v>2</v>
      </c>
      <c r="B341" s="1"/>
      <c r="C341" s="190" t="s">
        <v>322</v>
      </c>
      <c r="D341" s="190"/>
      <c r="E341" s="2"/>
      <c r="F341" s="3"/>
      <c r="G341" s="1" t="s">
        <v>4</v>
      </c>
      <c r="H341" s="191" t="s">
        <v>205</v>
      </c>
      <c r="I341" s="191"/>
      <c r="J341" s="191"/>
    </row>
    <row r="342" spans="1:10" ht="12.75" customHeight="1">
      <c r="A342" s="1" t="s">
        <v>6</v>
      </c>
      <c r="B342" s="1"/>
      <c r="C342" s="25" t="s">
        <v>323</v>
      </c>
      <c r="D342" s="25"/>
      <c r="E342" s="2"/>
      <c r="F342" s="3"/>
      <c r="G342" s="1" t="s">
        <v>8</v>
      </c>
      <c r="H342" s="193" t="s">
        <v>9</v>
      </c>
      <c r="I342" s="193"/>
      <c r="J342" s="193"/>
    </row>
    <row r="343" spans="1:10" ht="12.75" customHeight="1">
      <c r="A343" s="6" t="s">
        <v>10</v>
      </c>
      <c r="B343" s="6"/>
      <c r="C343" s="194" t="s">
        <v>261</v>
      </c>
      <c r="D343" s="194"/>
      <c r="E343" s="2"/>
      <c r="F343" s="3"/>
      <c r="G343" s="1" t="s">
        <v>12</v>
      </c>
      <c r="H343" s="195" t="s">
        <v>13</v>
      </c>
      <c r="I343" s="195"/>
      <c r="J343" s="195"/>
    </row>
    <row r="344" spans="1:10" ht="12.75" customHeight="1">
      <c r="A344" s="2" t="s">
        <v>14</v>
      </c>
      <c r="B344" s="2"/>
      <c r="C344" s="1" t="s">
        <v>15</v>
      </c>
      <c r="D344" s="1"/>
      <c r="E344" s="2"/>
      <c r="F344" s="3"/>
      <c r="G344" s="1" t="s">
        <v>16</v>
      </c>
      <c r="H344" s="209" t="s">
        <v>171</v>
      </c>
      <c r="I344" s="209"/>
      <c r="J344" s="209"/>
    </row>
    <row r="345" spans="1:10" ht="12.75" customHeight="1">
      <c r="A345" s="2">
        <v>30</v>
      </c>
      <c r="B345" s="2"/>
      <c r="C345" s="2">
        <f>A345-H345</f>
        <v>0</v>
      </c>
      <c r="D345" s="2"/>
      <c r="E345" s="2"/>
      <c r="F345" s="3"/>
      <c r="G345" s="8" t="s">
        <v>18</v>
      </c>
      <c r="H345" s="197">
        <v>30</v>
      </c>
      <c r="I345" s="197"/>
      <c r="J345" s="197"/>
    </row>
    <row r="346" spans="1:10" ht="12.75" customHeight="1">
      <c r="A346" s="198" t="s">
        <v>19</v>
      </c>
      <c r="B346" s="199"/>
      <c r="C346" s="200"/>
      <c r="D346" s="13" t="s">
        <v>20</v>
      </c>
      <c r="E346" s="14" t="s">
        <v>21</v>
      </c>
      <c r="F346" s="15"/>
      <c r="G346" s="16" t="s">
        <v>20</v>
      </c>
      <c r="H346" s="201" t="s">
        <v>22</v>
      </c>
      <c r="I346" s="202"/>
      <c r="J346" s="203"/>
    </row>
    <row r="347" spans="1:10" ht="12.75" customHeight="1">
      <c r="A347" s="17" t="s">
        <v>56</v>
      </c>
      <c r="B347" s="1"/>
      <c r="C347" s="1"/>
      <c r="D347" s="2">
        <v>55000</v>
      </c>
      <c r="E347" s="17" t="s">
        <v>24</v>
      </c>
      <c r="F347" s="1"/>
      <c r="G347" s="2" t="s">
        <v>25</v>
      </c>
      <c r="H347" s="18" t="s">
        <v>26</v>
      </c>
      <c r="I347" s="23"/>
      <c r="J347" s="24"/>
    </row>
    <row r="348" spans="1:10" ht="12.75" customHeight="1">
      <c r="A348" s="17" t="s">
        <v>57</v>
      </c>
      <c r="B348" s="209" t="s">
        <v>324</v>
      </c>
      <c r="C348" s="209"/>
      <c r="D348" s="2">
        <v>3208</v>
      </c>
      <c r="E348" s="17" t="s">
        <v>28</v>
      </c>
      <c r="F348" s="1"/>
      <c r="G348" s="2" t="s">
        <v>25</v>
      </c>
      <c r="H348" s="18" t="s">
        <v>29</v>
      </c>
      <c r="I348" s="23"/>
      <c r="J348" s="24"/>
    </row>
    <row r="349" spans="1:10" ht="12.75" customHeight="1">
      <c r="A349" s="17" t="s">
        <v>30</v>
      </c>
      <c r="B349" s="1"/>
      <c r="C349" s="1"/>
      <c r="D349" s="2">
        <v>6892</v>
      </c>
      <c r="E349" s="17" t="s">
        <v>58</v>
      </c>
      <c r="F349" s="1"/>
      <c r="G349" s="2" t="s">
        <v>25</v>
      </c>
      <c r="H349" s="18" t="s">
        <v>32</v>
      </c>
      <c r="I349" s="23"/>
      <c r="J349" s="24"/>
    </row>
    <row r="350" spans="1:10" ht="12.75" customHeight="1">
      <c r="A350" s="17" t="s">
        <v>321</v>
      </c>
      <c r="B350" s="209"/>
      <c r="C350" s="209"/>
      <c r="D350" s="2" t="s">
        <v>25</v>
      </c>
      <c r="E350" s="17" t="s">
        <v>35</v>
      </c>
      <c r="F350" s="1"/>
      <c r="G350" s="2" t="s">
        <v>25</v>
      </c>
      <c r="H350" s="18"/>
      <c r="I350" s="6"/>
      <c r="J350" s="19"/>
    </row>
    <row r="351" spans="1:10" ht="12.75" customHeight="1">
      <c r="A351" s="17" t="s">
        <v>78</v>
      </c>
      <c r="B351" s="1"/>
      <c r="C351" s="1"/>
      <c r="D351" s="2" t="s">
        <v>25</v>
      </c>
      <c r="E351" s="17" t="s">
        <v>37</v>
      </c>
      <c r="F351" s="1"/>
      <c r="G351" s="2" t="s">
        <v>25</v>
      </c>
      <c r="H351" s="18" t="s">
        <v>325</v>
      </c>
      <c r="I351" s="6"/>
      <c r="J351" s="19"/>
    </row>
    <row r="352" spans="1:10" ht="12.75" customHeight="1">
      <c r="A352" s="17" t="s">
        <v>136</v>
      </c>
      <c r="B352" s="1"/>
      <c r="C352" s="1"/>
      <c r="D352" s="2" t="s">
        <v>25</v>
      </c>
      <c r="E352" s="17" t="s">
        <v>39</v>
      </c>
      <c r="F352" s="1"/>
      <c r="G352" s="2">
        <v>100</v>
      </c>
      <c r="H352" s="18" t="s">
        <v>326</v>
      </c>
      <c r="I352" s="6"/>
      <c r="J352" s="19"/>
    </row>
    <row r="353" spans="1:10" ht="12.75" customHeight="1">
      <c r="A353" s="18" t="s">
        <v>40</v>
      </c>
      <c r="B353" s="6"/>
      <c r="C353" s="6"/>
      <c r="D353" s="2" t="s">
        <v>25</v>
      </c>
      <c r="E353" s="17" t="s">
        <v>161</v>
      </c>
      <c r="F353" s="2"/>
      <c r="G353" s="2" t="s">
        <v>25</v>
      </c>
      <c r="H353" s="18"/>
      <c r="I353" s="6"/>
      <c r="J353" s="19"/>
    </row>
    <row r="354" spans="1:10" ht="12.75" customHeight="1">
      <c r="A354" s="204" t="s">
        <v>63</v>
      </c>
      <c r="B354" s="205"/>
      <c r="C354" s="206"/>
      <c r="D354" s="229">
        <f>SUM(D347:D353)</f>
        <v>65100</v>
      </c>
      <c r="E354" s="1" t="s">
        <v>43</v>
      </c>
      <c r="F354" s="1"/>
      <c r="G354" s="2" t="s">
        <v>25</v>
      </c>
      <c r="H354" s="18"/>
      <c r="I354" s="6"/>
      <c r="J354" s="19"/>
    </row>
    <row r="355" spans="1:10" ht="12.75" customHeight="1">
      <c r="A355" s="207"/>
      <c r="B355" s="197"/>
      <c r="C355" s="208"/>
      <c r="D355" s="230"/>
      <c r="E355" s="21" t="s">
        <v>21</v>
      </c>
      <c r="F355" s="22"/>
      <c r="G355" s="13">
        <f>SUM(G347:G354)</f>
        <v>100</v>
      </c>
      <c r="H355" s="21" t="s">
        <v>44</v>
      </c>
      <c r="I355" s="22"/>
      <c r="J355" s="13">
        <f>D354-G355</f>
        <v>65000</v>
      </c>
    </row>
    <row r="356" spans="1:10" ht="12.75" customHeight="1">
      <c r="A356" s="3" t="s">
        <v>45</v>
      </c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2.75" customHeight="1">
      <c r="A358" s="3"/>
      <c r="B358" s="3" t="s">
        <v>47</v>
      </c>
      <c r="C358" s="3"/>
      <c r="D358" s="3"/>
      <c r="E358" s="3" t="s">
        <v>48</v>
      </c>
      <c r="F358" s="3"/>
      <c r="G358" s="3"/>
      <c r="H358" s="3" t="s">
        <v>49</v>
      </c>
      <c r="I358" s="3"/>
      <c r="J358" s="3"/>
    </row>
    <row r="359" spans="1:10" ht="12.75" customHeight="1">
      <c r="A359" s="184" t="s">
        <v>0</v>
      </c>
      <c r="B359" s="185"/>
      <c r="C359" s="185"/>
      <c r="D359" s="185"/>
      <c r="E359" s="185"/>
      <c r="F359" s="185"/>
      <c r="G359" s="185"/>
      <c r="H359" s="185"/>
      <c r="I359" s="185"/>
      <c r="J359" s="186"/>
    </row>
    <row r="360" spans="1:10" ht="12.75" customHeight="1">
      <c r="A360" s="187" t="s">
        <v>1</v>
      </c>
      <c r="B360" s="188"/>
      <c r="C360" s="188"/>
      <c r="D360" s="188"/>
      <c r="E360" s="188"/>
      <c r="F360" s="188"/>
      <c r="G360" s="188"/>
      <c r="H360" s="188"/>
      <c r="I360" s="188"/>
      <c r="J360" s="189"/>
    </row>
    <row r="361" spans="1:10" ht="12.75" customHeight="1">
      <c r="A361" s="1" t="s">
        <v>2</v>
      </c>
      <c r="B361" s="1"/>
      <c r="C361" s="191" t="s">
        <v>327</v>
      </c>
      <c r="D361" s="191"/>
      <c r="E361" s="191"/>
      <c r="F361" s="3"/>
      <c r="G361" s="1" t="s">
        <v>4</v>
      </c>
      <c r="H361" s="191" t="s">
        <v>205</v>
      </c>
      <c r="I361" s="191"/>
      <c r="J361" s="191"/>
    </row>
    <row r="362" spans="1:10" ht="12.75" customHeight="1">
      <c r="A362" s="1" t="s">
        <v>6</v>
      </c>
      <c r="B362" s="1"/>
      <c r="C362" s="196" t="s">
        <v>326</v>
      </c>
      <c r="D362" s="196"/>
      <c r="E362" s="196"/>
      <c r="F362" s="3"/>
      <c r="G362" s="1" t="s">
        <v>8</v>
      </c>
      <c r="H362" s="193" t="s">
        <v>9</v>
      </c>
      <c r="I362" s="193"/>
      <c r="J362" s="193"/>
    </row>
    <row r="363" spans="1:10" ht="12.75" customHeight="1">
      <c r="A363" s="6" t="s">
        <v>10</v>
      </c>
      <c r="B363" s="6"/>
      <c r="C363" s="209" t="s">
        <v>328</v>
      </c>
      <c r="D363" s="209"/>
      <c r="E363" s="209"/>
      <c r="F363" s="3"/>
      <c r="G363" s="1" t="s">
        <v>12</v>
      </c>
      <c r="H363" s="195" t="s">
        <v>13</v>
      </c>
      <c r="I363" s="195"/>
      <c r="J363" s="195"/>
    </row>
    <row r="364" spans="1:10" ht="12.75" customHeight="1">
      <c r="A364" s="6" t="s">
        <v>14</v>
      </c>
      <c r="B364" s="6"/>
      <c r="C364" s="2" t="s">
        <v>15</v>
      </c>
      <c r="D364" s="2"/>
      <c r="E364" s="36"/>
      <c r="F364" s="3"/>
      <c r="G364" s="1" t="s">
        <v>16</v>
      </c>
      <c r="H364" s="196" t="s">
        <v>329</v>
      </c>
      <c r="I364" s="196"/>
      <c r="J364" s="196"/>
    </row>
    <row r="365" spans="1:10" ht="12.75" customHeight="1">
      <c r="A365" s="6">
        <v>30</v>
      </c>
      <c r="B365" s="6"/>
      <c r="C365" s="2">
        <f>A365-I365</f>
        <v>16</v>
      </c>
      <c r="D365" s="2"/>
      <c r="E365" s="2"/>
      <c r="F365" s="3"/>
      <c r="G365" s="8" t="s">
        <v>18</v>
      </c>
      <c r="H365" s="8"/>
      <c r="I365" s="9">
        <v>14</v>
      </c>
      <c r="J365" s="9"/>
    </row>
    <row r="366" spans="1:10" ht="12.75" customHeight="1">
      <c r="A366" s="198" t="s">
        <v>19</v>
      </c>
      <c r="B366" s="199"/>
      <c r="C366" s="200"/>
      <c r="D366" s="13" t="s">
        <v>20</v>
      </c>
      <c r="E366" s="14" t="s">
        <v>21</v>
      </c>
      <c r="F366" s="15"/>
      <c r="G366" s="16" t="s">
        <v>20</v>
      </c>
      <c r="H366" s="201"/>
      <c r="I366" s="202"/>
      <c r="J366" s="203"/>
    </row>
    <row r="367" spans="1:10" ht="12.75" customHeight="1">
      <c r="A367" s="17" t="s">
        <v>23</v>
      </c>
      <c r="B367" s="1"/>
      <c r="C367" s="1"/>
      <c r="D367" s="2">
        <v>40000</v>
      </c>
      <c r="E367" s="17" t="s">
        <v>28</v>
      </c>
      <c r="F367" s="1"/>
      <c r="G367" s="2" t="s">
        <v>25</v>
      </c>
      <c r="H367" s="18" t="s">
        <v>26</v>
      </c>
      <c r="I367" s="23"/>
      <c r="J367" s="24"/>
    </row>
    <row r="368" spans="1:10" ht="12.75" customHeight="1">
      <c r="A368" s="17" t="s">
        <v>77</v>
      </c>
      <c r="B368" s="209" t="s">
        <v>330</v>
      </c>
      <c r="C368" s="209"/>
      <c r="D368" s="2">
        <v>5111</v>
      </c>
      <c r="E368" s="17" t="s">
        <v>141</v>
      </c>
      <c r="F368" s="1"/>
      <c r="G368" s="2" t="s">
        <v>25</v>
      </c>
      <c r="H368" s="18" t="s">
        <v>29</v>
      </c>
      <c r="I368" s="23"/>
      <c r="J368" s="24"/>
    </row>
    <row r="369" spans="1:10" ht="12.75" customHeight="1">
      <c r="A369" s="17" t="s">
        <v>30</v>
      </c>
      <c r="B369" s="1"/>
      <c r="C369" s="1"/>
      <c r="D369" s="2"/>
      <c r="E369" s="17" t="s">
        <v>58</v>
      </c>
      <c r="F369" s="1"/>
      <c r="G369" s="2" t="s">
        <v>25</v>
      </c>
      <c r="H369" s="18" t="s">
        <v>32</v>
      </c>
      <c r="I369" s="23"/>
      <c r="J369" s="24"/>
    </row>
    <row r="370" spans="1:10" ht="12.75" customHeight="1">
      <c r="A370" s="17" t="s">
        <v>331</v>
      </c>
      <c r="B370" s="1"/>
      <c r="C370" s="1"/>
      <c r="D370" s="2" t="s">
        <v>25</v>
      </c>
      <c r="E370" s="17" t="s">
        <v>35</v>
      </c>
      <c r="F370" s="1"/>
      <c r="G370" s="2">
        <v>21333</v>
      </c>
      <c r="H370" s="18"/>
      <c r="I370" s="6"/>
      <c r="J370" s="19"/>
    </row>
    <row r="371" spans="1:10" ht="12.75" customHeight="1">
      <c r="A371" s="17" t="s">
        <v>239</v>
      </c>
      <c r="B371" s="1"/>
      <c r="C371" s="1"/>
      <c r="D371" s="2" t="s">
        <v>25</v>
      </c>
      <c r="E371" s="17" t="s">
        <v>61</v>
      </c>
      <c r="F371" s="1"/>
      <c r="G371" s="2" t="s">
        <v>25</v>
      </c>
      <c r="H371" s="18"/>
      <c r="I371" s="6"/>
      <c r="J371" s="40"/>
    </row>
    <row r="372" spans="1:10" ht="12.75" customHeight="1">
      <c r="A372" s="17" t="s">
        <v>36</v>
      </c>
      <c r="B372" s="1"/>
      <c r="C372" s="1"/>
      <c r="D372" s="2" t="s">
        <v>25</v>
      </c>
      <c r="E372" s="17" t="s">
        <v>39</v>
      </c>
      <c r="F372" s="1"/>
      <c r="G372" s="2">
        <v>100</v>
      </c>
      <c r="H372" s="18" t="s">
        <v>332</v>
      </c>
      <c r="I372" s="6"/>
      <c r="J372" s="40"/>
    </row>
    <row r="373" spans="1:10" ht="12.75" customHeight="1">
      <c r="A373" s="18" t="s">
        <v>40</v>
      </c>
      <c r="B373" s="6"/>
      <c r="C373" s="6"/>
      <c r="D373" s="2" t="s">
        <v>25</v>
      </c>
      <c r="E373" s="17" t="s">
        <v>333</v>
      </c>
      <c r="F373" s="1"/>
      <c r="G373" s="2" t="s">
        <v>25</v>
      </c>
      <c r="H373" s="18"/>
      <c r="I373" s="6"/>
      <c r="J373" s="40"/>
    </row>
    <row r="374" spans="1:10" ht="12.75" customHeight="1">
      <c r="A374" s="204" t="s">
        <v>63</v>
      </c>
      <c r="B374" s="205"/>
      <c r="C374" s="206"/>
      <c r="D374" s="229">
        <f>SUM(D367:D373)</f>
        <v>45111</v>
      </c>
      <c r="E374" s="1" t="s">
        <v>78</v>
      </c>
      <c r="F374" s="1"/>
      <c r="G374" s="2" t="s">
        <v>25</v>
      </c>
      <c r="H374" s="18"/>
      <c r="I374" s="6"/>
      <c r="J374" s="40"/>
    </row>
    <row r="375" spans="1:10" ht="12.75" customHeight="1">
      <c r="A375" s="207"/>
      <c r="B375" s="197"/>
      <c r="C375" s="208"/>
      <c r="D375" s="230"/>
      <c r="E375" s="21" t="s">
        <v>21</v>
      </c>
      <c r="F375" s="22"/>
      <c r="G375" s="13">
        <f>SUM(G367:G374)</f>
        <v>21433</v>
      </c>
      <c r="H375" s="21" t="s">
        <v>44</v>
      </c>
      <c r="I375" s="22"/>
      <c r="J375" s="13">
        <f>D374-G375</f>
        <v>23678</v>
      </c>
    </row>
    <row r="376" spans="1:10" ht="12.75" customHeight="1">
      <c r="A376" s="3" t="s">
        <v>45</v>
      </c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2.75" customHeight="1"/>
    <row r="378" spans="1:10" ht="12.75" customHeight="1">
      <c r="B378" s="3" t="s">
        <v>47</v>
      </c>
      <c r="C378" s="3"/>
      <c r="D378" s="3"/>
      <c r="E378" s="3" t="s">
        <v>48</v>
      </c>
      <c r="F378" s="3"/>
      <c r="G378" s="3"/>
      <c r="H378" s="3" t="s">
        <v>49</v>
      </c>
      <c r="I378" s="3"/>
      <c r="J378" s="3"/>
    </row>
    <row r="379" spans="1:10" ht="12.75" customHeight="1">
      <c r="A379" s="184" t="s">
        <v>0</v>
      </c>
      <c r="B379" s="185"/>
      <c r="C379" s="185"/>
      <c r="D379" s="185"/>
      <c r="E379" s="185"/>
      <c r="F379" s="185"/>
      <c r="G379" s="185"/>
      <c r="H379" s="185"/>
      <c r="I379" s="185"/>
      <c r="J379" s="186"/>
    </row>
    <row r="380" spans="1:10" ht="12.75" customHeight="1">
      <c r="A380" s="187" t="s">
        <v>1</v>
      </c>
      <c r="B380" s="188"/>
      <c r="C380" s="188"/>
      <c r="D380" s="188"/>
      <c r="E380" s="188"/>
      <c r="F380" s="188"/>
      <c r="G380" s="188"/>
      <c r="H380" s="188"/>
      <c r="I380" s="188"/>
      <c r="J380" s="189"/>
    </row>
    <row r="381" spans="1:10" ht="12.75" customHeight="1">
      <c r="A381" s="1" t="s">
        <v>2</v>
      </c>
      <c r="B381" s="1"/>
      <c r="C381" s="191" t="s">
        <v>327</v>
      </c>
      <c r="D381" s="191"/>
      <c r="E381" s="191"/>
      <c r="F381" s="3"/>
      <c r="G381" s="1" t="s">
        <v>4</v>
      </c>
      <c r="H381" s="191" t="s">
        <v>205</v>
      </c>
      <c r="I381" s="191"/>
      <c r="J381" s="191"/>
    </row>
    <row r="382" spans="1:10" ht="12.75" customHeight="1">
      <c r="A382" s="1" t="s">
        <v>6</v>
      </c>
      <c r="B382" s="1"/>
      <c r="C382" s="196" t="s">
        <v>334</v>
      </c>
      <c r="D382" s="196"/>
      <c r="E382" s="196"/>
      <c r="F382" s="3"/>
      <c r="G382" s="1" t="s">
        <v>8</v>
      </c>
      <c r="H382" s="193" t="s">
        <v>9</v>
      </c>
      <c r="I382" s="193"/>
      <c r="J382" s="193"/>
    </row>
    <row r="383" spans="1:10" ht="12.75" customHeight="1">
      <c r="A383" s="6" t="s">
        <v>10</v>
      </c>
      <c r="B383" s="6"/>
      <c r="C383" s="209" t="s">
        <v>328</v>
      </c>
      <c r="D383" s="209"/>
      <c r="E383" s="209"/>
      <c r="F383" s="3"/>
      <c r="G383" s="1" t="s">
        <v>12</v>
      </c>
      <c r="H383" s="195" t="s">
        <v>13</v>
      </c>
      <c r="I383" s="195"/>
      <c r="J383" s="195"/>
    </row>
    <row r="384" spans="1:10" ht="12.75" customHeight="1">
      <c r="A384" s="6" t="s">
        <v>14</v>
      </c>
      <c r="B384" s="6"/>
      <c r="C384" s="2" t="s">
        <v>15</v>
      </c>
      <c r="D384" s="2"/>
      <c r="E384" s="36"/>
      <c r="F384" s="3"/>
      <c r="G384" s="1" t="s">
        <v>16</v>
      </c>
      <c r="H384" s="196" t="s">
        <v>140</v>
      </c>
      <c r="I384" s="196"/>
      <c r="J384" s="196"/>
    </row>
    <row r="385" spans="1:10" ht="12.75" customHeight="1">
      <c r="A385" s="6">
        <v>30</v>
      </c>
      <c r="B385" s="6"/>
      <c r="C385" s="2">
        <f>A385-I385</f>
        <v>23</v>
      </c>
      <c r="D385" s="2"/>
      <c r="E385" s="2"/>
      <c r="F385" s="3"/>
      <c r="G385" s="8" t="s">
        <v>18</v>
      </c>
      <c r="H385" s="8"/>
      <c r="I385" s="9">
        <v>7</v>
      </c>
      <c r="J385" s="9"/>
    </row>
    <row r="386" spans="1:10" ht="12.75" customHeight="1">
      <c r="A386" s="198" t="s">
        <v>19</v>
      </c>
      <c r="B386" s="199"/>
      <c r="C386" s="200"/>
      <c r="D386" s="13" t="s">
        <v>20</v>
      </c>
      <c r="E386" s="14" t="s">
        <v>21</v>
      </c>
      <c r="F386" s="15"/>
      <c r="G386" s="16" t="s">
        <v>20</v>
      </c>
      <c r="H386" s="201"/>
      <c r="I386" s="202"/>
      <c r="J386" s="203"/>
    </row>
    <row r="387" spans="1:10" ht="12.75" customHeight="1">
      <c r="A387" s="17" t="s">
        <v>23</v>
      </c>
      <c r="B387" s="1"/>
      <c r="C387" s="1"/>
      <c r="D387" s="2">
        <v>35000</v>
      </c>
      <c r="E387" s="17" t="s">
        <v>28</v>
      </c>
      <c r="F387" s="1"/>
      <c r="G387" s="2" t="s">
        <v>25</v>
      </c>
      <c r="H387" s="18" t="s">
        <v>26</v>
      </c>
      <c r="I387" s="23"/>
      <c r="J387" s="24"/>
    </row>
    <row r="388" spans="1:10" ht="12.75" customHeight="1">
      <c r="A388" s="17" t="s">
        <v>77</v>
      </c>
      <c r="B388" s="209"/>
      <c r="C388" s="209"/>
      <c r="D388" s="2" t="s">
        <v>25</v>
      </c>
      <c r="E388" s="17" t="s">
        <v>141</v>
      </c>
      <c r="F388" s="1"/>
      <c r="G388" s="2" t="s">
        <v>25</v>
      </c>
      <c r="H388" s="18" t="s">
        <v>29</v>
      </c>
      <c r="I388" s="23"/>
      <c r="J388" s="24"/>
    </row>
    <row r="389" spans="1:10" ht="12.75" customHeight="1">
      <c r="A389" s="17" t="s">
        <v>30</v>
      </c>
      <c r="B389" s="1"/>
      <c r="C389" s="1"/>
      <c r="D389" s="2">
        <v>600</v>
      </c>
      <c r="E389" s="17" t="s">
        <v>58</v>
      </c>
      <c r="F389" s="1"/>
      <c r="G389" s="2">
        <v>1667</v>
      </c>
      <c r="H389" s="18" t="s">
        <v>32</v>
      </c>
      <c r="I389" s="23"/>
      <c r="J389" s="24"/>
    </row>
    <row r="390" spans="1:10" ht="12.75" customHeight="1">
      <c r="A390" s="17" t="s">
        <v>331</v>
      </c>
      <c r="B390" s="1"/>
      <c r="C390" s="1"/>
      <c r="D390" s="2" t="s">
        <v>25</v>
      </c>
      <c r="E390" s="17" t="s">
        <v>35</v>
      </c>
      <c r="F390" s="1"/>
      <c r="G390" s="2">
        <v>26833</v>
      </c>
      <c r="H390" s="18"/>
      <c r="I390" s="6"/>
      <c r="J390" s="19"/>
    </row>
    <row r="391" spans="1:10" ht="12.75" customHeight="1">
      <c r="A391" s="17" t="s">
        <v>239</v>
      </c>
      <c r="B391" s="1"/>
      <c r="C391" s="1"/>
      <c r="D391" s="2" t="s">
        <v>25</v>
      </c>
      <c r="E391" s="17" t="s">
        <v>61</v>
      </c>
      <c r="F391" s="1"/>
      <c r="G391" s="2" t="s">
        <v>25</v>
      </c>
      <c r="H391" s="18"/>
      <c r="I391" s="6"/>
      <c r="J391" s="40"/>
    </row>
    <row r="392" spans="1:10" ht="12.75" customHeight="1">
      <c r="A392" s="17" t="s">
        <v>36</v>
      </c>
      <c r="B392" s="1"/>
      <c r="C392" s="1"/>
      <c r="D392" s="2" t="s">
        <v>25</v>
      </c>
      <c r="E392" s="17" t="s">
        <v>39</v>
      </c>
      <c r="F392" s="1"/>
      <c r="G392" s="2">
        <v>100</v>
      </c>
      <c r="H392" s="18" t="s">
        <v>332</v>
      </c>
      <c r="I392" s="6"/>
      <c r="J392" s="40"/>
    </row>
    <row r="393" spans="1:10" ht="12.75" customHeight="1">
      <c r="A393" s="18" t="s">
        <v>40</v>
      </c>
      <c r="B393" s="6"/>
      <c r="C393" s="6"/>
      <c r="D393" s="2" t="s">
        <v>25</v>
      </c>
      <c r="E393" s="17" t="s">
        <v>333</v>
      </c>
      <c r="F393" s="1"/>
      <c r="G393" s="2" t="s">
        <v>25</v>
      </c>
      <c r="H393" s="18"/>
      <c r="I393" s="6"/>
      <c r="J393" s="40"/>
    </row>
    <row r="394" spans="1:10" ht="12.75" customHeight="1">
      <c r="A394" s="204" t="s">
        <v>63</v>
      </c>
      <c r="B394" s="205"/>
      <c r="C394" s="206"/>
      <c r="D394" s="229">
        <f>SUM(D387:D393)</f>
        <v>35600</v>
      </c>
      <c r="E394" s="1" t="s">
        <v>78</v>
      </c>
      <c r="F394" s="1"/>
      <c r="G394" s="2" t="s">
        <v>25</v>
      </c>
      <c r="H394" s="18"/>
      <c r="I394" s="6"/>
      <c r="J394" s="40"/>
    </row>
    <row r="395" spans="1:10" ht="12.75" customHeight="1">
      <c r="A395" s="207"/>
      <c r="B395" s="197"/>
      <c r="C395" s="208"/>
      <c r="D395" s="230"/>
      <c r="E395" s="21" t="s">
        <v>21</v>
      </c>
      <c r="F395" s="22"/>
      <c r="G395" s="13">
        <f>SUM(G387:G394)</f>
        <v>28600</v>
      </c>
      <c r="H395" s="21" t="s">
        <v>44</v>
      </c>
      <c r="I395" s="22"/>
      <c r="J395" s="13">
        <f>D394-G395</f>
        <v>7000</v>
      </c>
    </row>
    <row r="396" spans="1:10" ht="12.75" customHeight="1">
      <c r="A396" s="3" t="s">
        <v>45</v>
      </c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2.75" customHeight="1"/>
    <row r="398" spans="1:10" ht="12.75" customHeight="1">
      <c r="B398" s="3" t="s">
        <v>47</v>
      </c>
      <c r="C398" s="3"/>
      <c r="D398" s="3"/>
      <c r="E398" s="3" t="s">
        <v>48</v>
      </c>
      <c r="F398" s="3"/>
      <c r="G398" s="3"/>
      <c r="H398" s="3" t="s">
        <v>49</v>
      </c>
      <c r="I398" s="3"/>
      <c r="J398" s="3"/>
    </row>
    <row r="399" spans="1:10" ht="12.75" customHeight="1">
      <c r="A399" s="184" t="s">
        <v>0</v>
      </c>
      <c r="B399" s="185"/>
      <c r="C399" s="185"/>
      <c r="D399" s="185"/>
      <c r="E399" s="185"/>
      <c r="F399" s="185"/>
      <c r="G399" s="185"/>
      <c r="H399" s="185"/>
      <c r="I399" s="185"/>
      <c r="J399" s="186"/>
    </row>
    <row r="400" spans="1:10" ht="12.75" customHeight="1">
      <c r="A400" s="187" t="s">
        <v>1</v>
      </c>
      <c r="B400" s="188"/>
      <c r="C400" s="188"/>
      <c r="D400" s="188"/>
      <c r="E400" s="188"/>
      <c r="F400" s="188"/>
      <c r="G400" s="188"/>
      <c r="H400" s="188"/>
      <c r="I400" s="188"/>
      <c r="J400" s="189"/>
    </row>
    <row r="401" spans="1:10" ht="12.75" customHeight="1">
      <c r="A401" s="1" t="s">
        <v>2</v>
      </c>
      <c r="B401" s="1"/>
      <c r="C401" s="235" t="s">
        <v>210</v>
      </c>
      <c r="D401" s="235"/>
      <c r="E401" s="2"/>
      <c r="F401" s="3"/>
      <c r="G401" s="1" t="s">
        <v>4</v>
      </c>
      <c r="H401" s="193" t="s">
        <v>211</v>
      </c>
      <c r="I401" s="193"/>
      <c r="J401" s="193"/>
    </row>
    <row r="402" spans="1:10" ht="12.75" customHeight="1">
      <c r="A402" s="1" t="s">
        <v>6</v>
      </c>
      <c r="B402" s="1"/>
      <c r="C402" s="236" t="s">
        <v>335</v>
      </c>
      <c r="D402" s="236"/>
      <c r="E402" s="2"/>
      <c r="F402" s="3"/>
      <c r="G402" s="1" t="s">
        <v>8</v>
      </c>
      <c r="H402" s="193" t="s">
        <v>9</v>
      </c>
      <c r="I402" s="193"/>
      <c r="J402" s="193"/>
    </row>
    <row r="403" spans="1:10" ht="12.75" customHeight="1">
      <c r="A403" s="6" t="s">
        <v>10</v>
      </c>
      <c r="B403" s="6"/>
      <c r="C403" s="237" t="s">
        <v>261</v>
      </c>
      <c r="D403" s="237"/>
      <c r="E403" s="2"/>
      <c r="F403" s="3"/>
      <c r="G403" s="1" t="s">
        <v>12</v>
      </c>
      <c r="H403" s="195" t="s">
        <v>13</v>
      </c>
      <c r="I403" s="195"/>
      <c r="J403" s="195"/>
    </row>
    <row r="404" spans="1:10" ht="12.75" customHeight="1">
      <c r="A404" s="2" t="s">
        <v>14</v>
      </c>
      <c r="B404" s="2"/>
      <c r="C404" s="2" t="s">
        <v>15</v>
      </c>
      <c r="D404" s="2"/>
      <c r="E404" s="2"/>
      <c r="F404" s="3"/>
      <c r="G404" s="1" t="s">
        <v>16</v>
      </c>
      <c r="H404" s="196" t="s">
        <v>336</v>
      </c>
      <c r="I404" s="196"/>
      <c r="J404" s="196"/>
    </row>
    <row r="405" spans="1:10" ht="12.75" customHeight="1">
      <c r="A405" s="2">
        <v>30</v>
      </c>
      <c r="B405" s="2"/>
      <c r="C405" s="2">
        <f>A405-H405</f>
        <v>0</v>
      </c>
      <c r="D405" s="2"/>
      <c r="E405" s="2"/>
      <c r="F405" s="3"/>
      <c r="G405" s="8" t="s">
        <v>18</v>
      </c>
      <c r="H405" s="197">
        <v>30</v>
      </c>
      <c r="I405" s="197"/>
      <c r="J405" s="197"/>
    </row>
    <row r="406" spans="1:10" ht="12.75" customHeight="1">
      <c r="A406" s="198" t="s">
        <v>19</v>
      </c>
      <c r="B406" s="199"/>
      <c r="C406" s="200"/>
      <c r="D406" s="13" t="s">
        <v>20</v>
      </c>
      <c r="E406" s="14" t="s">
        <v>21</v>
      </c>
      <c r="F406" s="15"/>
      <c r="G406" s="16" t="s">
        <v>20</v>
      </c>
      <c r="H406" s="201" t="s">
        <v>22</v>
      </c>
      <c r="I406" s="202"/>
      <c r="J406" s="203"/>
    </row>
    <row r="407" spans="1:10" ht="12.75" customHeight="1">
      <c r="A407" s="17" t="s">
        <v>23</v>
      </c>
      <c r="B407" s="1"/>
      <c r="C407" s="1"/>
      <c r="D407" s="2">
        <v>100000</v>
      </c>
      <c r="E407" s="17" t="s">
        <v>24</v>
      </c>
      <c r="F407" s="1"/>
      <c r="G407" s="2" t="s">
        <v>25</v>
      </c>
      <c r="H407" s="18" t="s">
        <v>26</v>
      </c>
      <c r="I407" s="6"/>
      <c r="J407" s="19"/>
    </row>
    <row r="408" spans="1:10" ht="12.75" customHeight="1">
      <c r="A408" s="17" t="s">
        <v>77</v>
      </c>
      <c r="B408" s="209" t="s">
        <v>337</v>
      </c>
      <c r="C408" s="209"/>
      <c r="D408" s="2">
        <v>5417</v>
      </c>
      <c r="E408" s="17" t="s">
        <v>28</v>
      </c>
      <c r="F408" s="1"/>
      <c r="G408" s="2" t="s">
        <v>25</v>
      </c>
      <c r="H408" s="18" t="s">
        <v>29</v>
      </c>
      <c r="I408" s="6"/>
      <c r="J408" s="19"/>
    </row>
    <row r="409" spans="1:10" ht="12.75" customHeight="1">
      <c r="A409" s="17" t="s">
        <v>30</v>
      </c>
      <c r="B409" s="1"/>
      <c r="C409" s="1"/>
      <c r="D409" s="2" t="s">
        <v>25</v>
      </c>
      <c r="E409" s="17" t="s">
        <v>58</v>
      </c>
      <c r="F409" s="1"/>
      <c r="G409" s="2" t="s">
        <v>25</v>
      </c>
      <c r="H409" s="18" t="s">
        <v>32</v>
      </c>
      <c r="I409" s="6"/>
      <c r="J409" s="19"/>
    </row>
    <row r="410" spans="1:10" ht="12.75" customHeight="1">
      <c r="A410" s="17" t="s">
        <v>147</v>
      </c>
      <c r="B410" s="1"/>
      <c r="C410" s="1"/>
      <c r="D410" s="2" t="s">
        <v>25</v>
      </c>
      <c r="E410" s="17" t="s">
        <v>141</v>
      </c>
      <c r="F410" s="1"/>
      <c r="G410" s="2">
        <v>800</v>
      </c>
      <c r="H410" s="18"/>
      <c r="I410" s="36"/>
      <c r="J410" s="19"/>
    </row>
    <row r="411" spans="1:10" ht="12.75" customHeight="1">
      <c r="A411" s="18" t="s">
        <v>27</v>
      </c>
      <c r="B411" s="6"/>
      <c r="C411" s="6"/>
      <c r="D411" s="2" t="s">
        <v>25</v>
      </c>
      <c r="E411" s="17" t="s">
        <v>35</v>
      </c>
      <c r="F411" s="1"/>
      <c r="G411" s="2" t="s">
        <v>25</v>
      </c>
      <c r="H411" s="18" t="s">
        <v>338</v>
      </c>
      <c r="I411" s="6"/>
      <c r="J411" s="19"/>
    </row>
    <row r="412" spans="1:10" ht="12.75" customHeight="1">
      <c r="A412" s="17" t="s">
        <v>136</v>
      </c>
      <c r="B412" s="1"/>
      <c r="C412" s="1"/>
      <c r="D412" s="2" t="s">
        <v>25</v>
      </c>
      <c r="E412" s="17" t="s">
        <v>39</v>
      </c>
      <c r="F412" s="1"/>
      <c r="G412" s="2">
        <v>100</v>
      </c>
      <c r="H412" s="18"/>
      <c r="I412" s="6"/>
      <c r="J412" s="19"/>
    </row>
    <row r="413" spans="1:10" ht="12.75" customHeight="1">
      <c r="A413" s="18" t="s">
        <v>40</v>
      </c>
      <c r="B413" s="6"/>
      <c r="C413" s="6"/>
      <c r="D413" s="2" t="s">
        <v>25</v>
      </c>
      <c r="E413" s="17" t="s">
        <v>61</v>
      </c>
      <c r="F413" s="1"/>
      <c r="G413" s="2" t="s">
        <v>25</v>
      </c>
      <c r="H413" s="18"/>
      <c r="I413" s="6"/>
      <c r="J413" s="19"/>
    </row>
    <row r="414" spans="1:10" ht="12.75" customHeight="1">
      <c r="A414" s="204" t="s">
        <v>63</v>
      </c>
      <c r="B414" s="205"/>
      <c r="C414" s="206"/>
      <c r="D414" s="229">
        <f>SUM(D407:D413)</f>
        <v>105417</v>
      </c>
      <c r="E414" s="1" t="s">
        <v>214</v>
      </c>
      <c r="F414" s="1"/>
      <c r="G414" s="2" t="s">
        <v>25</v>
      </c>
      <c r="H414" s="18"/>
      <c r="I414" s="6"/>
      <c r="J414" s="19"/>
    </row>
    <row r="415" spans="1:10" ht="12.75" customHeight="1">
      <c r="A415" s="207"/>
      <c r="B415" s="197"/>
      <c r="C415" s="208"/>
      <c r="D415" s="230"/>
      <c r="E415" s="21" t="s">
        <v>21</v>
      </c>
      <c r="F415" s="22"/>
      <c r="G415" s="13">
        <f>SUM(G407:G414)</f>
        <v>900</v>
      </c>
      <c r="H415" s="21" t="s">
        <v>44</v>
      </c>
      <c r="I415" s="22"/>
      <c r="J415" s="13">
        <f>D414-G415</f>
        <v>104517</v>
      </c>
    </row>
    <row r="416" spans="1:10" ht="12.75" customHeight="1">
      <c r="A416" s="3" t="s">
        <v>45</v>
      </c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2.75" customHeight="1">
      <c r="A418" s="3"/>
      <c r="B418" s="3" t="s">
        <v>47</v>
      </c>
      <c r="C418" s="3"/>
      <c r="D418" s="3"/>
      <c r="E418" s="3" t="s">
        <v>48</v>
      </c>
      <c r="F418" s="3"/>
      <c r="G418" s="3"/>
      <c r="H418" s="3" t="s">
        <v>49</v>
      </c>
      <c r="I418" s="3"/>
      <c r="J418" s="3"/>
    </row>
    <row r="419" spans="1:10" ht="12.75" customHeight="1">
      <c r="A419" s="184" t="s">
        <v>0</v>
      </c>
      <c r="B419" s="185"/>
      <c r="C419" s="185"/>
      <c r="D419" s="185"/>
      <c r="E419" s="185"/>
      <c r="F419" s="185"/>
      <c r="G419" s="185"/>
      <c r="H419" s="185"/>
      <c r="I419" s="185"/>
      <c r="J419" s="186"/>
    </row>
    <row r="420" spans="1:10" ht="12.75" customHeight="1">
      <c r="A420" s="187" t="s">
        <v>1</v>
      </c>
      <c r="B420" s="188"/>
      <c r="C420" s="188"/>
      <c r="D420" s="188"/>
      <c r="E420" s="188"/>
      <c r="F420" s="188"/>
      <c r="G420" s="188"/>
      <c r="H420" s="188"/>
      <c r="I420" s="188"/>
      <c r="J420" s="189"/>
    </row>
    <row r="421" spans="1:10" ht="12.75" customHeight="1">
      <c r="A421" s="1" t="s">
        <v>2</v>
      </c>
      <c r="B421" s="1"/>
      <c r="C421" s="235" t="s">
        <v>210</v>
      </c>
      <c r="D421" s="235"/>
      <c r="E421" s="2"/>
      <c r="F421" s="3"/>
      <c r="G421" s="1" t="s">
        <v>4</v>
      </c>
      <c r="H421" s="193" t="s">
        <v>211</v>
      </c>
      <c r="I421" s="193"/>
      <c r="J421" s="193"/>
    </row>
    <row r="422" spans="1:10" ht="12.75" customHeight="1">
      <c r="A422" s="1" t="s">
        <v>6</v>
      </c>
      <c r="B422" s="1"/>
      <c r="C422" s="236" t="s">
        <v>339</v>
      </c>
      <c r="D422" s="236"/>
      <c r="E422" s="2"/>
      <c r="F422" s="3"/>
      <c r="G422" s="1" t="s">
        <v>8</v>
      </c>
      <c r="H422" s="193" t="s">
        <v>9</v>
      </c>
      <c r="I422" s="193"/>
      <c r="J422" s="193"/>
    </row>
    <row r="423" spans="1:10" ht="12.75" customHeight="1">
      <c r="A423" s="6" t="s">
        <v>10</v>
      </c>
      <c r="B423" s="6"/>
      <c r="C423" s="237" t="s">
        <v>261</v>
      </c>
      <c r="D423" s="237"/>
      <c r="E423" s="2"/>
      <c r="F423" s="3"/>
      <c r="G423" s="1" t="s">
        <v>12</v>
      </c>
      <c r="H423" s="195" t="s">
        <v>13</v>
      </c>
      <c r="I423" s="195"/>
      <c r="J423" s="195"/>
    </row>
    <row r="424" spans="1:10" ht="12.75" customHeight="1">
      <c r="A424" s="2" t="s">
        <v>14</v>
      </c>
      <c r="B424" s="2"/>
      <c r="C424" s="2" t="s">
        <v>15</v>
      </c>
      <c r="D424" s="2"/>
      <c r="E424" s="2"/>
      <c r="F424" s="3"/>
      <c r="G424" s="1" t="s">
        <v>16</v>
      </c>
      <c r="H424" s="196" t="s">
        <v>125</v>
      </c>
      <c r="I424" s="196"/>
      <c r="J424" s="196"/>
    </row>
    <row r="425" spans="1:10" ht="12.75" customHeight="1">
      <c r="A425" s="2">
        <v>30</v>
      </c>
      <c r="B425" s="2"/>
      <c r="C425" s="2">
        <f>A425-H425</f>
        <v>7</v>
      </c>
      <c r="D425" s="2"/>
      <c r="E425" s="2"/>
      <c r="F425" s="3"/>
      <c r="G425" s="8" t="s">
        <v>18</v>
      </c>
      <c r="H425" s="197">
        <v>23</v>
      </c>
      <c r="I425" s="197"/>
      <c r="J425" s="197"/>
    </row>
    <row r="426" spans="1:10" ht="12.75" customHeight="1">
      <c r="A426" s="198" t="s">
        <v>19</v>
      </c>
      <c r="B426" s="199"/>
      <c r="C426" s="200"/>
      <c r="D426" s="13" t="s">
        <v>20</v>
      </c>
      <c r="E426" s="14" t="s">
        <v>21</v>
      </c>
      <c r="F426" s="15"/>
      <c r="G426" s="16" t="s">
        <v>20</v>
      </c>
      <c r="H426" s="201" t="s">
        <v>22</v>
      </c>
      <c r="I426" s="202"/>
      <c r="J426" s="203"/>
    </row>
    <row r="427" spans="1:10" ht="12.75" customHeight="1">
      <c r="A427" s="17" t="s">
        <v>23</v>
      </c>
      <c r="B427" s="1"/>
      <c r="C427" s="1"/>
      <c r="D427" s="2">
        <v>60000</v>
      </c>
      <c r="E427" s="17" t="s">
        <v>24</v>
      </c>
      <c r="F427" s="1"/>
      <c r="G427" s="2" t="s">
        <v>25</v>
      </c>
      <c r="H427" s="18" t="s">
        <v>26</v>
      </c>
      <c r="I427" s="6"/>
      <c r="J427" s="19"/>
    </row>
    <row r="428" spans="1:10" ht="12.75" customHeight="1">
      <c r="A428" s="17" t="s">
        <v>77</v>
      </c>
      <c r="B428" s="209"/>
      <c r="C428" s="209"/>
      <c r="D428" s="2" t="s">
        <v>25</v>
      </c>
      <c r="E428" s="17" t="s">
        <v>28</v>
      </c>
      <c r="F428" s="1"/>
      <c r="G428" s="2" t="s">
        <v>25</v>
      </c>
      <c r="H428" s="18" t="s">
        <v>29</v>
      </c>
      <c r="I428" s="6"/>
      <c r="J428" s="19"/>
    </row>
    <row r="429" spans="1:10" ht="12.75" customHeight="1">
      <c r="A429" s="17" t="s">
        <v>30</v>
      </c>
      <c r="B429" s="1"/>
      <c r="C429" s="1"/>
      <c r="D429" s="2">
        <v>7933</v>
      </c>
      <c r="E429" s="17" t="s">
        <v>58</v>
      </c>
      <c r="F429" s="1"/>
      <c r="G429" s="2" t="s">
        <v>25</v>
      </c>
      <c r="H429" s="18" t="s">
        <v>32</v>
      </c>
      <c r="I429" s="6"/>
      <c r="J429" s="19"/>
    </row>
    <row r="430" spans="1:10" ht="12.75" customHeight="1">
      <c r="A430" s="17" t="s">
        <v>147</v>
      </c>
      <c r="B430" s="1"/>
      <c r="C430" s="1"/>
      <c r="D430" s="2" t="s">
        <v>25</v>
      </c>
      <c r="E430" s="17" t="s">
        <v>141</v>
      </c>
      <c r="F430" s="1"/>
      <c r="G430" s="2" t="s">
        <v>25</v>
      </c>
      <c r="H430" s="18"/>
      <c r="I430" s="36"/>
      <c r="J430" s="19"/>
    </row>
    <row r="431" spans="1:10" ht="12.75" customHeight="1">
      <c r="A431" s="18" t="s">
        <v>27</v>
      </c>
      <c r="B431" s="6"/>
      <c r="C431" s="6"/>
      <c r="D431" s="2" t="s">
        <v>25</v>
      </c>
      <c r="E431" s="17" t="s">
        <v>35</v>
      </c>
      <c r="F431" s="1"/>
      <c r="G431" s="2">
        <v>12833</v>
      </c>
      <c r="H431" s="18"/>
      <c r="I431" s="6"/>
      <c r="J431" s="19"/>
    </row>
    <row r="432" spans="1:10" ht="12.75" customHeight="1">
      <c r="A432" s="17" t="s">
        <v>136</v>
      </c>
      <c r="B432" s="1"/>
      <c r="C432" s="1"/>
      <c r="D432" s="2" t="s">
        <v>25</v>
      </c>
      <c r="E432" s="17" t="s">
        <v>39</v>
      </c>
      <c r="F432" s="1"/>
      <c r="G432" s="2">
        <v>100</v>
      </c>
      <c r="H432" s="18"/>
      <c r="I432" s="6"/>
      <c r="J432" s="19"/>
    </row>
    <row r="433" spans="1:10" ht="12.75" customHeight="1">
      <c r="A433" s="18" t="s">
        <v>40</v>
      </c>
      <c r="B433" s="6"/>
      <c r="C433" s="6"/>
      <c r="D433" s="2" t="s">
        <v>25</v>
      </c>
      <c r="E433" s="17" t="s">
        <v>79</v>
      </c>
      <c r="F433" s="1">
        <v>20</v>
      </c>
      <c r="G433" s="2" t="s">
        <v>25</v>
      </c>
      <c r="H433" s="18"/>
      <c r="I433" s="6"/>
      <c r="J433" s="19"/>
    </row>
    <row r="434" spans="1:10" ht="12.75" customHeight="1">
      <c r="A434" s="204" t="s">
        <v>63</v>
      </c>
      <c r="B434" s="205"/>
      <c r="C434" s="206"/>
      <c r="D434" s="229">
        <f>SUM(D427:D433)</f>
        <v>67933</v>
      </c>
      <c r="E434" s="1" t="s">
        <v>214</v>
      </c>
      <c r="F434" s="1"/>
      <c r="G434" s="2" t="s">
        <v>25</v>
      </c>
      <c r="H434" s="18"/>
      <c r="I434" s="6"/>
      <c r="J434" s="19"/>
    </row>
    <row r="435" spans="1:10" ht="12.75" customHeight="1">
      <c r="A435" s="207"/>
      <c r="B435" s="197"/>
      <c r="C435" s="208"/>
      <c r="D435" s="230"/>
      <c r="E435" s="21" t="s">
        <v>21</v>
      </c>
      <c r="F435" s="22"/>
      <c r="G435" s="13">
        <f>SUM(G427:G434)</f>
        <v>12933</v>
      </c>
      <c r="H435" s="21" t="s">
        <v>44</v>
      </c>
      <c r="I435" s="22"/>
      <c r="J435" s="13">
        <f>D434-G435</f>
        <v>55000</v>
      </c>
    </row>
    <row r="436" spans="1:10" ht="12.75" customHeight="1">
      <c r="A436" s="3" t="s">
        <v>45</v>
      </c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2.75" customHeight="1">
      <c r="A438" s="3"/>
      <c r="B438" s="3" t="s">
        <v>47</v>
      </c>
      <c r="C438" s="3"/>
      <c r="D438" s="3"/>
      <c r="E438" s="3" t="s">
        <v>48</v>
      </c>
      <c r="F438" s="3"/>
      <c r="G438" s="3"/>
      <c r="H438" s="3" t="s">
        <v>49</v>
      </c>
      <c r="I438" s="3"/>
      <c r="J438" s="3"/>
    </row>
    <row r="439" spans="1:10" ht="12.75" customHeight="1">
      <c r="A439" s="213" t="s">
        <v>0</v>
      </c>
      <c r="B439" s="214"/>
      <c r="C439" s="214"/>
      <c r="D439" s="214"/>
      <c r="E439" s="214"/>
      <c r="F439" s="214"/>
      <c r="G439" s="214"/>
      <c r="H439" s="214"/>
      <c r="I439" s="214"/>
      <c r="J439" s="215"/>
    </row>
    <row r="440" spans="1:10" ht="12.75" customHeight="1">
      <c r="A440" s="187" t="s">
        <v>1</v>
      </c>
      <c r="B440" s="188"/>
      <c r="C440" s="188"/>
      <c r="D440" s="188"/>
      <c r="E440" s="188"/>
      <c r="F440" s="188"/>
      <c r="G440" s="188"/>
      <c r="H440" s="188"/>
      <c r="I440" s="188"/>
      <c r="J440" s="189"/>
    </row>
    <row r="441" spans="1:10" ht="12.75" customHeight="1">
      <c r="A441" s="134" t="s">
        <v>2</v>
      </c>
      <c r="B441" s="134"/>
      <c r="C441" s="218"/>
      <c r="D441" s="218"/>
      <c r="E441" s="135"/>
      <c r="F441" s="136"/>
      <c r="G441" s="134" t="s">
        <v>4</v>
      </c>
      <c r="H441" s="191" t="s">
        <v>215</v>
      </c>
      <c r="I441" s="191"/>
      <c r="J441" s="191"/>
    </row>
    <row r="442" spans="1:10" ht="12.75" customHeight="1">
      <c r="A442" s="134" t="s">
        <v>6</v>
      </c>
      <c r="B442" s="134"/>
      <c r="C442" s="160" t="s">
        <v>340</v>
      </c>
      <c r="D442" s="160"/>
      <c r="E442" s="135"/>
      <c r="F442" s="136"/>
      <c r="G442" s="134" t="s">
        <v>8</v>
      </c>
      <c r="H442" s="217" t="s">
        <v>9</v>
      </c>
      <c r="I442" s="217"/>
      <c r="J442" s="217"/>
    </row>
    <row r="443" spans="1:10" ht="12.75" customHeight="1">
      <c r="A443" s="23" t="s">
        <v>10</v>
      </c>
      <c r="B443" s="23"/>
      <c r="C443" s="218" t="s">
        <v>261</v>
      </c>
      <c r="D443" s="218"/>
      <c r="E443" s="135"/>
      <c r="F443" s="136"/>
      <c r="G443" s="134" t="s">
        <v>12</v>
      </c>
      <c r="H443" s="195" t="s">
        <v>13</v>
      </c>
      <c r="I443" s="195"/>
      <c r="J443" s="195"/>
    </row>
    <row r="444" spans="1:10" ht="12.75" customHeight="1">
      <c r="A444" s="135" t="s">
        <v>14</v>
      </c>
      <c r="B444" s="135"/>
      <c r="C444" s="135" t="s">
        <v>15</v>
      </c>
      <c r="D444" s="135"/>
      <c r="E444" s="135"/>
      <c r="F444" s="136"/>
      <c r="G444" s="134" t="s">
        <v>16</v>
      </c>
      <c r="H444" s="219" t="s">
        <v>76</v>
      </c>
      <c r="I444" s="219"/>
      <c r="J444" s="219"/>
    </row>
    <row r="445" spans="1:10" ht="12.75" customHeight="1">
      <c r="A445" s="135">
        <v>30</v>
      </c>
      <c r="B445" s="135"/>
      <c r="C445" s="135">
        <f>A445-H445</f>
        <v>3</v>
      </c>
      <c r="D445" s="135"/>
      <c r="E445" s="135"/>
      <c r="F445" s="136"/>
      <c r="G445" s="137" t="s">
        <v>18</v>
      </c>
      <c r="H445" s="220">
        <v>27</v>
      </c>
      <c r="I445" s="220"/>
      <c r="J445" s="220"/>
    </row>
    <row r="446" spans="1:10" ht="12.75" customHeight="1">
      <c r="A446" s="221" t="s">
        <v>19</v>
      </c>
      <c r="B446" s="222"/>
      <c r="C446" s="223"/>
      <c r="D446" s="138" t="s">
        <v>20</v>
      </c>
      <c r="E446" s="139" t="s">
        <v>21</v>
      </c>
      <c r="F446" s="140"/>
      <c r="G446" s="141" t="s">
        <v>20</v>
      </c>
      <c r="H446" s="224" t="s">
        <v>22</v>
      </c>
      <c r="I446" s="225"/>
      <c r="J446" s="226"/>
    </row>
    <row r="447" spans="1:10" ht="12.75" customHeight="1">
      <c r="A447" s="142" t="s">
        <v>23</v>
      </c>
      <c r="B447" s="134"/>
      <c r="C447" s="134"/>
      <c r="D447" s="135">
        <v>55000</v>
      </c>
      <c r="E447" s="142" t="s">
        <v>24</v>
      </c>
      <c r="F447" s="134"/>
      <c r="G447" s="135" t="s">
        <v>25</v>
      </c>
      <c r="H447" s="18" t="s">
        <v>26</v>
      </c>
      <c r="I447" s="23"/>
      <c r="J447" s="24"/>
    </row>
    <row r="448" spans="1:10" ht="12.75" customHeight="1">
      <c r="A448" s="142" t="s">
        <v>77</v>
      </c>
      <c r="B448" s="227" t="s">
        <v>172</v>
      </c>
      <c r="C448" s="227"/>
      <c r="D448" s="135">
        <v>1833</v>
      </c>
      <c r="E448" s="142" t="s">
        <v>28</v>
      </c>
      <c r="F448" s="134"/>
      <c r="G448" s="135" t="s">
        <v>25</v>
      </c>
      <c r="H448" s="18" t="s">
        <v>29</v>
      </c>
      <c r="I448" s="23"/>
      <c r="J448" s="24"/>
    </row>
    <row r="449" spans="1:10" ht="12.75" customHeight="1">
      <c r="A449" s="142" t="s">
        <v>30</v>
      </c>
      <c r="B449" s="134"/>
      <c r="C449" s="134"/>
      <c r="D449" s="135">
        <v>18767</v>
      </c>
      <c r="E449" s="142" t="s">
        <v>141</v>
      </c>
      <c r="F449" s="134"/>
      <c r="G449" s="135" t="s">
        <v>25</v>
      </c>
      <c r="H449" s="18" t="s">
        <v>32</v>
      </c>
      <c r="I449" s="23"/>
      <c r="J449" s="24"/>
    </row>
    <row r="450" spans="1:10" ht="12.75" customHeight="1">
      <c r="A450" s="142" t="s">
        <v>34</v>
      </c>
      <c r="B450" s="134"/>
      <c r="C450" s="134"/>
      <c r="D450" s="135" t="s">
        <v>25</v>
      </c>
      <c r="E450" s="142" t="s">
        <v>35</v>
      </c>
      <c r="F450" s="134"/>
      <c r="G450" s="135">
        <v>5500</v>
      </c>
      <c r="H450" s="143"/>
      <c r="I450" s="23"/>
      <c r="J450" s="24"/>
    </row>
    <row r="451" spans="1:10" ht="12.75" customHeight="1">
      <c r="A451" s="142" t="s">
        <v>110</v>
      </c>
      <c r="B451" s="134"/>
      <c r="C451" s="134"/>
      <c r="D451" s="135" t="s">
        <v>25</v>
      </c>
      <c r="E451" s="142" t="s">
        <v>61</v>
      </c>
      <c r="F451" s="135"/>
      <c r="G451" s="135" t="s">
        <v>25</v>
      </c>
      <c r="H451" s="161" t="s">
        <v>341</v>
      </c>
      <c r="I451" s="162"/>
      <c r="J451" s="163"/>
    </row>
    <row r="452" spans="1:10" ht="12.75" customHeight="1">
      <c r="A452" s="142" t="s">
        <v>136</v>
      </c>
      <c r="B452" s="134"/>
      <c r="C452" s="134"/>
      <c r="D452" s="135" t="s">
        <v>25</v>
      </c>
      <c r="E452" s="142" t="s">
        <v>39</v>
      </c>
      <c r="F452" s="134"/>
      <c r="G452" s="135">
        <v>100</v>
      </c>
      <c r="H452" s="164"/>
      <c r="I452" s="165"/>
      <c r="J452" s="166"/>
    </row>
    <row r="453" spans="1:10" ht="12.75" customHeight="1">
      <c r="A453" s="143" t="s">
        <v>40</v>
      </c>
      <c r="B453" s="23"/>
      <c r="C453" s="23"/>
      <c r="D453" s="135" t="s">
        <v>25</v>
      </c>
      <c r="E453" s="142" t="s">
        <v>62</v>
      </c>
      <c r="F453" s="135"/>
      <c r="G453" s="135" t="s">
        <v>25</v>
      </c>
      <c r="H453" s="143"/>
      <c r="I453" s="23"/>
      <c r="J453" s="24"/>
    </row>
    <row r="454" spans="1:10" ht="12.75" customHeight="1">
      <c r="A454" s="243" t="s">
        <v>63</v>
      </c>
      <c r="B454" s="244"/>
      <c r="C454" s="245"/>
      <c r="D454" s="238">
        <f>SUM(D447:D453)</f>
        <v>75600</v>
      </c>
      <c r="E454" s="134" t="s">
        <v>43</v>
      </c>
      <c r="F454" s="134"/>
      <c r="G454" s="135" t="s">
        <v>25</v>
      </c>
      <c r="H454" s="143"/>
      <c r="I454" s="23"/>
      <c r="J454" s="24"/>
    </row>
    <row r="455" spans="1:10" ht="12.75" customHeight="1">
      <c r="A455" s="246"/>
      <c r="B455" s="247"/>
      <c r="C455" s="248"/>
      <c r="D455" s="239"/>
      <c r="E455" s="146" t="s">
        <v>21</v>
      </c>
      <c r="F455" s="147"/>
      <c r="G455" s="138">
        <f>SUM(G447:G454)</f>
        <v>5600</v>
      </c>
      <c r="H455" s="146" t="s">
        <v>44</v>
      </c>
      <c r="I455" s="147"/>
      <c r="J455" s="138">
        <f>D454-G455</f>
        <v>70000</v>
      </c>
    </row>
    <row r="456" spans="1:10" ht="12.75" customHeight="1">
      <c r="A456" s="136" t="s">
        <v>45</v>
      </c>
      <c r="B456" s="136"/>
      <c r="C456" s="136"/>
      <c r="D456" s="136"/>
      <c r="E456" s="136"/>
      <c r="F456" s="136"/>
      <c r="G456" s="136"/>
      <c r="H456" s="136"/>
      <c r="I456" s="136"/>
      <c r="J456" s="136"/>
    </row>
    <row r="457" spans="1:10" ht="12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</row>
    <row r="458" spans="1:10" ht="12.75" customHeight="1">
      <c r="A458" s="136"/>
      <c r="B458" s="136" t="s">
        <v>47</v>
      </c>
      <c r="C458" s="136"/>
      <c r="D458" s="136"/>
      <c r="E458" s="136" t="s">
        <v>48</v>
      </c>
      <c r="F458" s="136"/>
      <c r="G458" s="136"/>
      <c r="H458" s="136" t="s">
        <v>49</v>
      </c>
      <c r="I458" s="136"/>
      <c r="J458" s="136"/>
    </row>
    <row r="459" spans="1:10" ht="12.75" customHeight="1"/>
    <row r="460" spans="1:10" ht="12.75" customHeight="1">
      <c r="A460" s="231" t="s">
        <v>0</v>
      </c>
      <c r="B460" s="232"/>
      <c r="C460" s="232"/>
      <c r="D460" s="232"/>
      <c r="E460" s="232"/>
      <c r="F460" s="232"/>
      <c r="G460" s="232"/>
      <c r="H460" s="232"/>
      <c r="I460" s="232"/>
      <c r="J460" s="233"/>
    </row>
    <row r="461" spans="1:10" ht="12.75" customHeight="1">
      <c r="A461" s="275" t="s">
        <v>1</v>
      </c>
      <c r="B461" s="276"/>
      <c r="C461" s="276"/>
      <c r="D461" s="276"/>
      <c r="E461" s="276"/>
      <c r="F461" s="276"/>
      <c r="G461" s="276"/>
      <c r="H461" s="276"/>
      <c r="I461" s="276"/>
      <c r="J461" s="277"/>
    </row>
    <row r="462" spans="1:10" ht="12.75" customHeight="1">
      <c r="A462" s="119" t="s">
        <v>2</v>
      </c>
      <c r="B462" s="119"/>
      <c r="C462" s="234" t="s">
        <v>342</v>
      </c>
      <c r="D462" s="234"/>
      <c r="E462" s="120"/>
      <c r="F462" s="121"/>
      <c r="G462" s="119" t="s">
        <v>4</v>
      </c>
      <c r="H462" s="191" t="s">
        <v>221</v>
      </c>
      <c r="I462" s="191"/>
      <c r="J462" s="191"/>
    </row>
    <row r="463" spans="1:10" ht="12.75" customHeight="1">
      <c r="A463" s="119" t="s">
        <v>6</v>
      </c>
      <c r="B463" s="119"/>
      <c r="C463" s="167" t="s">
        <v>343</v>
      </c>
      <c r="D463" s="167"/>
      <c r="E463" s="120"/>
      <c r="F463" s="121"/>
      <c r="G463" s="119" t="s">
        <v>8</v>
      </c>
      <c r="H463" s="257" t="s">
        <v>9</v>
      </c>
      <c r="I463" s="257"/>
      <c r="J463" s="257"/>
    </row>
    <row r="464" spans="1:10" ht="12.75" customHeight="1">
      <c r="A464" s="122" t="s">
        <v>10</v>
      </c>
      <c r="B464" s="122"/>
      <c r="C464" s="122" t="s">
        <v>261</v>
      </c>
      <c r="D464" s="122"/>
      <c r="E464" s="120"/>
      <c r="F464" s="121"/>
      <c r="G464" s="119" t="s">
        <v>12</v>
      </c>
      <c r="H464" s="195" t="s">
        <v>13</v>
      </c>
      <c r="I464" s="195"/>
      <c r="J464" s="195"/>
    </row>
    <row r="465" spans="1:10" ht="12.75" customHeight="1">
      <c r="A465" s="120" t="s">
        <v>14</v>
      </c>
      <c r="B465" s="120"/>
      <c r="C465" s="120" t="s">
        <v>15</v>
      </c>
      <c r="D465" s="120"/>
      <c r="E465" s="120"/>
      <c r="F465" s="121"/>
      <c r="G465" s="119" t="s">
        <v>16</v>
      </c>
      <c r="H465" s="258" t="s">
        <v>344</v>
      </c>
      <c r="I465" s="258"/>
      <c r="J465" s="258"/>
    </row>
    <row r="466" spans="1:10" ht="12.75" customHeight="1">
      <c r="A466" s="120">
        <v>30</v>
      </c>
      <c r="B466" s="120"/>
      <c r="C466" s="120">
        <f>A466-H466</f>
        <v>0</v>
      </c>
      <c r="D466" s="120"/>
      <c r="E466" s="120"/>
      <c r="F466" s="121"/>
      <c r="G466" s="123" t="s">
        <v>18</v>
      </c>
      <c r="H466" s="259">
        <v>30</v>
      </c>
      <c r="I466" s="259"/>
      <c r="J466" s="259"/>
    </row>
    <row r="467" spans="1:10" ht="12.75" customHeight="1">
      <c r="A467" s="260" t="s">
        <v>19</v>
      </c>
      <c r="B467" s="261"/>
      <c r="C467" s="262"/>
      <c r="D467" s="124" t="s">
        <v>20</v>
      </c>
      <c r="E467" s="125" t="s">
        <v>21</v>
      </c>
      <c r="F467" s="126"/>
      <c r="G467" s="127" t="s">
        <v>20</v>
      </c>
      <c r="H467" s="263" t="s">
        <v>22</v>
      </c>
      <c r="I467" s="264"/>
      <c r="J467" s="265"/>
    </row>
    <row r="468" spans="1:10" ht="12.75" customHeight="1">
      <c r="A468" s="128" t="s">
        <v>23</v>
      </c>
      <c r="B468" s="119"/>
      <c r="C468" s="119"/>
      <c r="D468" s="120">
        <v>55000</v>
      </c>
      <c r="E468" s="128" t="s">
        <v>24</v>
      </c>
      <c r="F468" s="119"/>
      <c r="G468" s="120" t="s">
        <v>25</v>
      </c>
      <c r="H468" s="129" t="s">
        <v>298</v>
      </c>
      <c r="I468" s="122"/>
      <c r="J468" s="130"/>
    </row>
    <row r="469" spans="1:10" ht="12.75" customHeight="1">
      <c r="A469" s="128" t="s">
        <v>57</v>
      </c>
      <c r="B469" s="266"/>
      <c r="C469" s="266"/>
      <c r="D469" s="120" t="s">
        <v>25</v>
      </c>
      <c r="E469" s="128" t="s">
        <v>203</v>
      </c>
      <c r="F469" s="119"/>
      <c r="G469" s="120" t="s">
        <v>25</v>
      </c>
      <c r="H469" s="129" t="s">
        <v>299</v>
      </c>
      <c r="I469" s="122"/>
      <c r="J469" s="130"/>
    </row>
    <row r="470" spans="1:10" ht="12.75" customHeight="1">
      <c r="A470" s="128" t="s">
        <v>147</v>
      </c>
      <c r="B470" s="119"/>
      <c r="C470" s="119"/>
      <c r="D470" s="120">
        <v>10100</v>
      </c>
      <c r="E470" s="128" t="s">
        <v>141</v>
      </c>
      <c r="F470" s="119"/>
      <c r="G470" s="120" t="s">
        <v>25</v>
      </c>
      <c r="H470" s="129" t="s">
        <v>32</v>
      </c>
      <c r="I470" s="122"/>
      <c r="J470" s="130"/>
    </row>
    <row r="471" spans="1:10" ht="12.75" customHeight="1">
      <c r="A471" s="128" t="s">
        <v>345</v>
      </c>
      <c r="B471" s="119"/>
      <c r="C471" s="119"/>
      <c r="D471" s="120">
        <v>5000</v>
      </c>
      <c r="E471" s="128" t="s">
        <v>35</v>
      </c>
      <c r="F471" s="119"/>
      <c r="G471" s="120" t="s">
        <v>25</v>
      </c>
      <c r="H471" s="129"/>
      <c r="I471" s="122"/>
      <c r="J471" s="130"/>
    </row>
    <row r="472" spans="1:10" ht="12.75" customHeight="1">
      <c r="A472" s="128" t="s">
        <v>78</v>
      </c>
      <c r="B472" s="119"/>
      <c r="C472" s="119"/>
      <c r="D472" s="120" t="s">
        <v>25</v>
      </c>
      <c r="E472" s="128" t="s">
        <v>39</v>
      </c>
      <c r="F472" s="119"/>
      <c r="G472" s="120">
        <v>100</v>
      </c>
      <c r="H472" s="129"/>
      <c r="I472" s="122"/>
      <c r="J472" s="131"/>
    </row>
    <row r="473" spans="1:10" ht="12.75" customHeight="1">
      <c r="A473" s="128" t="s">
        <v>136</v>
      </c>
      <c r="B473" s="119"/>
      <c r="C473" s="119"/>
      <c r="D473" s="120" t="s">
        <v>25</v>
      </c>
      <c r="E473" s="128" t="s">
        <v>346</v>
      </c>
      <c r="F473" s="119"/>
      <c r="G473" s="120" t="s">
        <v>25</v>
      </c>
      <c r="H473" s="129"/>
      <c r="I473" s="122"/>
      <c r="J473" s="131"/>
    </row>
    <row r="474" spans="1:10" ht="12.75" customHeight="1">
      <c r="A474" s="129" t="s">
        <v>40</v>
      </c>
      <c r="B474" s="122"/>
      <c r="C474" s="122"/>
      <c r="D474" s="120" t="s">
        <v>25</v>
      </c>
      <c r="E474" s="128" t="s">
        <v>41</v>
      </c>
      <c r="F474" s="119"/>
      <c r="G474" s="120" t="s">
        <v>25</v>
      </c>
      <c r="H474" s="129"/>
      <c r="I474" s="122"/>
      <c r="J474" s="130"/>
    </row>
    <row r="475" spans="1:10" ht="12.75" customHeight="1">
      <c r="A475" s="270" t="s">
        <v>63</v>
      </c>
      <c r="B475" s="271"/>
      <c r="C475" s="272"/>
      <c r="D475" s="255">
        <f>SUM(D468:D474)</f>
        <v>70100</v>
      </c>
      <c r="E475" s="119" t="s">
        <v>43</v>
      </c>
      <c r="F475" s="119"/>
      <c r="G475" s="120" t="s">
        <v>25</v>
      </c>
      <c r="H475" s="129"/>
      <c r="I475" s="122"/>
      <c r="J475" s="130"/>
    </row>
    <row r="476" spans="1:10" ht="12.75" customHeight="1">
      <c r="A476" s="273"/>
      <c r="B476" s="259"/>
      <c r="C476" s="274"/>
      <c r="D476" s="256"/>
      <c r="E476" s="132" t="s">
        <v>21</v>
      </c>
      <c r="F476" s="133"/>
      <c r="G476" s="124">
        <f>SUM(G468:G475)</f>
        <v>100</v>
      </c>
      <c r="H476" s="132" t="s">
        <v>44</v>
      </c>
      <c r="I476" s="133"/>
      <c r="J476" s="124">
        <f>D475-G476</f>
        <v>70000</v>
      </c>
    </row>
    <row r="477" spans="1:10" ht="12.75" customHeight="1">
      <c r="A477" s="121" t="s">
        <v>45</v>
      </c>
      <c r="B477" s="121"/>
      <c r="C477" s="121"/>
      <c r="D477" s="121"/>
      <c r="E477" s="121"/>
      <c r="F477" s="121"/>
      <c r="G477" s="121"/>
      <c r="H477" s="121"/>
      <c r="I477" s="121"/>
      <c r="J477" s="121"/>
    </row>
    <row r="478" spans="1:10" ht="12.75" customHeight="1"/>
    <row r="479" spans="1:10" ht="12.75" customHeight="1">
      <c r="A479" s="121"/>
      <c r="B479" s="121" t="s">
        <v>47</v>
      </c>
      <c r="C479" s="121"/>
      <c r="D479" s="121"/>
      <c r="E479" s="121" t="s">
        <v>48</v>
      </c>
      <c r="F479" s="121"/>
      <c r="G479" s="121"/>
      <c r="H479" s="121" t="s">
        <v>49</v>
      </c>
      <c r="I479" s="121"/>
      <c r="J479" s="121"/>
    </row>
    <row r="480" spans="1:10" ht="12.75" customHeight="1">
      <c r="A480" s="184" t="s">
        <v>0</v>
      </c>
      <c r="B480" s="185"/>
      <c r="C480" s="185"/>
      <c r="D480" s="185"/>
      <c r="E480" s="185"/>
      <c r="F480" s="185"/>
      <c r="G480" s="185"/>
      <c r="H480" s="185"/>
      <c r="I480" s="185"/>
      <c r="J480" s="186"/>
    </row>
    <row r="481" spans="1:10" ht="12.75" customHeight="1">
      <c r="A481" s="187" t="s">
        <v>1</v>
      </c>
      <c r="B481" s="188"/>
      <c r="C481" s="188"/>
      <c r="D481" s="188"/>
      <c r="E481" s="188"/>
      <c r="F481" s="188"/>
      <c r="G481" s="188"/>
      <c r="H481" s="188"/>
      <c r="I481" s="188"/>
      <c r="J481" s="189"/>
    </row>
    <row r="482" spans="1:10" ht="12.75" customHeight="1">
      <c r="A482" s="1" t="s">
        <v>2</v>
      </c>
      <c r="B482" s="1"/>
      <c r="C482" s="190" t="s">
        <v>232</v>
      </c>
      <c r="D482" s="190"/>
      <c r="E482" s="2"/>
      <c r="F482" s="3"/>
      <c r="G482" s="1" t="s">
        <v>4</v>
      </c>
      <c r="H482" s="191" t="s">
        <v>227</v>
      </c>
      <c r="I482" s="191"/>
      <c r="J482" s="191"/>
    </row>
    <row r="483" spans="1:10" ht="12.75" customHeight="1">
      <c r="A483" s="1" t="s">
        <v>6</v>
      </c>
      <c r="B483" s="1"/>
      <c r="C483" s="25" t="s">
        <v>347</v>
      </c>
      <c r="D483" s="25"/>
      <c r="E483" s="2"/>
      <c r="F483" s="3"/>
      <c r="G483" s="1" t="s">
        <v>8</v>
      </c>
      <c r="H483" s="193" t="s">
        <v>9</v>
      </c>
      <c r="I483" s="193"/>
      <c r="J483" s="193"/>
    </row>
    <row r="484" spans="1:10" ht="12.75" customHeight="1">
      <c r="A484" s="6" t="s">
        <v>10</v>
      </c>
      <c r="B484" s="6"/>
      <c r="C484" s="194" t="s">
        <v>261</v>
      </c>
      <c r="D484" s="194"/>
      <c r="E484" s="2"/>
      <c r="F484" s="3"/>
      <c r="G484" s="1" t="s">
        <v>12</v>
      </c>
      <c r="H484" s="195" t="s">
        <v>13</v>
      </c>
      <c r="I484" s="195"/>
      <c r="J484" s="195"/>
    </row>
    <row r="485" spans="1:10" ht="12.75" customHeight="1">
      <c r="A485" s="2" t="s">
        <v>14</v>
      </c>
      <c r="B485" s="2"/>
      <c r="C485" s="1" t="s">
        <v>15</v>
      </c>
      <c r="D485" s="1"/>
      <c r="E485" s="2"/>
      <c r="F485" s="3"/>
      <c r="G485" s="1" t="s">
        <v>16</v>
      </c>
      <c r="H485" s="209" t="s">
        <v>207</v>
      </c>
      <c r="I485" s="209"/>
      <c r="J485" s="209"/>
    </row>
    <row r="486" spans="1:10" ht="12.75" customHeight="1">
      <c r="A486" s="2">
        <v>30</v>
      </c>
      <c r="B486" s="2"/>
      <c r="C486" s="2">
        <f>A486-H486</f>
        <v>0</v>
      </c>
      <c r="D486" s="2"/>
      <c r="E486" s="2"/>
      <c r="F486" s="3"/>
      <c r="G486" s="8" t="s">
        <v>18</v>
      </c>
      <c r="H486" s="197">
        <v>30</v>
      </c>
      <c r="I486" s="197"/>
      <c r="J486" s="197"/>
    </row>
    <row r="487" spans="1:10" ht="12.75" customHeight="1">
      <c r="A487" s="198" t="s">
        <v>19</v>
      </c>
      <c r="B487" s="199"/>
      <c r="C487" s="200"/>
      <c r="D487" s="13" t="s">
        <v>20</v>
      </c>
      <c r="E487" s="14" t="s">
        <v>21</v>
      </c>
      <c r="F487" s="15"/>
      <c r="G487" s="16" t="s">
        <v>20</v>
      </c>
      <c r="H487" s="201" t="s">
        <v>22</v>
      </c>
      <c r="I487" s="202"/>
      <c r="J487" s="203"/>
    </row>
    <row r="488" spans="1:10" ht="12.75" customHeight="1">
      <c r="A488" s="17" t="s">
        <v>56</v>
      </c>
      <c r="B488" s="1"/>
      <c r="C488" s="1"/>
      <c r="D488" s="2">
        <v>55000</v>
      </c>
      <c r="E488" s="17" t="s">
        <v>24</v>
      </c>
      <c r="F488" s="1"/>
      <c r="G488" s="2" t="s">
        <v>25</v>
      </c>
      <c r="H488" s="18" t="s">
        <v>26</v>
      </c>
      <c r="I488" s="23"/>
      <c r="J488" s="24"/>
    </row>
    <row r="489" spans="1:10" ht="12.75" customHeight="1">
      <c r="A489" s="17" t="s">
        <v>57</v>
      </c>
      <c r="B489" s="209" t="s">
        <v>348</v>
      </c>
      <c r="C489" s="209"/>
      <c r="D489" s="2">
        <v>5500</v>
      </c>
      <c r="E489" s="17" t="s">
        <v>28</v>
      </c>
      <c r="F489" s="1"/>
      <c r="G489" s="2" t="s">
        <v>25</v>
      </c>
      <c r="H489" s="18" t="s">
        <v>29</v>
      </c>
      <c r="I489" s="23"/>
      <c r="J489" s="24"/>
    </row>
    <row r="490" spans="1:10" ht="12.75" customHeight="1">
      <c r="A490" s="17" t="s">
        <v>30</v>
      </c>
      <c r="B490" s="1"/>
      <c r="C490" s="1"/>
      <c r="D490" s="2">
        <v>22600</v>
      </c>
      <c r="E490" s="17" t="s">
        <v>146</v>
      </c>
      <c r="F490" s="1"/>
      <c r="G490" s="2" t="s">
        <v>25</v>
      </c>
      <c r="H490" s="18" t="s">
        <v>32</v>
      </c>
      <c r="I490" s="23"/>
      <c r="J490" s="24"/>
    </row>
    <row r="491" spans="1:10" ht="12.75" customHeight="1">
      <c r="A491" s="159" t="s">
        <v>147</v>
      </c>
      <c r="B491" s="209"/>
      <c r="C491" s="209"/>
      <c r="D491" s="2" t="s">
        <v>25</v>
      </c>
      <c r="E491" s="17" t="s">
        <v>35</v>
      </c>
      <c r="F491" s="1"/>
      <c r="G491" s="2" t="s">
        <v>25</v>
      </c>
      <c r="H491" s="18"/>
      <c r="I491" s="6"/>
      <c r="J491" s="19"/>
    </row>
    <row r="492" spans="1:10" ht="12.75" customHeight="1">
      <c r="A492" s="17" t="s">
        <v>78</v>
      </c>
      <c r="B492" s="1"/>
      <c r="C492" s="1"/>
      <c r="D492" s="2" t="s">
        <v>25</v>
      </c>
      <c r="E492" s="17" t="s">
        <v>62</v>
      </c>
      <c r="F492" s="2"/>
      <c r="G492" s="2" t="s">
        <v>25</v>
      </c>
      <c r="H492" s="18" t="s">
        <v>349</v>
      </c>
      <c r="I492" s="6"/>
      <c r="J492" s="19"/>
    </row>
    <row r="493" spans="1:10" ht="12.75" customHeight="1">
      <c r="A493" s="17" t="s">
        <v>136</v>
      </c>
      <c r="B493" s="1"/>
      <c r="C493" s="1"/>
      <c r="D493" s="2" t="s">
        <v>25</v>
      </c>
      <c r="E493" s="17" t="s">
        <v>39</v>
      </c>
      <c r="F493" s="1"/>
      <c r="G493" s="2">
        <v>100</v>
      </c>
      <c r="H493" s="18"/>
      <c r="I493" s="6"/>
      <c r="J493" s="19"/>
    </row>
    <row r="494" spans="1:10" ht="12.75" customHeight="1">
      <c r="A494" s="18" t="s">
        <v>40</v>
      </c>
      <c r="B494" s="6"/>
      <c r="C494" s="6"/>
      <c r="D494" s="2" t="s">
        <v>25</v>
      </c>
      <c r="E494" s="17" t="s">
        <v>161</v>
      </c>
      <c r="F494" s="2"/>
      <c r="G494" s="2" t="s">
        <v>25</v>
      </c>
      <c r="H494" s="18"/>
      <c r="I494" s="6"/>
      <c r="J494" s="19"/>
    </row>
    <row r="495" spans="1:10" ht="12.75" customHeight="1">
      <c r="A495" s="204" t="s">
        <v>63</v>
      </c>
      <c r="B495" s="205"/>
      <c r="C495" s="206"/>
      <c r="D495" s="229">
        <f>SUM(D488:D494)</f>
        <v>83100</v>
      </c>
      <c r="E495" s="1" t="s">
        <v>43</v>
      </c>
      <c r="F495" s="1"/>
      <c r="G495" s="2" t="s">
        <v>25</v>
      </c>
      <c r="H495" s="18"/>
      <c r="I495" s="6"/>
      <c r="J495" s="19"/>
    </row>
    <row r="496" spans="1:10" ht="12.75" customHeight="1">
      <c r="A496" s="207"/>
      <c r="B496" s="197"/>
      <c r="C496" s="208"/>
      <c r="D496" s="230"/>
      <c r="E496" s="21" t="s">
        <v>21</v>
      </c>
      <c r="F496" s="22"/>
      <c r="G496" s="13">
        <f>SUM(G488:G495)</f>
        <v>100</v>
      </c>
      <c r="H496" s="21" t="s">
        <v>44</v>
      </c>
      <c r="I496" s="22"/>
      <c r="J496" s="13">
        <f>D495-G496</f>
        <v>83000</v>
      </c>
    </row>
    <row r="497" spans="1:10" ht="12.75" customHeight="1">
      <c r="A497" s="3" t="s">
        <v>45</v>
      </c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2.75" customHeight="1">
      <c r="A499" s="3"/>
      <c r="B499" s="3" t="s">
        <v>47</v>
      </c>
      <c r="C499" s="3"/>
      <c r="D499" s="3"/>
      <c r="E499" s="3" t="s">
        <v>48</v>
      </c>
      <c r="F499" s="3"/>
      <c r="G499" s="3"/>
      <c r="H499" s="3" t="s">
        <v>49</v>
      </c>
      <c r="I499" s="3"/>
      <c r="J499" s="3"/>
    </row>
    <row r="500" spans="1:10" ht="12.75" customHeight="1">
      <c r="A500" s="184" t="s">
        <v>0</v>
      </c>
      <c r="B500" s="185"/>
      <c r="C500" s="185"/>
      <c r="D500" s="185"/>
      <c r="E500" s="185"/>
      <c r="F500" s="185"/>
      <c r="G500" s="185"/>
      <c r="H500" s="185"/>
      <c r="I500" s="185"/>
      <c r="J500" s="186"/>
    </row>
    <row r="501" spans="1:10" ht="12.75" customHeight="1">
      <c r="A501" s="187" t="s">
        <v>1</v>
      </c>
      <c r="B501" s="188"/>
      <c r="C501" s="188"/>
      <c r="D501" s="188"/>
      <c r="E501" s="188"/>
      <c r="F501" s="188"/>
      <c r="G501" s="188"/>
      <c r="H501" s="188"/>
      <c r="I501" s="188"/>
      <c r="J501" s="189"/>
    </row>
    <row r="502" spans="1:10" ht="12.75" customHeight="1">
      <c r="A502" s="1" t="s">
        <v>2</v>
      </c>
      <c r="B502" s="1"/>
      <c r="C502" s="190" t="s">
        <v>318</v>
      </c>
      <c r="D502" s="190"/>
      <c r="E502" s="2"/>
      <c r="F502" s="3"/>
      <c r="G502" s="1" t="s">
        <v>4</v>
      </c>
      <c r="H502" s="191" t="s">
        <v>227</v>
      </c>
      <c r="I502" s="191"/>
      <c r="J502" s="191"/>
    </row>
    <row r="503" spans="1:10" ht="12.75" customHeight="1">
      <c r="A503" s="1" t="s">
        <v>6</v>
      </c>
      <c r="B503" s="1"/>
      <c r="C503" s="25" t="s">
        <v>350</v>
      </c>
      <c r="D503" s="25"/>
      <c r="E503" s="2"/>
      <c r="F503" s="3"/>
      <c r="G503" s="1" t="s">
        <v>8</v>
      </c>
      <c r="H503" s="193" t="s">
        <v>9</v>
      </c>
      <c r="I503" s="193"/>
      <c r="J503" s="193"/>
    </row>
    <row r="504" spans="1:10" ht="12.75" customHeight="1">
      <c r="A504" s="6" t="s">
        <v>10</v>
      </c>
      <c r="B504" s="6"/>
      <c r="C504" s="194" t="s">
        <v>328</v>
      </c>
      <c r="D504" s="194"/>
      <c r="E504" s="2"/>
      <c r="F504" s="3"/>
      <c r="G504" s="1" t="s">
        <v>12</v>
      </c>
      <c r="H504" s="195" t="s">
        <v>13</v>
      </c>
      <c r="I504" s="195"/>
      <c r="J504" s="195"/>
    </row>
    <row r="505" spans="1:10" ht="12.75" customHeight="1">
      <c r="A505" s="2" t="s">
        <v>14</v>
      </c>
      <c r="B505" s="2"/>
      <c r="C505" s="1" t="s">
        <v>15</v>
      </c>
      <c r="D505" s="1"/>
      <c r="E505" s="2"/>
      <c r="F505" s="3"/>
      <c r="G505" s="1" t="s">
        <v>16</v>
      </c>
      <c r="H505" s="209" t="s">
        <v>140</v>
      </c>
      <c r="I505" s="209"/>
      <c r="J505" s="209"/>
    </row>
    <row r="506" spans="1:10" ht="12.75" customHeight="1">
      <c r="A506" s="2">
        <v>30</v>
      </c>
      <c r="B506" s="2"/>
      <c r="C506" s="2">
        <f>A506-H506</f>
        <v>13</v>
      </c>
      <c r="D506" s="2"/>
      <c r="E506" s="2"/>
      <c r="F506" s="3"/>
      <c r="G506" s="8" t="s">
        <v>18</v>
      </c>
      <c r="H506" s="197">
        <v>17</v>
      </c>
      <c r="I506" s="197"/>
      <c r="J506" s="197"/>
    </row>
    <row r="507" spans="1:10" ht="12.75" customHeight="1">
      <c r="A507" s="198" t="s">
        <v>19</v>
      </c>
      <c r="B507" s="199"/>
      <c r="C507" s="200"/>
      <c r="D507" s="13" t="s">
        <v>20</v>
      </c>
      <c r="E507" s="14" t="s">
        <v>21</v>
      </c>
      <c r="F507" s="15"/>
      <c r="G507" s="16" t="s">
        <v>20</v>
      </c>
      <c r="H507" s="201" t="s">
        <v>22</v>
      </c>
      <c r="I507" s="202"/>
      <c r="J507" s="203"/>
    </row>
    <row r="508" spans="1:10" ht="12.75" customHeight="1">
      <c r="A508" s="17" t="s">
        <v>56</v>
      </c>
      <c r="B508" s="1"/>
      <c r="C508" s="1"/>
      <c r="D508" s="2">
        <v>30000</v>
      </c>
      <c r="E508" s="17" t="s">
        <v>24</v>
      </c>
      <c r="F508" s="1"/>
      <c r="G508" s="2" t="s">
        <v>25</v>
      </c>
      <c r="H508" s="18" t="s">
        <v>26</v>
      </c>
      <c r="I508" s="23"/>
      <c r="J508" s="24"/>
    </row>
    <row r="509" spans="1:10" ht="12.75" customHeight="1">
      <c r="A509" s="17" t="s">
        <v>57</v>
      </c>
      <c r="B509" s="209"/>
      <c r="C509" s="209"/>
      <c r="D509" s="2" t="s">
        <v>25</v>
      </c>
      <c r="E509" s="17" t="s">
        <v>28</v>
      </c>
      <c r="F509" s="1"/>
      <c r="G509" s="2" t="s">
        <v>25</v>
      </c>
      <c r="H509" s="18" t="s">
        <v>29</v>
      </c>
      <c r="I509" s="23"/>
      <c r="J509" s="24"/>
    </row>
    <row r="510" spans="1:10" ht="12.75" customHeight="1">
      <c r="A510" s="17" t="s">
        <v>30</v>
      </c>
      <c r="B510" s="1"/>
      <c r="C510" s="1"/>
      <c r="D510" s="2">
        <v>8100</v>
      </c>
      <c r="E510" s="17" t="s">
        <v>58</v>
      </c>
      <c r="F510" s="1"/>
      <c r="G510" s="2" t="s">
        <v>25</v>
      </c>
      <c r="H510" s="18" t="s">
        <v>32</v>
      </c>
      <c r="I510" s="23"/>
      <c r="J510" s="24"/>
    </row>
    <row r="511" spans="1:10" ht="12.75" customHeight="1">
      <c r="A511" s="17" t="s">
        <v>72</v>
      </c>
      <c r="B511" s="6"/>
      <c r="C511" s="6"/>
      <c r="D511" s="2" t="s">
        <v>25</v>
      </c>
      <c r="E511" s="17" t="s">
        <v>35</v>
      </c>
      <c r="F511" s="1"/>
      <c r="G511" s="2">
        <v>13000</v>
      </c>
      <c r="H511" s="18"/>
      <c r="I511" s="6"/>
      <c r="J511" s="19"/>
    </row>
    <row r="512" spans="1:10" ht="12.75" customHeight="1">
      <c r="A512" s="17" t="s">
        <v>78</v>
      </c>
      <c r="B512" s="1"/>
      <c r="C512" s="1"/>
      <c r="D512" s="2" t="s">
        <v>25</v>
      </c>
      <c r="E512" s="17" t="s">
        <v>37</v>
      </c>
      <c r="F512" s="1"/>
      <c r="G512" s="2" t="s">
        <v>25</v>
      </c>
      <c r="H512" s="18"/>
      <c r="I512" s="6"/>
      <c r="J512" s="19"/>
    </row>
    <row r="513" spans="1:10" ht="12.75" customHeight="1">
      <c r="A513" s="17" t="s">
        <v>136</v>
      </c>
      <c r="B513" s="1"/>
      <c r="C513" s="1"/>
      <c r="D513" s="2" t="s">
        <v>25</v>
      </c>
      <c r="E513" s="17" t="s">
        <v>39</v>
      </c>
      <c r="F513" s="1"/>
      <c r="G513" s="2">
        <v>100</v>
      </c>
      <c r="H513" s="18"/>
      <c r="I513" s="6"/>
      <c r="J513" s="19"/>
    </row>
    <row r="514" spans="1:10" ht="12.75" customHeight="1">
      <c r="A514" s="18" t="s">
        <v>40</v>
      </c>
      <c r="B514" s="6"/>
      <c r="C514" s="6"/>
      <c r="D514" s="2" t="s">
        <v>25</v>
      </c>
      <c r="E514" s="17" t="s">
        <v>161</v>
      </c>
      <c r="F514" s="2"/>
      <c r="G514" s="2" t="s">
        <v>25</v>
      </c>
      <c r="H514" s="18"/>
      <c r="I514" s="6"/>
      <c r="J514" s="19"/>
    </row>
    <row r="515" spans="1:10" ht="12.75" customHeight="1">
      <c r="A515" s="204" t="s">
        <v>63</v>
      </c>
      <c r="B515" s="205"/>
      <c r="C515" s="206"/>
      <c r="D515" s="229">
        <f>SUM(D508:D514)</f>
        <v>38100</v>
      </c>
      <c r="E515" s="1" t="s">
        <v>43</v>
      </c>
      <c r="F515" s="1"/>
      <c r="G515" s="2" t="s">
        <v>25</v>
      </c>
      <c r="H515" s="18"/>
      <c r="I515" s="6"/>
      <c r="J515" s="19"/>
    </row>
    <row r="516" spans="1:10" ht="12.75" customHeight="1">
      <c r="A516" s="207"/>
      <c r="B516" s="197"/>
      <c r="C516" s="208"/>
      <c r="D516" s="230"/>
      <c r="E516" s="21" t="s">
        <v>21</v>
      </c>
      <c r="F516" s="22"/>
      <c r="G516" s="13">
        <f>SUM(G508:G515)</f>
        <v>13100</v>
      </c>
      <c r="H516" s="21" t="s">
        <v>44</v>
      </c>
      <c r="I516" s="22"/>
      <c r="J516" s="13">
        <f>D515-G516</f>
        <v>25000</v>
      </c>
    </row>
    <row r="517" spans="1:10" ht="12.75" customHeight="1">
      <c r="A517" s="3" t="s">
        <v>45</v>
      </c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2.75" customHeight="1">
      <c r="A519" s="3"/>
      <c r="B519" s="3" t="s">
        <v>47</v>
      </c>
      <c r="C519" s="3"/>
      <c r="D519" s="3"/>
      <c r="E519" s="3" t="s">
        <v>48</v>
      </c>
      <c r="F519" s="3"/>
      <c r="G519" s="3"/>
      <c r="H519" s="3" t="s">
        <v>49</v>
      </c>
      <c r="I519" s="3"/>
      <c r="J519" s="3"/>
    </row>
    <row r="520" spans="1:10" ht="13.5" customHeight="1">
      <c r="A520" s="184" t="s">
        <v>0</v>
      </c>
      <c r="B520" s="185"/>
      <c r="C520" s="185"/>
      <c r="D520" s="185"/>
      <c r="E520" s="185"/>
      <c r="F520" s="185"/>
      <c r="G520" s="185"/>
      <c r="H520" s="185"/>
      <c r="I520" s="185"/>
      <c r="J520" s="186"/>
    </row>
    <row r="521" spans="1:10" ht="13.5" customHeight="1">
      <c r="A521" s="187" t="s">
        <v>1</v>
      </c>
      <c r="B521" s="188"/>
      <c r="C521" s="188"/>
      <c r="D521" s="188"/>
      <c r="E521" s="188"/>
      <c r="F521" s="188"/>
      <c r="G521" s="188"/>
      <c r="H521" s="188"/>
      <c r="I521" s="188"/>
      <c r="J521" s="189"/>
    </row>
    <row r="522" spans="1:10" ht="13.5" customHeight="1">
      <c r="A522" s="1" t="s">
        <v>2</v>
      </c>
      <c r="B522" s="1"/>
      <c r="C522" s="194" t="s">
        <v>235</v>
      </c>
      <c r="D522" s="194"/>
      <c r="E522" s="2"/>
      <c r="F522" s="3"/>
      <c r="G522" s="1" t="s">
        <v>4</v>
      </c>
      <c r="H522" s="209" t="s">
        <v>236</v>
      </c>
      <c r="I522" s="209"/>
      <c r="J522" s="209"/>
    </row>
    <row r="523" spans="1:10" ht="13.5" customHeight="1">
      <c r="A523" s="1" t="s">
        <v>6</v>
      </c>
      <c r="B523" s="1"/>
      <c r="C523" s="25" t="s">
        <v>351</v>
      </c>
      <c r="D523" s="25"/>
      <c r="E523" s="6"/>
      <c r="F523" s="3"/>
      <c r="G523" s="1" t="s">
        <v>8</v>
      </c>
      <c r="H523" s="193" t="s">
        <v>9</v>
      </c>
      <c r="I523" s="193"/>
      <c r="J523" s="193"/>
    </row>
    <row r="524" spans="1:10" ht="13.5" customHeight="1">
      <c r="A524" s="6" t="s">
        <v>10</v>
      </c>
      <c r="B524" s="6"/>
      <c r="C524" s="194" t="s">
        <v>352</v>
      </c>
      <c r="D524" s="194"/>
      <c r="E524" s="2"/>
      <c r="F524" s="3"/>
      <c r="G524" s="1" t="s">
        <v>12</v>
      </c>
      <c r="H524" s="195" t="s">
        <v>13</v>
      </c>
      <c r="I524" s="195"/>
      <c r="J524" s="195"/>
    </row>
    <row r="525" spans="1:10" ht="13.5" customHeight="1">
      <c r="A525" s="2"/>
      <c r="B525" s="2"/>
      <c r="C525" s="2" t="s">
        <v>15</v>
      </c>
      <c r="D525" s="2"/>
      <c r="E525" s="2"/>
      <c r="F525" s="3"/>
      <c r="G525" s="1" t="s">
        <v>16</v>
      </c>
      <c r="H525" s="196" t="s">
        <v>55</v>
      </c>
      <c r="I525" s="196"/>
      <c r="J525" s="196"/>
    </row>
    <row r="526" spans="1:10" ht="13.5" customHeight="1">
      <c r="A526" s="2">
        <v>30</v>
      </c>
      <c r="B526" s="2"/>
      <c r="C526" s="2">
        <f>A526-I526</f>
        <v>5</v>
      </c>
      <c r="D526" s="2"/>
      <c r="E526" s="2"/>
      <c r="F526" s="3"/>
      <c r="G526" s="8" t="s">
        <v>18</v>
      </c>
      <c r="H526" s="8"/>
      <c r="I526" s="9">
        <v>25</v>
      </c>
      <c r="J526" s="9"/>
    </row>
    <row r="527" spans="1:10" ht="13.5" customHeight="1">
      <c r="A527" s="198" t="s">
        <v>19</v>
      </c>
      <c r="B527" s="199"/>
      <c r="C527" s="200"/>
      <c r="D527" s="13" t="s">
        <v>20</v>
      </c>
      <c r="E527" s="14" t="s">
        <v>21</v>
      </c>
      <c r="F527" s="15"/>
      <c r="G527" s="16" t="s">
        <v>20</v>
      </c>
      <c r="H527" s="201" t="s">
        <v>22</v>
      </c>
      <c r="I527" s="202"/>
      <c r="J527" s="203"/>
    </row>
    <row r="528" spans="1:10" ht="13.5" customHeight="1">
      <c r="A528" s="17" t="s">
        <v>23</v>
      </c>
      <c r="B528" s="1"/>
      <c r="C528" s="1"/>
      <c r="D528" s="56">
        <v>30000</v>
      </c>
      <c r="E528" s="17" t="s">
        <v>24</v>
      </c>
      <c r="F528" s="1"/>
      <c r="G528" s="2" t="s">
        <v>25</v>
      </c>
      <c r="H528" s="18" t="s">
        <v>26</v>
      </c>
      <c r="I528" s="23"/>
      <c r="J528" s="24"/>
    </row>
    <row r="529" spans="1:10" ht="13.5" customHeight="1">
      <c r="A529" s="17" t="s">
        <v>69</v>
      </c>
      <c r="B529" s="209"/>
      <c r="C529" s="209"/>
      <c r="D529" s="2" t="s">
        <v>25</v>
      </c>
      <c r="E529" s="17" t="s">
        <v>24</v>
      </c>
      <c r="F529" s="1"/>
      <c r="G529" s="2" t="s">
        <v>25</v>
      </c>
      <c r="H529" s="18" t="s">
        <v>29</v>
      </c>
      <c r="I529" s="23"/>
      <c r="J529" s="24"/>
    </row>
    <row r="530" spans="1:10" ht="13.5" customHeight="1">
      <c r="A530" s="17" t="s">
        <v>30</v>
      </c>
      <c r="B530" s="1"/>
      <c r="C530" s="1"/>
      <c r="D530" s="2">
        <v>17100</v>
      </c>
      <c r="E530" s="17" t="s">
        <v>238</v>
      </c>
      <c r="F530" s="1"/>
      <c r="G530" s="2" t="s">
        <v>25</v>
      </c>
      <c r="H530" s="18" t="s">
        <v>32</v>
      </c>
      <c r="I530" s="23"/>
      <c r="J530" s="24"/>
    </row>
    <row r="531" spans="1:10" ht="13.5" customHeight="1">
      <c r="A531" s="17" t="s">
        <v>34</v>
      </c>
      <c r="B531" s="1"/>
      <c r="C531" s="1"/>
      <c r="D531" s="2" t="s">
        <v>25</v>
      </c>
      <c r="E531" s="17" t="s">
        <v>71</v>
      </c>
      <c r="F531" s="1"/>
      <c r="G531" s="2">
        <v>5000</v>
      </c>
      <c r="H531" s="18"/>
      <c r="I531" s="6"/>
      <c r="J531" s="40"/>
    </row>
    <row r="532" spans="1:10" ht="13.5" customHeight="1">
      <c r="A532" s="17" t="s">
        <v>239</v>
      </c>
      <c r="B532" s="1"/>
      <c r="C532" s="1"/>
      <c r="D532" s="2" t="s">
        <v>25</v>
      </c>
      <c r="E532" s="17" t="s">
        <v>61</v>
      </c>
      <c r="F532" s="1"/>
      <c r="G532" s="2" t="s">
        <v>25</v>
      </c>
      <c r="H532" s="18"/>
      <c r="I532" s="100"/>
      <c r="J532" s="40"/>
    </row>
    <row r="533" spans="1:10" ht="13.5" customHeight="1">
      <c r="A533" s="17" t="s">
        <v>136</v>
      </c>
      <c r="B533" s="1"/>
      <c r="C533" s="1"/>
      <c r="D533" s="2" t="s">
        <v>25</v>
      </c>
      <c r="E533" s="17" t="s">
        <v>39</v>
      </c>
      <c r="F533" s="1"/>
      <c r="G533" s="2">
        <v>100</v>
      </c>
      <c r="H533" s="18"/>
      <c r="I533" s="6"/>
      <c r="J533" s="40"/>
    </row>
    <row r="534" spans="1:10" ht="13.5" customHeight="1">
      <c r="A534" s="18" t="s">
        <v>40</v>
      </c>
      <c r="B534" s="6"/>
      <c r="C534" s="6"/>
      <c r="D534" s="2" t="s">
        <v>25</v>
      </c>
      <c r="E534" s="17" t="s">
        <v>62</v>
      </c>
      <c r="F534" s="2"/>
      <c r="G534" s="2" t="s">
        <v>25</v>
      </c>
      <c r="H534" s="18"/>
      <c r="I534" s="6"/>
      <c r="J534" s="19"/>
    </row>
    <row r="535" spans="1:10" ht="13.5" customHeight="1">
      <c r="A535" s="204" t="s">
        <v>63</v>
      </c>
      <c r="B535" s="205"/>
      <c r="C535" s="206"/>
      <c r="D535" s="229">
        <f>SUM(D528:D534)</f>
        <v>47100</v>
      </c>
      <c r="E535" s="1" t="s">
        <v>43</v>
      </c>
      <c r="F535" s="1"/>
      <c r="G535" s="2" t="s">
        <v>25</v>
      </c>
      <c r="H535" s="18"/>
      <c r="I535" s="6"/>
      <c r="J535" s="19"/>
    </row>
    <row r="536" spans="1:10" ht="13.5" customHeight="1">
      <c r="A536" s="207"/>
      <c r="B536" s="197"/>
      <c r="C536" s="208"/>
      <c r="D536" s="230"/>
      <c r="E536" s="21" t="s">
        <v>21</v>
      </c>
      <c r="F536" s="22"/>
      <c r="G536" s="13">
        <f>SUM(G528:G535)</f>
        <v>5100</v>
      </c>
      <c r="H536" s="21" t="s">
        <v>44</v>
      </c>
      <c r="I536" s="22"/>
      <c r="J536" s="13">
        <f>D535-G536</f>
        <v>42000</v>
      </c>
    </row>
    <row r="537" spans="1:10" ht="13.5" customHeight="1">
      <c r="A537" s="3" t="s">
        <v>45</v>
      </c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3.5" customHeight="1">
      <c r="A539" s="3"/>
      <c r="B539" s="3" t="s">
        <v>47</v>
      </c>
      <c r="C539" s="3"/>
      <c r="D539" s="3" t="s">
        <v>73</v>
      </c>
      <c r="E539" s="3" t="s">
        <v>48</v>
      </c>
      <c r="F539" s="3"/>
      <c r="G539" s="3"/>
      <c r="H539" s="3" t="s">
        <v>49</v>
      </c>
      <c r="I539" s="3"/>
      <c r="J539" s="3"/>
    </row>
    <row r="540" spans="1:10" ht="12.75" customHeight="1">
      <c r="A540" s="184" t="s">
        <v>0</v>
      </c>
      <c r="B540" s="185"/>
      <c r="C540" s="185"/>
      <c r="D540" s="185"/>
      <c r="E540" s="185"/>
      <c r="F540" s="185"/>
      <c r="G540" s="185"/>
      <c r="H540" s="185"/>
      <c r="I540" s="185"/>
      <c r="J540" s="186"/>
    </row>
    <row r="541" spans="1:10" ht="12.75" customHeight="1">
      <c r="A541" s="187" t="s">
        <v>1</v>
      </c>
      <c r="B541" s="188"/>
      <c r="C541" s="188"/>
      <c r="D541" s="188"/>
      <c r="E541" s="188"/>
      <c r="F541" s="188"/>
      <c r="G541" s="188"/>
      <c r="H541" s="188"/>
      <c r="I541" s="188"/>
      <c r="J541" s="189"/>
    </row>
    <row r="542" spans="1:10" ht="12.75" customHeight="1">
      <c r="A542" s="1" t="s">
        <v>2</v>
      </c>
      <c r="B542" s="1"/>
      <c r="C542" s="191" t="s">
        <v>353</v>
      </c>
      <c r="D542" s="191"/>
      <c r="E542" s="2"/>
      <c r="F542" s="3"/>
      <c r="G542" s="1" t="s">
        <v>4</v>
      </c>
      <c r="H542" s="191" t="s">
        <v>240</v>
      </c>
      <c r="I542" s="191"/>
      <c r="J542" s="191"/>
    </row>
    <row r="543" spans="1:10" ht="12.75" customHeight="1">
      <c r="A543" s="1" t="s">
        <v>6</v>
      </c>
      <c r="B543" s="1"/>
      <c r="C543" s="192" t="s">
        <v>354</v>
      </c>
      <c r="D543" s="192"/>
      <c r="E543" s="2"/>
      <c r="F543" s="3"/>
      <c r="G543" s="1" t="s">
        <v>8</v>
      </c>
      <c r="H543" s="193" t="s">
        <v>9</v>
      </c>
      <c r="I543" s="193"/>
      <c r="J543" s="193"/>
    </row>
    <row r="544" spans="1:10" ht="12.75" customHeight="1">
      <c r="A544" s="6" t="s">
        <v>10</v>
      </c>
      <c r="B544" s="6"/>
      <c r="C544" s="194" t="s">
        <v>261</v>
      </c>
      <c r="D544" s="194"/>
      <c r="E544" s="2"/>
      <c r="F544" s="3"/>
      <c r="G544" s="1" t="s">
        <v>12</v>
      </c>
      <c r="H544" s="195" t="s">
        <v>13</v>
      </c>
      <c r="I544" s="195"/>
      <c r="J544" s="195"/>
    </row>
    <row r="545" spans="1:10" ht="12.75" customHeight="1">
      <c r="A545" s="2" t="s">
        <v>14</v>
      </c>
      <c r="B545" s="2"/>
      <c r="C545" s="1" t="s">
        <v>15</v>
      </c>
      <c r="D545" s="1"/>
      <c r="E545" s="2"/>
      <c r="F545" s="3"/>
      <c r="G545" s="1" t="s">
        <v>16</v>
      </c>
      <c r="H545" s="209" t="s">
        <v>68</v>
      </c>
      <c r="I545" s="209"/>
      <c r="J545" s="209"/>
    </row>
    <row r="546" spans="1:10" ht="12.75" customHeight="1">
      <c r="A546" s="2">
        <v>30</v>
      </c>
      <c r="B546" s="2"/>
      <c r="C546" s="2">
        <f>A546-H546</f>
        <v>0</v>
      </c>
      <c r="D546" s="2"/>
      <c r="E546" s="2"/>
      <c r="F546" s="3"/>
      <c r="G546" s="8" t="s">
        <v>18</v>
      </c>
      <c r="H546" s="197">
        <v>30</v>
      </c>
      <c r="I546" s="197"/>
      <c r="J546" s="197"/>
    </row>
    <row r="547" spans="1:10" ht="12.75" customHeight="1">
      <c r="A547" s="198" t="s">
        <v>19</v>
      </c>
      <c r="B547" s="199"/>
      <c r="C547" s="200"/>
      <c r="D547" s="13" t="s">
        <v>20</v>
      </c>
      <c r="E547" s="14" t="s">
        <v>21</v>
      </c>
      <c r="F547" s="15"/>
      <c r="G547" s="16" t="s">
        <v>20</v>
      </c>
      <c r="H547" s="201" t="s">
        <v>22</v>
      </c>
      <c r="I547" s="202"/>
      <c r="J547" s="203"/>
    </row>
    <row r="548" spans="1:10" ht="12.75" customHeight="1">
      <c r="A548" s="17" t="s">
        <v>56</v>
      </c>
      <c r="B548" s="1"/>
      <c r="C548" s="1"/>
      <c r="D548" s="2">
        <v>55000</v>
      </c>
      <c r="E548" s="17" t="s">
        <v>24</v>
      </c>
      <c r="F548" s="1"/>
      <c r="G548" s="2" t="s">
        <v>25</v>
      </c>
      <c r="H548" s="18" t="s">
        <v>26</v>
      </c>
      <c r="I548" s="23"/>
      <c r="J548" s="24"/>
    </row>
    <row r="549" spans="1:10" ht="12.75" customHeight="1">
      <c r="A549" s="17" t="s">
        <v>77</v>
      </c>
      <c r="B549" s="209" t="s">
        <v>355</v>
      </c>
      <c r="C549" s="209"/>
      <c r="D549" s="2">
        <v>7333</v>
      </c>
      <c r="E549" s="17" t="s">
        <v>28</v>
      </c>
      <c r="F549" s="1"/>
      <c r="G549" s="2" t="s">
        <v>25</v>
      </c>
      <c r="H549" s="18" t="s">
        <v>29</v>
      </c>
      <c r="I549" s="23"/>
      <c r="J549" s="24"/>
    </row>
    <row r="550" spans="1:10" ht="12.75" customHeight="1">
      <c r="A550" s="17" t="s">
        <v>30</v>
      </c>
      <c r="B550" s="1"/>
      <c r="C550" s="1"/>
      <c r="D550" s="2">
        <v>6767</v>
      </c>
      <c r="E550" s="17" t="s">
        <v>40</v>
      </c>
      <c r="F550" s="1"/>
      <c r="G550" s="2" t="s">
        <v>25</v>
      </c>
      <c r="H550" s="18" t="s">
        <v>32</v>
      </c>
      <c r="I550" s="23"/>
      <c r="J550" s="24"/>
    </row>
    <row r="551" spans="1:10" ht="12.75" customHeight="1">
      <c r="A551" s="17" t="s">
        <v>27</v>
      </c>
      <c r="B551" s="1"/>
      <c r="C551" s="1"/>
      <c r="D551" s="175" t="s">
        <v>25</v>
      </c>
      <c r="E551" s="17" t="s">
        <v>35</v>
      </c>
      <c r="F551" s="1"/>
      <c r="G551" s="2" t="s">
        <v>25</v>
      </c>
      <c r="H551" s="18"/>
      <c r="I551" s="6"/>
      <c r="J551" s="19"/>
    </row>
    <row r="552" spans="1:10" ht="12.75" customHeight="1">
      <c r="A552" s="17" t="s">
        <v>97</v>
      </c>
      <c r="B552" s="1"/>
      <c r="C552" s="1"/>
      <c r="D552" s="175" t="s">
        <v>25</v>
      </c>
      <c r="E552" s="17" t="s">
        <v>61</v>
      </c>
      <c r="F552" s="1"/>
      <c r="G552" s="2" t="s">
        <v>25</v>
      </c>
      <c r="H552" s="18" t="s">
        <v>84</v>
      </c>
      <c r="I552" s="6"/>
      <c r="J552" s="19"/>
    </row>
    <row r="553" spans="1:10" ht="12.75" customHeight="1">
      <c r="A553" s="17" t="s">
        <v>136</v>
      </c>
      <c r="B553" s="1"/>
      <c r="C553" s="1"/>
      <c r="D553" s="2" t="s">
        <v>25</v>
      </c>
      <c r="E553" s="17" t="s">
        <v>39</v>
      </c>
      <c r="F553" s="1"/>
      <c r="G553" s="2">
        <v>100</v>
      </c>
      <c r="H553" s="18"/>
      <c r="I553" s="6"/>
      <c r="J553" s="19"/>
    </row>
    <row r="554" spans="1:10" ht="12.75" customHeight="1">
      <c r="A554" s="18" t="s">
        <v>40</v>
      </c>
      <c r="B554" s="6"/>
      <c r="C554" s="6"/>
      <c r="D554" s="2" t="s">
        <v>25</v>
      </c>
      <c r="E554" s="17" t="s">
        <v>161</v>
      </c>
      <c r="F554" s="2"/>
      <c r="G554" s="2" t="s">
        <v>25</v>
      </c>
      <c r="H554" s="18"/>
      <c r="I554" s="6"/>
      <c r="J554" s="19"/>
    </row>
    <row r="555" spans="1:10" ht="12.75" customHeight="1">
      <c r="A555" s="204" t="s">
        <v>63</v>
      </c>
      <c r="B555" s="205"/>
      <c r="C555" s="206"/>
      <c r="D555" s="229">
        <f>SUM(D548:D554)</f>
        <v>69100</v>
      </c>
      <c r="E555" s="1" t="s">
        <v>43</v>
      </c>
      <c r="F555" s="1"/>
      <c r="G555" s="2" t="s">
        <v>25</v>
      </c>
      <c r="H555" s="18"/>
      <c r="I555" s="6"/>
      <c r="J555" s="19"/>
    </row>
    <row r="556" spans="1:10" ht="12.75" customHeight="1">
      <c r="A556" s="207"/>
      <c r="B556" s="197"/>
      <c r="C556" s="208"/>
      <c r="D556" s="230"/>
      <c r="E556" s="21" t="s">
        <v>21</v>
      </c>
      <c r="F556" s="22"/>
      <c r="G556" s="13">
        <f>SUM(G548:G555)</f>
        <v>100</v>
      </c>
      <c r="H556" s="21" t="s">
        <v>44</v>
      </c>
      <c r="I556" s="22"/>
      <c r="J556" s="13">
        <f>D555-G556</f>
        <v>69000</v>
      </c>
    </row>
    <row r="557" spans="1:10" ht="12.75" customHeight="1">
      <c r="A557" s="3" t="s">
        <v>45</v>
      </c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2.75" customHeight="1">
      <c r="A559" s="184" t="s">
        <v>0</v>
      </c>
      <c r="B559" s="185"/>
      <c r="C559" s="185"/>
      <c r="D559" s="185"/>
      <c r="E559" s="185"/>
      <c r="F559" s="185"/>
      <c r="G559" s="185"/>
      <c r="H559" s="185"/>
      <c r="I559" s="185"/>
      <c r="J559" s="186"/>
    </row>
    <row r="560" spans="1:10" ht="12.75" customHeight="1">
      <c r="A560" s="187" t="s">
        <v>1</v>
      </c>
      <c r="B560" s="188"/>
      <c r="C560" s="188"/>
      <c r="D560" s="188"/>
      <c r="E560" s="188"/>
      <c r="F560" s="188"/>
      <c r="G560" s="188"/>
      <c r="H560" s="188"/>
      <c r="I560" s="188"/>
      <c r="J560" s="189"/>
    </row>
    <row r="561" spans="1:10" ht="12.75" customHeight="1">
      <c r="A561" s="1" t="s">
        <v>2</v>
      </c>
      <c r="B561" s="1"/>
      <c r="C561" s="191" t="s">
        <v>353</v>
      </c>
      <c r="D561" s="191"/>
      <c r="E561" s="2"/>
      <c r="F561" s="3"/>
      <c r="G561" s="1" t="s">
        <v>4</v>
      </c>
      <c r="H561" s="191" t="s">
        <v>240</v>
      </c>
      <c r="I561" s="191"/>
      <c r="J561" s="191"/>
    </row>
    <row r="562" spans="1:10" ht="12.75" customHeight="1">
      <c r="A562" s="1" t="s">
        <v>6</v>
      </c>
      <c r="B562" s="1"/>
      <c r="C562" s="192" t="s">
        <v>356</v>
      </c>
      <c r="D562" s="192"/>
      <c r="E562" s="2"/>
      <c r="F562" s="3"/>
      <c r="G562" s="1" t="s">
        <v>8</v>
      </c>
      <c r="H562" s="193" t="s">
        <v>9</v>
      </c>
      <c r="I562" s="193"/>
      <c r="J562" s="193"/>
    </row>
    <row r="563" spans="1:10" ht="12.75" customHeight="1">
      <c r="A563" s="6" t="s">
        <v>10</v>
      </c>
      <c r="B563" s="6"/>
      <c r="C563" s="194" t="s">
        <v>261</v>
      </c>
      <c r="D563" s="194"/>
      <c r="E563" s="2"/>
      <c r="F563" s="3"/>
      <c r="G563" s="1" t="s">
        <v>12</v>
      </c>
      <c r="H563" s="195" t="s">
        <v>13</v>
      </c>
      <c r="I563" s="195"/>
      <c r="J563" s="195"/>
    </row>
    <row r="564" spans="1:10" ht="12.75" customHeight="1">
      <c r="A564" s="2" t="s">
        <v>14</v>
      </c>
      <c r="B564" s="2"/>
      <c r="C564" s="1" t="s">
        <v>15</v>
      </c>
      <c r="D564" s="1"/>
      <c r="E564" s="2"/>
      <c r="F564" s="3"/>
      <c r="G564" s="1" t="s">
        <v>16</v>
      </c>
      <c r="H564" s="209" t="s">
        <v>207</v>
      </c>
      <c r="I564" s="209"/>
      <c r="J564" s="209"/>
    </row>
    <row r="565" spans="1:10" ht="12.75" customHeight="1">
      <c r="A565" s="2">
        <v>30</v>
      </c>
      <c r="B565" s="2"/>
      <c r="C565" s="2">
        <f>A565-H565</f>
        <v>20</v>
      </c>
      <c r="D565" s="2"/>
      <c r="E565" s="2"/>
      <c r="F565" s="3"/>
      <c r="G565" s="8" t="s">
        <v>18</v>
      </c>
      <c r="H565" s="197">
        <v>10</v>
      </c>
      <c r="I565" s="197"/>
      <c r="J565" s="197"/>
    </row>
    <row r="566" spans="1:10" ht="12.75" customHeight="1">
      <c r="A566" s="198" t="s">
        <v>19</v>
      </c>
      <c r="B566" s="199"/>
      <c r="C566" s="200"/>
      <c r="D566" s="13" t="s">
        <v>20</v>
      </c>
      <c r="E566" s="14" t="s">
        <v>21</v>
      </c>
      <c r="F566" s="15"/>
      <c r="G566" s="16" t="s">
        <v>20</v>
      </c>
      <c r="H566" s="201" t="s">
        <v>22</v>
      </c>
      <c r="I566" s="202"/>
      <c r="J566" s="203"/>
    </row>
    <row r="567" spans="1:10" ht="12.75" customHeight="1">
      <c r="A567" s="17" t="s">
        <v>56</v>
      </c>
      <c r="B567" s="1"/>
      <c r="C567" s="1"/>
      <c r="D567" s="2">
        <v>60000</v>
      </c>
      <c r="E567" s="17" t="s">
        <v>24</v>
      </c>
      <c r="F567" s="1"/>
      <c r="G567" s="2" t="s">
        <v>25</v>
      </c>
      <c r="H567" s="18" t="s">
        <v>26</v>
      </c>
      <c r="I567" s="23"/>
      <c r="J567" s="24"/>
    </row>
    <row r="568" spans="1:10" ht="12.75" customHeight="1">
      <c r="A568" s="17" t="s">
        <v>77</v>
      </c>
      <c r="B568" s="209"/>
      <c r="C568" s="209"/>
      <c r="D568" s="2" t="s">
        <v>25</v>
      </c>
      <c r="E568" s="17" t="s">
        <v>28</v>
      </c>
      <c r="F568" s="1"/>
      <c r="G568" s="2" t="s">
        <v>25</v>
      </c>
      <c r="H568" s="18" t="s">
        <v>29</v>
      </c>
      <c r="I568" s="23"/>
      <c r="J568" s="24"/>
    </row>
    <row r="569" spans="1:10" ht="12.75" customHeight="1">
      <c r="A569" s="17" t="s">
        <v>30</v>
      </c>
      <c r="B569" s="1"/>
      <c r="C569" s="1"/>
      <c r="D569" s="2">
        <v>5100</v>
      </c>
      <c r="E569" s="17" t="s">
        <v>40</v>
      </c>
      <c r="F569" s="1"/>
      <c r="G569" s="2" t="s">
        <v>25</v>
      </c>
      <c r="H569" s="18" t="s">
        <v>32</v>
      </c>
      <c r="I569" s="23"/>
      <c r="J569" s="24"/>
    </row>
    <row r="570" spans="1:10" ht="12.75" customHeight="1">
      <c r="A570" s="17" t="s">
        <v>27</v>
      </c>
      <c r="B570" s="1"/>
      <c r="C570" s="1"/>
      <c r="D570" s="2" t="s">
        <v>25</v>
      </c>
      <c r="E570" s="17" t="s">
        <v>35</v>
      </c>
      <c r="F570" s="1"/>
      <c r="G570" s="2">
        <v>40000</v>
      </c>
      <c r="H570" s="18"/>
      <c r="I570" s="6"/>
      <c r="J570" s="19"/>
    </row>
    <row r="571" spans="1:10" ht="12.75" customHeight="1">
      <c r="A571" s="17" t="s">
        <v>136</v>
      </c>
      <c r="B571" s="1"/>
      <c r="C571" s="1"/>
      <c r="D571" s="2" t="s">
        <v>25</v>
      </c>
      <c r="E571" s="17" t="s">
        <v>61</v>
      </c>
      <c r="F571" s="1"/>
      <c r="G571" s="2" t="s">
        <v>25</v>
      </c>
      <c r="H571" s="18"/>
      <c r="I571" s="6"/>
      <c r="J571" s="19"/>
    </row>
    <row r="572" spans="1:10" ht="12.75" customHeight="1">
      <c r="A572" s="17" t="s">
        <v>147</v>
      </c>
      <c r="B572" s="1"/>
      <c r="C572" s="1"/>
      <c r="D572" s="2" t="s">
        <v>25</v>
      </c>
      <c r="E572" s="17" t="s">
        <v>39</v>
      </c>
      <c r="F572" s="1"/>
      <c r="G572" s="2">
        <v>100</v>
      </c>
      <c r="H572" s="18"/>
      <c r="I572" s="6"/>
      <c r="J572" s="19"/>
    </row>
    <row r="573" spans="1:10" ht="12.75" customHeight="1">
      <c r="A573" s="18" t="s">
        <v>40</v>
      </c>
      <c r="B573" s="6"/>
      <c r="C573" s="6"/>
      <c r="D573" s="2" t="s">
        <v>25</v>
      </c>
      <c r="E573" s="17" t="s">
        <v>161</v>
      </c>
      <c r="F573" s="2"/>
      <c r="G573" s="2" t="s">
        <v>25</v>
      </c>
      <c r="H573" s="18"/>
      <c r="I573" s="6"/>
      <c r="J573" s="19"/>
    </row>
    <row r="574" spans="1:10" ht="12.75" customHeight="1">
      <c r="A574" s="204" t="s">
        <v>63</v>
      </c>
      <c r="B574" s="205"/>
      <c r="C574" s="206"/>
      <c r="D574" s="229">
        <f>SUM(D567:D573)</f>
        <v>65100</v>
      </c>
      <c r="E574" s="1" t="s">
        <v>43</v>
      </c>
      <c r="F574" s="1"/>
      <c r="G574" s="2" t="s">
        <v>25</v>
      </c>
      <c r="H574" s="18"/>
      <c r="I574" s="6"/>
      <c r="J574" s="19"/>
    </row>
    <row r="575" spans="1:10" ht="12.75" customHeight="1">
      <c r="A575" s="207"/>
      <c r="B575" s="197"/>
      <c r="C575" s="208"/>
      <c r="D575" s="230"/>
      <c r="E575" s="21" t="s">
        <v>21</v>
      </c>
      <c r="F575" s="22"/>
      <c r="G575" s="13">
        <f>SUM(G567:G574)</f>
        <v>40100</v>
      </c>
      <c r="H575" s="21" t="s">
        <v>44</v>
      </c>
      <c r="I575" s="22"/>
      <c r="J575" s="13">
        <f>D574-G575</f>
        <v>25000</v>
      </c>
    </row>
    <row r="576" spans="1:10" ht="12.75" customHeight="1">
      <c r="A576" s="3" t="s">
        <v>45</v>
      </c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2.75" customHeight="1">
      <c r="A578" s="184" t="s">
        <v>0</v>
      </c>
      <c r="B578" s="185"/>
      <c r="C578" s="185"/>
      <c r="D578" s="185"/>
      <c r="E578" s="185"/>
      <c r="F578" s="185"/>
      <c r="G578" s="185"/>
      <c r="H578" s="185"/>
      <c r="I578" s="185"/>
      <c r="J578" s="186"/>
    </row>
    <row r="579" spans="1:10" ht="12.75" customHeight="1">
      <c r="A579" s="187" t="s">
        <v>1</v>
      </c>
      <c r="B579" s="188"/>
      <c r="C579" s="188"/>
      <c r="D579" s="188"/>
      <c r="E579" s="188"/>
      <c r="F579" s="188"/>
      <c r="G579" s="188"/>
      <c r="H579" s="188"/>
      <c r="I579" s="188"/>
      <c r="J579" s="189"/>
    </row>
    <row r="580" spans="1:10" ht="12.75" customHeight="1">
      <c r="A580" s="1" t="s">
        <v>2</v>
      </c>
      <c r="B580" s="1"/>
      <c r="C580" s="190" t="s">
        <v>357</v>
      </c>
      <c r="D580" s="190"/>
      <c r="E580" s="2"/>
      <c r="F580" s="3"/>
      <c r="G580" s="1" t="s">
        <v>4</v>
      </c>
      <c r="H580" s="191" t="s">
        <v>358</v>
      </c>
      <c r="I580" s="191"/>
      <c r="J580" s="191"/>
    </row>
    <row r="581" spans="1:10" ht="12.75" customHeight="1">
      <c r="A581" s="1" t="s">
        <v>6</v>
      </c>
      <c r="B581" s="1"/>
      <c r="C581" s="25" t="s">
        <v>359</v>
      </c>
      <c r="D581" s="25"/>
      <c r="E581" s="7"/>
      <c r="F581" s="3"/>
      <c r="G581" s="1" t="s">
        <v>8</v>
      </c>
      <c r="H581" s="193" t="s">
        <v>9</v>
      </c>
      <c r="I581" s="193"/>
      <c r="J581" s="193"/>
    </row>
    <row r="582" spans="1:10" ht="12.75" customHeight="1">
      <c r="A582" s="6" t="s">
        <v>10</v>
      </c>
      <c r="B582" s="6"/>
      <c r="C582" s="194" t="s">
        <v>328</v>
      </c>
      <c r="D582" s="194"/>
      <c r="E582" s="2"/>
      <c r="F582" s="3"/>
      <c r="G582" s="1" t="s">
        <v>12</v>
      </c>
      <c r="H582" s="195" t="s">
        <v>13</v>
      </c>
      <c r="I582" s="195"/>
      <c r="J582" s="195"/>
    </row>
    <row r="583" spans="1:10" ht="12.75" customHeight="1">
      <c r="A583" s="6" t="s">
        <v>14</v>
      </c>
      <c r="B583" s="6"/>
      <c r="C583" s="2" t="s">
        <v>15</v>
      </c>
      <c r="D583" s="2"/>
      <c r="E583" s="2"/>
      <c r="F583" s="3"/>
      <c r="G583" s="1" t="s">
        <v>16</v>
      </c>
      <c r="H583" s="195" t="s">
        <v>108</v>
      </c>
      <c r="I583" s="195"/>
      <c r="J583" s="195"/>
    </row>
    <row r="584" spans="1:10" ht="12.75" customHeight="1">
      <c r="A584" s="6">
        <v>30</v>
      </c>
      <c r="B584" s="6"/>
      <c r="C584" s="2">
        <f>A584-I584</f>
        <v>22</v>
      </c>
      <c r="D584" s="2"/>
      <c r="E584" s="2"/>
      <c r="F584" s="3"/>
      <c r="G584" s="8" t="s">
        <v>18</v>
      </c>
      <c r="H584" s="8"/>
      <c r="I584" s="9">
        <v>8</v>
      </c>
      <c r="J584" s="9"/>
    </row>
    <row r="585" spans="1:10" ht="12.75" customHeight="1">
      <c r="A585" s="198" t="s">
        <v>19</v>
      </c>
      <c r="B585" s="199"/>
      <c r="C585" s="200"/>
      <c r="D585" s="13" t="s">
        <v>20</v>
      </c>
      <c r="E585" s="14" t="s">
        <v>21</v>
      </c>
      <c r="F585" s="15"/>
      <c r="G585" s="16" t="s">
        <v>20</v>
      </c>
      <c r="H585" s="201" t="s">
        <v>22</v>
      </c>
      <c r="I585" s="202"/>
      <c r="J585" s="203"/>
    </row>
    <row r="586" spans="1:10" ht="12.75" customHeight="1">
      <c r="A586" s="17" t="s">
        <v>23</v>
      </c>
      <c r="B586" s="1"/>
      <c r="C586" s="1"/>
      <c r="D586" s="2">
        <v>55000</v>
      </c>
      <c r="E586" s="17" t="s">
        <v>24</v>
      </c>
      <c r="F586" s="1"/>
      <c r="G586" s="2" t="s">
        <v>25</v>
      </c>
      <c r="H586" s="18" t="s">
        <v>26</v>
      </c>
      <c r="I586" s="23"/>
      <c r="J586" s="24"/>
    </row>
    <row r="587" spans="1:10" ht="12.75" customHeight="1">
      <c r="A587" s="17" t="s">
        <v>77</v>
      </c>
      <c r="B587" s="196"/>
      <c r="C587" s="196"/>
      <c r="D587" s="2" t="s">
        <v>25</v>
      </c>
      <c r="E587" s="17" t="s">
        <v>28</v>
      </c>
      <c r="F587" s="1"/>
      <c r="G587" s="2" t="s">
        <v>25</v>
      </c>
      <c r="H587" s="18" t="s">
        <v>29</v>
      </c>
      <c r="I587" s="23"/>
      <c r="J587" s="24"/>
    </row>
    <row r="588" spans="1:10" ht="12.75" customHeight="1">
      <c r="A588" s="17" t="s">
        <v>30</v>
      </c>
      <c r="B588" s="1"/>
      <c r="C588" s="1"/>
      <c r="D588" s="2">
        <v>433</v>
      </c>
      <c r="E588" s="17" t="s">
        <v>315</v>
      </c>
      <c r="F588" s="1"/>
      <c r="G588" s="2" t="s">
        <v>25</v>
      </c>
      <c r="H588" s="18" t="s">
        <v>32</v>
      </c>
      <c r="I588" s="23"/>
      <c r="J588" s="24"/>
    </row>
    <row r="589" spans="1:10" ht="12.75" customHeight="1">
      <c r="A589" s="17" t="s">
        <v>316</v>
      </c>
      <c r="B589" s="1"/>
      <c r="C589" s="1"/>
      <c r="D589" s="2" t="s">
        <v>25</v>
      </c>
      <c r="E589" s="17" t="s">
        <v>71</v>
      </c>
      <c r="F589" s="1"/>
      <c r="G589" s="2">
        <v>40333</v>
      </c>
      <c r="H589" s="18"/>
      <c r="I589" s="6"/>
      <c r="J589" s="26"/>
    </row>
    <row r="590" spans="1:10" ht="12.75" customHeight="1">
      <c r="A590" s="17" t="s">
        <v>147</v>
      </c>
      <c r="B590" s="1"/>
      <c r="C590" s="1"/>
      <c r="D590" s="2" t="s">
        <v>25</v>
      </c>
      <c r="E590" s="17" t="s">
        <v>61</v>
      </c>
      <c r="F590" s="1"/>
      <c r="G590" s="2" t="s">
        <v>25</v>
      </c>
      <c r="H590" s="18" t="s">
        <v>360</v>
      </c>
      <c r="I590" s="6"/>
      <c r="J590" s="27"/>
    </row>
    <row r="591" spans="1:10" ht="12.75" customHeight="1">
      <c r="A591" s="17" t="s">
        <v>136</v>
      </c>
      <c r="B591" s="1"/>
      <c r="C591" s="1"/>
      <c r="D591" s="2" t="s">
        <v>25</v>
      </c>
      <c r="E591" s="17" t="s">
        <v>39</v>
      </c>
      <c r="F591" s="1"/>
      <c r="G591" s="2">
        <v>100</v>
      </c>
      <c r="H591" s="17"/>
      <c r="I591" s="6"/>
      <c r="J591" s="27"/>
    </row>
    <row r="592" spans="1:10" ht="12.75" customHeight="1">
      <c r="A592" s="18" t="s">
        <v>40</v>
      </c>
      <c r="B592" s="6"/>
      <c r="C592" s="6"/>
      <c r="D592" s="2" t="s">
        <v>25</v>
      </c>
      <c r="E592" s="17" t="s">
        <v>79</v>
      </c>
      <c r="F592" s="2"/>
      <c r="G592" s="2" t="s">
        <v>25</v>
      </c>
      <c r="H592" s="18"/>
      <c r="I592" s="6"/>
      <c r="J592" s="26"/>
    </row>
    <row r="593" spans="1:10" ht="12.75" customHeight="1">
      <c r="A593" s="204" t="s">
        <v>63</v>
      </c>
      <c r="B593" s="205"/>
      <c r="C593" s="206"/>
      <c r="D593" s="229">
        <f>SUM(D586:D592)</f>
        <v>55433</v>
      </c>
      <c r="E593" s="1" t="s">
        <v>43</v>
      </c>
      <c r="F593" s="1"/>
      <c r="G593" s="2" t="s">
        <v>25</v>
      </c>
      <c r="H593" s="18"/>
      <c r="I593" s="6"/>
      <c r="J593" s="19"/>
    </row>
    <row r="594" spans="1:10" ht="12.75" customHeight="1">
      <c r="A594" s="207"/>
      <c r="B594" s="197"/>
      <c r="C594" s="208"/>
      <c r="D594" s="230"/>
      <c r="E594" s="21" t="s">
        <v>21</v>
      </c>
      <c r="F594" s="22"/>
      <c r="G594" s="13">
        <f>SUM(G586:G593)</f>
        <v>40433</v>
      </c>
      <c r="H594" s="21" t="s">
        <v>44</v>
      </c>
      <c r="I594" s="22"/>
      <c r="J594" s="13">
        <f>D593-G594</f>
        <v>15000</v>
      </c>
    </row>
    <row r="595" spans="1:10" ht="12.75" customHeight="1">
      <c r="A595" s="3" t="s">
        <v>45</v>
      </c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2.75" customHeight="1">
      <c r="A596" s="3"/>
      <c r="B596" s="3" t="s">
        <v>47</v>
      </c>
      <c r="C596" s="3"/>
      <c r="D596" s="3"/>
      <c r="E596" s="3" t="s">
        <v>48</v>
      </c>
      <c r="F596" s="3"/>
      <c r="G596" s="3"/>
      <c r="H596" s="3" t="s">
        <v>49</v>
      </c>
      <c r="I596" s="3"/>
      <c r="J596" s="3"/>
    </row>
    <row r="597" spans="1:10" ht="12.75" customHeight="1">
      <c r="A597" s="184" t="s">
        <v>0</v>
      </c>
      <c r="B597" s="185"/>
      <c r="C597" s="185"/>
      <c r="D597" s="185"/>
      <c r="E597" s="185"/>
      <c r="F597" s="185"/>
      <c r="G597" s="185"/>
      <c r="H597" s="185"/>
      <c r="I597" s="185"/>
      <c r="J597" s="186"/>
    </row>
    <row r="598" spans="1:10" ht="12.75" customHeight="1">
      <c r="A598" s="187" t="s">
        <v>1</v>
      </c>
      <c r="B598" s="188"/>
      <c r="C598" s="188"/>
      <c r="D598" s="188"/>
      <c r="E598" s="188"/>
      <c r="F598" s="188"/>
      <c r="G598" s="188"/>
      <c r="H598" s="188"/>
      <c r="I598" s="188"/>
      <c r="J598" s="189"/>
    </row>
    <row r="599" spans="1:10" ht="12.75" customHeight="1">
      <c r="A599" s="1" t="s">
        <v>2</v>
      </c>
      <c r="B599" s="1"/>
      <c r="C599" s="190" t="s">
        <v>357</v>
      </c>
      <c r="D599" s="190"/>
      <c r="E599" s="2"/>
      <c r="F599" s="3"/>
      <c r="G599" s="1" t="s">
        <v>4</v>
      </c>
      <c r="H599" s="191" t="s">
        <v>358</v>
      </c>
      <c r="I599" s="191"/>
      <c r="J599" s="191"/>
    </row>
    <row r="600" spans="1:10" ht="12.75" customHeight="1">
      <c r="A600" s="1" t="s">
        <v>6</v>
      </c>
      <c r="B600" s="1"/>
      <c r="C600" s="25" t="s">
        <v>361</v>
      </c>
      <c r="D600" s="25"/>
      <c r="E600" s="7"/>
      <c r="F600" s="3"/>
      <c r="G600" s="1" t="s">
        <v>8</v>
      </c>
      <c r="H600" s="193" t="s">
        <v>9</v>
      </c>
      <c r="I600" s="193"/>
      <c r="J600" s="193"/>
    </row>
    <row r="601" spans="1:10" ht="12.75" customHeight="1">
      <c r="A601" s="6" t="s">
        <v>10</v>
      </c>
      <c r="B601" s="6"/>
      <c r="C601" s="194" t="s">
        <v>328</v>
      </c>
      <c r="D601" s="194"/>
      <c r="E601" s="2"/>
      <c r="F601" s="3"/>
      <c r="G601" s="1" t="s">
        <v>12</v>
      </c>
      <c r="H601" s="195" t="s">
        <v>13</v>
      </c>
      <c r="I601" s="195"/>
      <c r="J601" s="195"/>
    </row>
    <row r="602" spans="1:10" ht="12.75" customHeight="1">
      <c r="A602" s="6" t="s">
        <v>14</v>
      </c>
      <c r="B602" s="6"/>
      <c r="C602" s="2" t="s">
        <v>15</v>
      </c>
      <c r="D602" s="2"/>
      <c r="E602" s="2"/>
      <c r="F602" s="3"/>
      <c r="G602" s="1" t="s">
        <v>16</v>
      </c>
      <c r="H602" s="195" t="s">
        <v>140</v>
      </c>
      <c r="I602" s="195"/>
      <c r="J602" s="195"/>
    </row>
    <row r="603" spans="1:10" ht="12.75" customHeight="1">
      <c r="A603" s="6">
        <v>30</v>
      </c>
      <c r="B603" s="6"/>
      <c r="C603" s="2">
        <f>A603-I603</f>
        <v>0</v>
      </c>
      <c r="D603" s="2"/>
      <c r="E603" s="2"/>
      <c r="F603" s="3"/>
      <c r="G603" s="8" t="s">
        <v>18</v>
      </c>
      <c r="H603" s="8"/>
      <c r="I603" s="9">
        <v>30</v>
      </c>
      <c r="J603" s="9"/>
    </row>
    <row r="604" spans="1:10" ht="12.75" customHeight="1">
      <c r="A604" s="198" t="s">
        <v>19</v>
      </c>
      <c r="B604" s="199"/>
      <c r="C604" s="200"/>
      <c r="D604" s="13" t="s">
        <v>20</v>
      </c>
      <c r="E604" s="14" t="s">
        <v>21</v>
      </c>
      <c r="F604" s="15"/>
      <c r="G604" s="16" t="s">
        <v>20</v>
      </c>
      <c r="H604" s="201" t="s">
        <v>22</v>
      </c>
      <c r="I604" s="202"/>
      <c r="J604" s="203"/>
    </row>
    <row r="605" spans="1:10" ht="12.75" customHeight="1">
      <c r="A605" s="17" t="s">
        <v>23</v>
      </c>
      <c r="B605" s="1"/>
      <c r="C605" s="1"/>
      <c r="D605" s="2">
        <v>35000</v>
      </c>
      <c r="E605" s="17" t="s">
        <v>24</v>
      </c>
      <c r="F605" s="1"/>
      <c r="G605" s="2" t="s">
        <v>25</v>
      </c>
      <c r="H605" s="18" t="s">
        <v>26</v>
      </c>
      <c r="I605" s="23"/>
      <c r="J605" s="24"/>
    </row>
    <row r="606" spans="1:10" ht="12.75" customHeight="1">
      <c r="A606" s="17" t="s">
        <v>77</v>
      </c>
      <c r="B606" s="196"/>
      <c r="C606" s="196"/>
      <c r="D606" s="2" t="s">
        <v>25</v>
      </c>
      <c r="E606" s="17" t="s">
        <v>28</v>
      </c>
      <c r="F606" s="1"/>
      <c r="G606" s="2" t="s">
        <v>25</v>
      </c>
      <c r="H606" s="18" t="s">
        <v>29</v>
      </c>
      <c r="I606" s="23"/>
      <c r="J606" s="24"/>
    </row>
    <row r="607" spans="1:10" ht="12.75" customHeight="1">
      <c r="A607" s="17" t="s">
        <v>30</v>
      </c>
      <c r="B607" s="1"/>
      <c r="C607" s="1"/>
      <c r="D607" s="2">
        <v>5100</v>
      </c>
      <c r="E607" s="17" t="s">
        <v>315</v>
      </c>
      <c r="F607" s="1"/>
      <c r="G607" s="2" t="s">
        <v>25</v>
      </c>
      <c r="H607" s="18" t="s">
        <v>32</v>
      </c>
      <c r="I607" s="23"/>
      <c r="J607" s="24"/>
    </row>
    <row r="608" spans="1:10" ht="12.75" customHeight="1">
      <c r="A608" s="17" t="s">
        <v>316</v>
      </c>
      <c r="B608" s="1"/>
      <c r="C608" s="1"/>
      <c r="D608" s="2" t="s">
        <v>25</v>
      </c>
      <c r="E608" s="17" t="s">
        <v>71</v>
      </c>
      <c r="F608" s="1"/>
      <c r="G608" s="2" t="s">
        <v>25</v>
      </c>
      <c r="H608" s="18"/>
      <c r="I608" s="6"/>
      <c r="J608" s="26"/>
    </row>
    <row r="609" spans="1:10" ht="12.75" customHeight="1">
      <c r="A609" s="17" t="s">
        <v>147</v>
      </c>
      <c r="B609" s="1"/>
      <c r="C609" s="1"/>
      <c r="D609" s="2" t="s">
        <v>25</v>
      </c>
      <c r="E609" s="17" t="s">
        <v>61</v>
      </c>
      <c r="F609" s="1"/>
      <c r="G609" s="2" t="s">
        <v>25</v>
      </c>
      <c r="H609" s="18"/>
      <c r="I609" s="6"/>
      <c r="J609" s="27"/>
    </row>
    <row r="610" spans="1:10" ht="12.75" customHeight="1">
      <c r="A610" s="17" t="s">
        <v>136</v>
      </c>
      <c r="B610" s="1"/>
      <c r="C610" s="1"/>
      <c r="D610" s="2" t="s">
        <v>25</v>
      </c>
      <c r="E610" s="17" t="s">
        <v>39</v>
      </c>
      <c r="F610" s="1"/>
      <c r="G610" s="2">
        <v>100</v>
      </c>
      <c r="H610" s="17"/>
      <c r="I610" s="6"/>
      <c r="J610" s="27"/>
    </row>
    <row r="611" spans="1:10" ht="12.75" customHeight="1">
      <c r="A611" s="18" t="s">
        <v>40</v>
      </c>
      <c r="B611" s="6"/>
      <c r="C611" s="6"/>
      <c r="D611" s="2" t="s">
        <v>25</v>
      </c>
      <c r="E611" s="17" t="s">
        <v>79</v>
      </c>
      <c r="F611" s="2"/>
      <c r="G611" s="2" t="s">
        <v>25</v>
      </c>
      <c r="H611" s="18"/>
      <c r="I611" s="6"/>
      <c r="J611" s="26"/>
    </row>
    <row r="612" spans="1:10" ht="12.75" customHeight="1">
      <c r="A612" s="204" t="s">
        <v>63</v>
      </c>
      <c r="B612" s="205"/>
      <c r="C612" s="206"/>
      <c r="D612" s="229">
        <f>SUM(D605:D611)</f>
        <v>40100</v>
      </c>
      <c r="E612" s="1" t="s">
        <v>43</v>
      </c>
      <c r="F612" s="1"/>
      <c r="G612" s="2" t="s">
        <v>25</v>
      </c>
      <c r="H612" s="18"/>
      <c r="I612" s="6"/>
      <c r="J612" s="19"/>
    </row>
    <row r="613" spans="1:10" ht="12.75" customHeight="1">
      <c r="A613" s="207"/>
      <c r="B613" s="197"/>
      <c r="C613" s="208"/>
      <c r="D613" s="230"/>
      <c r="E613" s="21" t="s">
        <v>21</v>
      </c>
      <c r="F613" s="22"/>
      <c r="G613" s="13">
        <f>SUM(G605:G612)</f>
        <v>100</v>
      </c>
      <c r="H613" s="21" t="s">
        <v>44</v>
      </c>
      <c r="I613" s="22"/>
      <c r="J613" s="13">
        <f>D612-G613</f>
        <v>40000</v>
      </c>
    </row>
    <row r="614" spans="1:10" ht="12.75" customHeight="1">
      <c r="A614" s="3" t="s">
        <v>45</v>
      </c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2.75" customHeight="1">
      <c r="A615" s="3"/>
      <c r="B615" s="3" t="s">
        <v>47</v>
      </c>
      <c r="C615" s="3"/>
      <c r="D615" s="3"/>
      <c r="E615" s="3" t="s">
        <v>48</v>
      </c>
      <c r="F615" s="3"/>
      <c r="G615" s="3"/>
      <c r="H615" s="3" t="s">
        <v>49</v>
      </c>
      <c r="I615" s="3"/>
      <c r="J615" s="3"/>
    </row>
    <row r="616" spans="1:10" ht="12.75" customHeight="1">
      <c r="A616" s="184" t="s">
        <v>0</v>
      </c>
      <c r="B616" s="185"/>
      <c r="C616" s="185"/>
      <c r="D616" s="185"/>
      <c r="E616" s="185"/>
      <c r="F616" s="185"/>
      <c r="G616" s="185"/>
      <c r="H616" s="185"/>
      <c r="I616" s="185"/>
      <c r="J616" s="186"/>
    </row>
    <row r="617" spans="1:10" ht="12.75" customHeight="1">
      <c r="A617" s="187" t="s">
        <v>1</v>
      </c>
      <c r="B617" s="188"/>
      <c r="C617" s="188"/>
      <c r="D617" s="188"/>
      <c r="E617" s="188"/>
      <c r="F617" s="188"/>
      <c r="G617" s="188"/>
      <c r="H617" s="188"/>
      <c r="I617" s="188"/>
      <c r="J617" s="189"/>
    </row>
    <row r="618" spans="1:10" ht="12.75" customHeight="1">
      <c r="A618" s="1" t="s">
        <v>2</v>
      </c>
      <c r="B618" s="1"/>
      <c r="C618" s="190" t="s">
        <v>362</v>
      </c>
      <c r="D618" s="190"/>
      <c r="E618" s="2"/>
      <c r="F618" s="3"/>
      <c r="G618" s="1" t="s">
        <v>4</v>
      </c>
      <c r="H618" s="191" t="s">
        <v>358</v>
      </c>
      <c r="I618" s="191"/>
      <c r="J618" s="191"/>
    </row>
    <row r="619" spans="1:10" ht="12.75" customHeight="1">
      <c r="A619" s="1" t="s">
        <v>6</v>
      </c>
      <c r="B619" s="1"/>
      <c r="C619" s="192" t="s">
        <v>363</v>
      </c>
      <c r="D619" s="192"/>
      <c r="E619" s="2"/>
      <c r="F619" s="3"/>
      <c r="G619" s="1" t="s">
        <v>8</v>
      </c>
      <c r="H619" s="193" t="s">
        <v>9</v>
      </c>
      <c r="I619" s="193"/>
      <c r="J619" s="193"/>
    </row>
    <row r="620" spans="1:10" ht="12.75" customHeight="1">
      <c r="A620" s="6" t="s">
        <v>10</v>
      </c>
      <c r="B620" s="6"/>
      <c r="C620" s="194" t="s">
        <v>328</v>
      </c>
      <c r="D620" s="194"/>
      <c r="E620" s="2"/>
      <c r="F620" s="3"/>
      <c r="G620" s="1" t="s">
        <v>12</v>
      </c>
      <c r="H620" s="195" t="s">
        <v>13</v>
      </c>
      <c r="I620" s="195"/>
      <c r="J620" s="195"/>
    </row>
    <row r="621" spans="1:10" ht="12.75" customHeight="1">
      <c r="A621" s="2" t="s">
        <v>14</v>
      </c>
      <c r="B621" s="2"/>
      <c r="C621" s="2" t="s">
        <v>15</v>
      </c>
      <c r="D621" s="2"/>
      <c r="E621" s="2"/>
      <c r="F621" s="3"/>
      <c r="G621" s="1" t="s">
        <v>16</v>
      </c>
      <c r="H621" s="196" t="s">
        <v>364</v>
      </c>
      <c r="I621" s="196"/>
      <c r="J621" s="196"/>
    </row>
    <row r="622" spans="1:10" ht="12.75" customHeight="1">
      <c r="A622" s="2">
        <v>30</v>
      </c>
      <c r="B622" s="2"/>
      <c r="C622" s="2">
        <f>A622-H622</f>
        <v>5</v>
      </c>
      <c r="D622" s="2"/>
      <c r="E622" s="2"/>
      <c r="F622" s="3"/>
      <c r="G622" s="8" t="s">
        <v>18</v>
      </c>
      <c r="H622" s="197">
        <v>25</v>
      </c>
      <c r="I622" s="197"/>
      <c r="J622" s="197"/>
    </row>
    <row r="623" spans="1:10" ht="12.75" customHeight="1">
      <c r="A623" s="198" t="s">
        <v>19</v>
      </c>
      <c r="B623" s="199"/>
      <c r="C623" s="200"/>
      <c r="D623" s="13" t="s">
        <v>20</v>
      </c>
      <c r="E623" s="14" t="s">
        <v>21</v>
      </c>
      <c r="F623" s="15"/>
      <c r="G623" s="16" t="s">
        <v>20</v>
      </c>
      <c r="H623" s="201" t="s">
        <v>22</v>
      </c>
      <c r="I623" s="202"/>
      <c r="J623" s="203"/>
    </row>
    <row r="624" spans="1:10" ht="12.75" customHeight="1">
      <c r="A624" s="17" t="s">
        <v>23</v>
      </c>
      <c r="B624" s="1"/>
      <c r="C624" s="1"/>
      <c r="D624" s="2">
        <v>40000</v>
      </c>
      <c r="E624" s="17" t="s">
        <v>24</v>
      </c>
      <c r="F624" s="1"/>
      <c r="G624" s="2" t="s">
        <v>25</v>
      </c>
      <c r="H624" s="18" t="s">
        <v>26</v>
      </c>
      <c r="I624" s="23"/>
      <c r="J624" s="24"/>
    </row>
    <row r="625" spans="1:10" ht="12.75" customHeight="1">
      <c r="A625" s="17" t="s">
        <v>57</v>
      </c>
      <c r="B625" s="209"/>
      <c r="C625" s="209"/>
      <c r="D625" s="2" t="s">
        <v>25</v>
      </c>
      <c r="E625" s="17" t="s">
        <v>365</v>
      </c>
      <c r="F625" s="1"/>
      <c r="G625" s="2" t="s">
        <v>25</v>
      </c>
      <c r="H625" s="18" t="s">
        <v>29</v>
      </c>
      <c r="I625" s="23"/>
      <c r="J625" s="24"/>
    </row>
    <row r="626" spans="1:10" ht="12.75" customHeight="1">
      <c r="A626" s="17" t="s">
        <v>30</v>
      </c>
      <c r="B626" s="1"/>
      <c r="C626" s="1"/>
      <c r="D626" s="2">
        <v>7567</v>
      </c>
      <c r="E626" s="17" t="s">
        <v>141</v>
      </c>
      <c r="F626" s="1"/>
      <c r="G626" s="2">
        <v>800</v>
      </c>
      <c r="H626" s="18" t="s">
        <v>32</v>
      </c>
      <c r="I626" s="23"/>
      <c r="J626" s="24"/>
    </row>
    <row r="627" spans="1:10" ht="12.75" customHeight="1">
      <c r="A627" s="17" t="s">
        <v>366</v>
      </c>
      <c r="B627" s="6"/>
      <c r="C627" s="6"/>
      <c r="D627" s="2">
        <v>5000</v>
      </c>
      <c r="E627" s="17" t="s">
        <v>71</v>
      </c>
      <c r="F627" s="1"/>
      <c r="G627" s="2">
        <v>6667</v>
      </c>
      <c r="H627" s="18"/>
      <c r="I627" s="36"/>
      <c r="J627" s="19"/>
    </row>
    <row r="628" spans="1:10" ht="12.75" customHeight="1">
      <c r="A628" s="17" t="s">
        <v>72</v>
      </c>
      <c r="B628" s="1"/>
      <c r="C628" s="1"/>
      <c r="D628" s="2" t="s">
        <v>25</v>
      </c>
      <c r="E628" s="17" t="s">
        <v>79</v>
      </c>
      <c r="F628" s="2"/>
      <c r="G628" s="2" t="s">
        <v>25</v>
      </c>
      <c r="H628" s="42"/>
      <c r="I628" s="36"/>
      <c r="J628" s="43"/>
    </row>
    <row r="629" spans="1:10" ht="12.75" customHeight="1">
      <c r="A629" s="17" t="s">
        <v>136</v>
      </c>
      <c r="B629" s="1"/>
      <c r="C629" s="1"/>
      <c r="D629" s="2" t="s">
        <v>25</v>
      </c>
      <c r="E629" s="17" t="s">
        <v>39</v>
      </c>
      <c r="F629" s="1"/>
      <c r="G629" s="2">
        <v>100</v>
      </c>
      <c r="H629" s="17"/>
      <c r="I629" s="1"/>
      <c r="J629" s="20"/>
    </row>
    <row r="630" spans="1:10" ht="12.75" customHeight="1">
      <c r="A630" s="18" t="s">
        <v>40</v>
      </c>
      <c r="B630" s="6"/>
      <c r="C630" s="6"/>
      <c r="D630" s="2" t="s">
        <v>25</v>
      </c>
      <c r="E630" s="17" t="s">
        <v>37</v>
      </c>
      <c r="F630" s="2"/>
      <c r="G630" s="2" t="s">
        <v>25</v>
      </c>
      <c r="H630" s="42"/>
      <c r="I630" s="36"/>
      <c r="J630" s="43"/>
    </row>
    <row r="631" spans="1:10" ht="12.75" customHeight="1">
      <c r="A631" s="204" t="s">
        <v>63</v>
      </c>
      <c r="B631" s="205"/>
      <c r="C631" s="206"/>
      <c r="D631" s="229">
        <f>SUM(D624:D630)</f>
        <v>52567</v>
      </c>
      <c r="E631" s="1" t="s">
        <v>79</v>
      </c>
      <c r="F631" s="2"/>
      <c r="G631" s="2" t="s">
        <v>25</v>
      </c>
      <c r="H631" s="18"/>
      <c r="I631" s="6"/>
      <c r="J631" s="19"/>
    </row>
    <row r="632" spans="1:10" ht="12.75" customHeight="1">
      <c r="A632" s="207"/>
      <c r="B632" s="197"/>
      <c r="C632" s="208"/>
      <c r="D632" s="230"/>
      <c r="E632" s="21" t="s">
        <v>21</v>
      </c>
      <c r="F632" s="22"/>
      <c r="G632" s="13">
        <f>SUM(G624:G631)</f>
        <v>7567</v>
      </c>
      <c r="H632" s="21" t="s">
        <v>44</v>
      </c>
      <c r="I632" s="22"/>
      <c r="J632" s="13">
        <f>D631-G632</f>
        <v>45000</v>
      </c>
    </row>
    <row r="633" spans="1:10" ht="12.75" customHeight="1">
      <c r="A633" s="3" t="s">
        <v>45</v>
      </c>
      <c r="B633" s="3"/>
      <c r="C633" s="3"/>
      <c r="D633" s="3"/>
      <c r="E633" s="3"/>
      <c r="F633" s="3"/>
      <c r="G633" s="2"/>
      <c r="H633" s="1"/>
      <c r="I633" s="1"/>
      <c r="J633" s="2"/>
    </row>
    <row r="634" spans="1:10" ht="12.75" customHeight="1">
      <c r="A634" s="3"/>
      <c r="B634" s="3" t="s">
        <v>47</v>
      </c>
      <c r="C634" s="3"/>
      <c r="D634" s="3"/>
      <c r="E634" s="3" t="s">
        <v>48</v>
      </c>
      <c r="F634" s="3"/>
      <c r="G634" s="3"/>
      <c r="H634" s="3" t="s">
        <v>49</v>
      </c>
      <c r="I634" s="3"/>
      <c r="J634" s="3"/>
    </row>
    <row r="635" spans="1:10" ht="32.25" customHeight="1">
      <c r="A635" s="249" t="s">
        <v>264</v>
      </c>
      <c r="B635" s="250"/>
      <c r="C635" s="250"/>
      <c r="D635" s="250"/>
      <c r="E635" s="251"/>
      <c r="F635" s="249">
        <f>J632+J613+J594+J575+J556+J536+J516+J496+J476+J455+J435+J415+J395+J375+J355+J335+J315+J296+J276+J257+J237+J217+J197+J177+J157+J137+J117+J97+J77+J57+J37</f>
        <v>2081428</v>
      </c>
      <c r="G635" s="250"/>
      <c r="H635" s="250"/>
      <c r="I635" s="250"/>
      <c r="J635" s="251"/>
    </row>
    <row r="636" spans="1:10">
      <c r="A636" s="3"/>
      <c r="B636" s="3"/>
      <c r="C636" s="3"/>
      <c r="D636" s="3"/>
      <c r="E636" s="3"/>
      <c r="F636" s="3"/>
      <c r="G636" s="3"/>
      <c r="H636" s="3"/>
      <c r="I636" s="3"/>
    </row>
    <row r="637" spans="1:10">
      <c r="A637" s="3"/>
      <c r="B637" s="3"/>
      <c r="C637" s="3"/>
      <c r="D637" s="3"/>
      <c r="E637" s="3"/>
      <c r="F637" s="3"/>
      <c r="G637" s="3"/>
      <c r="H637" s="3"/>
      <c r="I637" s="3"/>
    </row>
    <row r="638" spans="1:10">
      <c r="A638" s="3"/>
      <c r="B638" s="3"/>
      <c r="C638" s="3"/>
      <c r="D638" s="3"/>
      <c r="E638" s="3"/>
      <c r="F638" s="3"/>
      <c r="G638" s="3"/>
      <c r="H638" s="3"/>
      <c r="I638" s="3"/>
    </row>
    <row r="639" spans="1:10">
      <c r="A639" s="3"/>
      <c r="B639" s="3"/>
      <c r="C639" s="3"/>
      <c r="D639" s="3"/>
      <c r="E639" s="3"/>
      <c r="F639" s="3"/>
      <c r="G639" s="3"/>
      <c r="H639" s="3"/>
      <c r="I639" s="3"/>
    </row>
    <row r="640" spans="1:10">
      <c r="A640" s="29"/>
      <c r="B640" s="29"/>
      <c r="C640" s="29"/>
      <c r="D640" s="29"/>
      <c r="E640" s="29"/>
      <c r="F640" s="30"/>
      <c r="G640" s="30"/>
      <c r="H640" s="30"/>
      <c r="I640" s="30"/>
    </row>
    <row r="641" spans="1:9">
      <c r="A641" s="31"/>
      <c r="B641" s="252" t="s">
        <v>265</v>
      </c>
      <c r="C641" s="252"/>
      <c r="D641" s="252"/>
      <c r="E641" s="33"/>
      <c r="F641" s="253" t="s">
        <v>266</v>
      </c>
      <c r="G641" s="253"/>
      <c r="H641" s="253"/>
      <c r="I641" s="253"/>
    </row>
    <row r="642" spans="1:9">
      <c r="A642" s="31"/>
      <c r="B642" s="34"/>
      <c r="C642" s="34"/>
      <c r="D642" s="34"/>
      <c r="E642" s="33"/>
      <c r="F642" s="35"/>
      <c r="G642" s="35"/>
      <c r="H642" s="35"/>
      <c r="I642" s="35"/>
    </row>
    <row r="643" spans="1:9">
      <c r="A643" s="31"/>
      <c r="B643" s="34"/>
      <c r="C643" s="34"/>
      <c r="D643" s="34"/>
      <c r="E643" s="33"/>
      <c r="F643" s="35"/>
      <c r="G643" s="35"/>
      <c r="H643" s="35"/>
      <c r="I643" s="35"/>
    </row>
    <row r="644" spans="1:9">
      <c r="A644" s="31"/>
      <c r="B644" s="34"/>
      <c r="C644" s="34"/>
      <c r="D644" s="34"/>
      <c r="E644" s="33"/>
      <c r="F644" s="35"/>
      <c r="G644" s="35"/>
      <c r="H644" s="35"/>
      <c r="I644" s="35"/>
    </row>
    <row r="645" spans="1:9">
      <c r="A645" s="31"/>
      <c r="B645" s="34"/>
      <c r="C645" s="34"/>
      <c r="D645" s="34"/>
      <c r="E645" s="33"/>
      <c r="F645" s="35"/>
      <c r="G645" s="35"/>
      <c r="H645" s="35"/>
      <c r="I645" s="35"/>
    </row>
    <row r="646" spans="1:9">
      <c r="A646" s="31"/>
      <c r="B646" s="31"/>
      <c r="C646" s="31"/>
      <c r="D646" s="31"/>
      <c r="E646" s="31"/>
      <c r="F646" s="36"/>
      <c r="G646" s="36"/>
      <c r="H646" s="36"/>
      <c r="I646" s="36"/>
    </row>
    <row r="647" spans="1:9">
      <c r="A647" s="31"/>
      <c r="B647" s="37"/>
      <c r="C647" s="32" t="s">
        <v>267</v>
      </c>
      <c r="D647" s="32"/>
      <c r="E647" s="31"/>
      <c r="F647" s="253" t="s">
        <v>268</v>
      </c>
      <c r="G647" s="253"/>
      <c r="H647" s="253"/>
      <c r="I647" s="253"/>
    </row>
    <row r="648" spans="1:9">
      <c r="A648" s="31"/>
      <c r="B648" s="79"/>
      <c r="C648" s="34"/>
      <c r="D648" s="34"/>
      <c r="E648" s="31"/>
      <c r="F648" s="35"/>
      <c r="G648" s="35"/>
      <c r="H648" s="35"/>
      <c r="I648" s="35"/>
    </row>
  </sheetData>
  <mergeCells count="463">
    <mergeCell ref="C619:D619"/>
    <mergeCell ref="H619:J619"/>
    <mergeCell ref="C620:D620"/>
    <mergeCell ref="H620:J620"/>
    <mergeCell ref="A597:J597"/>
    <mergeCell ref="A598:J598"/>
    <mergeCell ref="C599:D599"/>
    <mergeCell ref="H599:J599"/>
    <mergeCell ref="H600:J600"/>
    <mergeCell ref="A612:C613"/>
    <mergeCell ref="H621:J621"/>
    <mergeCell ref="A414:C415"/>
    <mergeCell ref="A475:C476"/>
    <mergeCell ref="A434:C435"/>
    <mergeCell ref="A515:C516"/>
    <mergeCell ref="A535:C536"/>
    <mergeCell ref="B606:C606"/>
    <mergeCell ref="A616:J616"/>
    <mergeCell ref="A617:J617"/>
    <mergeCell ref="C618:D618"/>
    <mergeCell ref="H618:J618"/>
    <mergeCell ref="D535:D536"/>
    <mergeCell ref="D555:D556"/>
    <mergeCell ref="D574:D575"/>
    <mergeCell ref="D612:D613"/>
    <mergeCell ref="H601:J601"/>
    <mergeCell ref="H602:J602"/>
    <mergeCell ref="A604:C604"/>
    <mergeCell ref="H604:J604"/>
    <mergeCell ref="C580:D580"/>
    <mergeCell ref="H580:J580"/>
    <mergeCell ref="H581:J581"/>
    <mergeCell ref="C582:D582"/>
    <mergeCell ref="H546:J546"/>
    <mergeCell ref="A354:C355"/>
    <mergeCell ref="A374:C375"/>
    <mergeCell ref="A394:C395"/>
    <mergeCell ref="A454:C455"/>
    <mergeCell ref="A574:C575"/>
    <mergeCell ref="A555:C556"/>
    <mergeCell ref="C601:D601"/>
    <mergeCell ref="C563:D563"/>
    <mergeCell ref="A540:J540"/>
    <mergeCell ref="H582:J582"/>
    <mergeCell ref="H583:J583"/>
    <mergeCell ref="A585:C585"/>
    <mergeCell ref="H585:J585"/>
    <mergeCell ref="B587:C587"/>
    <mergeCell ref="A593:C594"/>
    <mergeCell ref="D593:D594"/>
    <mergeCell ref="H563:J563"/>
    <mergeCell ref="H564:J564"/>
    <mergeCell ref="H565:J565"/>
    <mergeCell ref="A566:C566"/>
    <mergeCell ref="H566:J566"/>
    <mergeCell ref="B568:C568"/>
    <mergeCell ref="A578:J578"/>
    <mergeCell ref="A579:J579"/>
    <mergeCell ref="A76:C77"/>
    <mergeCell ref="A96:C97"/>
    <mergeCell ref="A216:C217"/>
    <mergeCell ref="A176:C177"/>
    <mergeCell ref="A156:C157"/>
    <mergeCell ref="A136:C137"/>
    <mergeCell ref="A116:C117"/>
    <mergeCell ref="A256:C257"/>
    <mergeCell ref="A236:C237"/>
    <mergeCell ref="A248:C248"/>
    <mergeCell ref="B190:C190"/>
    <mergeCell ref="A201:J201"/>
    <mergeCell ref="A202:J202"/>
    <mergeCell ref="C203:D203"/>
    <mergeCell ref="H203:J203"/>
    <mergeCell ref="C204:D204"/>
    <mergeCell ref="H204:J204"/>
    <mergeCell ref="C205:D205"/>
    <mergeCell ref="H205:J205"/>
    <mergeCell ref="A196:C197"/>
    <mergeCell ref="C183:D183"/>
    <mergeCell ref="H183:J183"/>
    <mergeCell ref="H184:J184"/>
    <mergeCell ref="C185:D185"/>
    <mergeCell ref="F647:I647"/>
    <mergeCell ref="D36:D37"/>
    <mergeCell ref="D56:D57"/>
    <mergeCell ref="D76:D77"/>
    <mergeCell ref="D96:D97"/>
    <mergeCell ref="D116:D117"/>
    <mergeCell ref="D136:D137"/>
    <mergeCell ref="D156:D157"/>
    <mergeCell ref="D176:D177"/>
    <mergeCell ref="D196:D197"/>
    <mergeCell ref="D216:D217"/>
    <mergeCell ref="D236:D237"/>
    <mergeCell ref="D256:D257"/>
    <mergeCell ref="D275:D276"/>
    <mergeCell ref="D295:D296"/>
    <mergeCell ref="D314:D315"/>
    <mergeCell ref="D334:D335"/>
    <mergeCell ref="D354:D355"/>
    <mergeCell ref="D374:D375"/>
    <mergeCell ref="D394:D395"/>
    <mergeCell ref="D414:D415"/>
    <mergeCell ref="D434:D435"/>
    <mergeCell ref="D454:D455"/>
    <mergeCell ref="D475:D476"/>
    <mergeCell ref="H622:J622"/>
    <mergeCell ref="A623:C623"/>
    <mergeCell ref="H623:J623"/>
    <mergeCell ref="B625:C625"/>
    <mergeCell ref="A635:E635"/>
    <mergeCell ref="F635:J635"/>
    <mergeCell ref="B641:D641"/>
    <mergeCell ref="F641:I641"/>
    <mergeCell ref="A631:C632"/>
    <mergeCell ref="D631:D632"/>
    <mergeCell ref="A547:C547"/>
    <mergeCell ref="H547:J547"/>
    <mergeCell ref="B549:C549"/>
    <mergeCell ref="A559:J559"/>
    <mergeCell ref="A560:J560"/>
    <mergeCell ref="C561:D561"/>
    <mergeCell ref="H561:J561"/>
    <mergeCell ref="C562:D562"/>
    <mergeCell ref="H562:J562"/>
    <mergeCell ref="A541:J541"/>
    <mergeCell ref="C542:D542"/>
    <mergeCell ref="H542:J542"/>
    <mergeCell ref="C543:D543"/>
    <mergeCell ref="H543:J543"/>
    <mergeCell ref="C544:D544"/>
    <mergeCell ref="H544:J544"/>
    <mergeCell ref="H545:J545"/>
    <mergeCell ref="C522:D522"/>
    <mergeCell ref="H522:J522"/>
    <mergeCell ref="H523:J523"/>
    <mergeCell ref="C524:D524"/>
    <mergeCell ref="H524:J524"/>
    <mergeCell ref="H525:J525"/>
    <mergeCell ref="A527:C527"/>
    <mergeCell ref="H527:J527"/>
    <mergeCell ref="B529:C529"/>
    <mergeCell ref="C504:D504"/>
    <mergeCell ref="H504:J504"/>
    <mergeCell ref="H505:J505"/>
    <mergeCell ref="H506:J506"/>
    <mergeCell ref="A507:C507"/>
    <mergeCell ref="H507:J507"/>
    <mergeCell ref="B509:C509"/>
    <mergeCell ref="A520:J520"/>
    <mergeCell ref="A521:J521"/>
    <mergeCell ref="D515:D516"/>
    <mergeCell ref="A487:C487"/>
    <mergeCell ref="H487:J487"/>
    <mergeCell ref="B489:C489"/>
    <mergeCell ref="B491:C491"/>
    <mergeCell ref="A500:J500"/>
    <mergeCell ref="A501:J501"/>
    <mergeCell ref="C502:D502"/>
    <mergeCell ref="H502:J502"/>
    <mergeCell ref="H503:J503"/>
    <mergeCell ref="D495:D496"/>
    <mergeCell ref="A495:C496"/>
    <mergeCell ref="A480:J480"/>
    <mergeCell ref="A481:J481"/>
    <mergeCell ref="C482:D482"/>
    <mergeCell ref="H482:J482"/>
    <mergeCell ref="H483:J483"/>
    <mergeCell ref="C484:D484"/>
    <mergeCell ref="H484:J484"/>
    <mergeCell ref="H485:J485"/>
    <mergeCell ref="H486:J486"/>
    <mergeCell ref="C462:D462"/>
    <mergeCell ref="H462:J462"/>
    <mergeCell ref="H463:J463"/>
    <mergeCell ref="H464:J464"/>
    <mergeCell ref="H465:J465"/>
    <mergeCell ref="H466:J466"/>
    <mergeCell ref="A467:C467"/>
    <mergeCell ref="H467:J467"/>
    <mergeCell ref="B469:C469"/>
    <mergeCell ref="C443:D443"/>
    <mergeCell ref="H443:J443"/>
    <mergeCell ref="H444:J444"/>
    <mergeCell ref="H445:J445"/>
    <mergeCell ref="A446:C446"/>
    <mergeCell ref="H446:J446"/>
    <mergeCell ref="B448:C448"/>
    <mergeCell ref="A460:J460"/>
    <mergeCell ref="A461:J461"/>
    <mergeCell ref="H425:J425"/>
    <mergeCell ref="A426:C426"/>
    <mergeCell ref="H426:J426"/>
    <mergeCell ref="B428:C428"/>
    <mergeCell ref="A439:J439"/>
    <mergeCell ref="A440:J440"/>
    <mergeCell ref="C441:D441"/>
    <mergeCell ref="H441:J441"/>
    <mergeCell ref="H442:J442"/>
    <mergeCell ref="A419:J419"/>
    <mergeCell ref="A420:J420"/>
    <mergeCell ref="C421:D421"/>
    <mergeCell ref="H421:J421"/>
    <mergeCell ref="C422:D422"/>
    <mergeCell ref="H422:J422"/>
    <mergeCell ref="C423:D423"/>
    <mergeCell ref="H423:J423"/>
    <mergeCell ref="H424:J424"/>
    <mergeCell ref="C402:D402"/>
    <mergeCell ref="H402:J402"/>
    <mergeCell ref="C403:D403"/>
    <mergeCell ref="H403:J403"/>
    <mergeCell ref="H404:J404"/>
    <mergeCell ref="H405:J405"/>
    <mergeCell ref="A406:C406"/>
    <mergeCell ref="H406:J406"/>
    <mergeCell ref="B408:C408"/>
    <mergeCell ref="C383:E383"/>
    <mergeCell ref="H383:J383"/>
    <mergeCell ref="H384:J384"/>
    <mergeCell ref="A386:C386"/>
    <mergeCell ref="H386:J386"/>
    <mergeCell ref="B388:C388"/>
    <mergeCell ref="A399:J399"/>
    <mergeCell ref="A400:J400"/>
    <mergeCell ref="C401:D401"/>
    <mergeCell ref="H401:J401"/>
    <mergeCell ref="A366:C366"/>
    <mergeCell ref="H366:J366"/>
    <mergeCell ref="B368:C368"/>
    <mergeCell ref="A379:J379"/>
    <mergeCell ref="A380:J380"/>
    <mergeCell ref="C381:E381"/>
    <mergeCell ref="H381:J381"/>
    <mergeCell ref="C382:E382"/>
    <mergeCell ref="H382:J382"/>
    <mergeCell ref="A359:J359"/>
    <mergeCell ref="A360:J360"/>
    <mergeCell ref="C361:E361"/>
    <mergeCell ref="H361:J361"/>
    <mergeCell ref="C362:E362"/>
    <mergeCell ref="H362:J362"/>
    <mergeCell ref="C363:E363"/>
    <mergeCell ref="H363:J363"/>
    <mergeCell ref="H364:J364"/>
    <mergeCell ref="H342:J342"/>
    <mergeCell ref="C343:D343"/>
    <mergeCell ref="H343:J343"/>
    <mergeCell ref="H344:J344"/>
    <mergeCell ref="H345:J345"/>
    <mergeCell ref="A346:C346"/>
    <mergeCell ref="H346:J346"/>
    <mergeCell ref="B348:C348"/>
    <mergeCell ref="B350:C350"/>
    <mergeCell ref="H324:J324"/>
    <mergeCell ref="H325:J325"/>
    <mergeCell ref="A326:C326"/>
    <mergeCell ref="H326:J326"/>
    <mergeCell ref="B328:C328"/>
    <mergeCell ref="B330:C330"/>
    <mergeCell ref="A339:J339"/>
    <mergeCell ref="A340:J340"/>
    <mergeCell ref="C341:D341"/>
    <mergeCell ref="H341:J341"/>
    <mergeCell ref="A334:C335"/>
    <mergeCell ref="A306:C306"/>
    <mergeCell ref="H306:J306"/>
    <mergeCell ref="B308:C308"/>
    <mergeCell ref="A319:J319"/>
    <mergeCell ref="A320:J320"/>
    <mergeCell ref="C321:D321"/>
    <mergeCell ref="H321:J321"/>
    <mergeCell ref="H322:J322"/>
    <mergeCell ref="C323:D323"/>
    <mergeCell ref="H323:J323"/>
    <mergeCell ref="A314:C315"/>
    <mergeCell ref="B289:C289"/>
    <mergeCell ref="A299:J299"/>
    <mergeCell ref="A300:J300"/>
    <mergeCell ref="C301:D301"/>
    <mergeCell ref="H301:J301"/>
    <mergeCell ref="H302:J302"/>
    <mergeCell ref="C303:D303"/>
    <mergeCell ref="H303:J303"/>
    <mergeCell ref="H304:J304"/>
    <mergeCell ref="A295:C296"/>
    <mergeCell ref="A281:J281"/>
    <mergeCell ref="C282:D282"/>
    <mergeCell ref="H282:J282"/>
    <mergeCell ref="H283:J283"/>
    <mergeCell ref="C284:D284"/>
    <mergeCell ref="H284:J284"/>
    <mergeCell ref="H285:J285"/>
    <mergeCell ref="A287:C287"/>
    <mergeCell ref="H287:J287"/>
    <mergeCell ref="C264:D264"/>
    <mergeCell ref="H264:J264"/>
    <mergeCell ref="H265:J265"/>
    <mergeCell ref="H266:J266"/>
    <mergeCell ref="A267:C267"/>
    <mergeCell ref="H267:J267"/>
    <mergeCell ref="B269:C269"/>
    <mergeCell ref="B271:C271"/>
    <mergeCell ref="A280:J280"/>
    <mergeCell ref="A275:C276"/>
    <mergeCell ref="H248:J248"/>
    <mergeCell ref="B250:C250"/>
    <mergeCell ref="I251:J251"/>
    <mergeCell ref="A260:J260"/>
    <mergeCell ref="A261:J261"/>
    <mergeCell ref="C262:D262"/>
    <mergeCell ref="H262:J262"/>
    <mergeCell ref="H263:J263"/>
    <mergeCell ref="A241:J241"/>
    <mergeCell ref="A242:J242"/>
    <mergeCell ref="C243:D243"/>
    <mergeCell ref="H243:J243"/>
    <mergeCell ref="H244:J244"/>
    <mergeCell ref="C245:D245"/>
    <mergeCell ref="H245:J245"/>
    <mergeCell ref="H246:J246"/>
    <mergeCell ref="H247:J247"/>
    <mergeCell ref="H224:J224"/>
    <mergeCell ref="C225:D225"/>
    <mergeCell ref="H225:J225"/>
    <mergeCell ref="H226:J226"/>
    <mergeCell ref="H227:J227"/>
    <mergeCell ref="A228:C228"/>
    <mergeCell ref="H228:J228"/>
    <mergeCell ref="B230:C230"/>
    <mergeCell ref="B233:C233"/>
    <mergeCell ref="H206:J206"/>
    <mergeCell ref="H207:J207"/>
    <mergeCell ref="A208:C208"/>
    <mergeCell ref="H208:J208"/>
    <mergeCell ref="B210:C210"/>
    <mergeCell ref="A221:J221"/>
    <mergeCell ref="A222:J222"/>
    <mergeCell ref="C223:D223"/>
    <mergeCell ref="H223:J223"/>
    <mergeCell ref="H185:J185"/>
    <mergeCell ref="H186:J186"/>
    <mergeCell ref="H187:J187"/>
    <mergeCell ref="A188:C188"/>
    <mergeCell ref="H188:J188"/>
    <mergeCell ref="C165:D165"/>
    <mergeCell ref="H165:J165"/>
    <mergeCell ref="H166:J166"/>
    <mergeCell ref="H167:J167"/>
    <mergeCell ref="A168:C168"/>
    <mergeCell ref="H168:J168"/>
    <mergeCell ref="B170:C170"/>
    <mergeCell ref="A181:J181"/>
    <mergeCell ref="A182:J182"/>
    <mergeCell ref="H147:J147"/>
    <mergeCell ref="A148:C148"/>
    <mergeCell ref="H148:J148"/>
    <mergeCell ref="B150:C150"/>
    <mergeCell ref="A161:J161"/>
    <mergeCell ref="A162:J162"/>
    <mergeCell ref="C163:D163"/>
    <mergeCell ref="H163:J163"/>
    <mergeCell ref="H164:J164"/>
    <mergeCell ref="A141:J141"/>
    <mergeCell ref="A142:J142"/>
    <mergeCell ref="C143:D143"/>
    <mergeCell ref="H143:J143"/>
    <mergeCell ref="C144:D144"/>
    <mergeCell ref="H144:J144"/>
    <mergeCell ref="C145:D145"/>
    <mergeCell ref="H145:J145"/>
    <mergeCell ref="H146:J146"/>
    <mergeCell ref="C124:D124"/>
    <mergeCell ref="H124:J124"/>
    <mergeCell ref="C125:D125"/>
    <mergeCell ref="H125:J125"/>
    <mergeCell ref="H126:J126"/>
    <mergeCell ref="H127:J127"/>
    <mergeCell ref="A128:C128"/>
    <mergeCell ref="H128:J128"/>
    <mergeCell ref="B130:C130"/>
    <mergeCell ref="H106:J106"/>
    <mergeCell ref="H107:J107"/>
    <mergeCell ref="A108:C108"/>
    <mergeCell ref="H108:J108"/>
    <mergeCell ref="B110:C110"/>
    <mergeCell ref="A121:J121"/>
    <mergeCell ref="A122:J122"/>
    <mergeCell ref="C123:D123"/>
    <mergeCell ref="H123:J123"/>
    <mergeCell ref="B90:C90"/>
    <mergeCell ref="A101:J101"/>
    <mergeCell ref="A102:J102"/>
    <mergeCell ref="C103:D103"/>
    <mergeCell ref="H103:J103"/>
    <mergeCell ref="C104:D104"/>
    <mergeCell ref="H104:J104"/>
    <mergeCell ref="C105:D105"/>
    <mergeCell ref="H105:J105"/>
    <mergeCell ref="A81:J81"/>
    <mergeCell ref="A82:J82"/>
    <mergeCell ref="C83:D83"/>
    <mergeCell ref="H83:J83"/>
    <mergeCell ref="H84:J84"/>
    <mergeCell ref="C85:D85"/>
    <mergeCell ref="H85:J85"/>
    <mergeCell ref="H86:J86"/>
    <mergeCell ref="A88:C88"/>
    <mergeCell ref="H88:J88"/>
    <mergeCell ref="C63:D63"/>
    <mergeCell ref="H63:J63"/>
    <mergeCell ref="H64:J64"/>
    <mergeCell ref="C65:D65"/>
    <mergeCell ref="H65:J65"/>
    <mergeCell ref="H66:J66"/>
    <mergeCell ref="H67:J67"/>
    <mergeCell ref="H68:J68"/>
    <mergeCell ref="B70:C70"/>
    <mergeCell ref="H44:J44"/>
    <mergeCell ref="C45:D45"/>
    <mergeCell ref="H45:J45"/>
    <mergeCell ref="H46:J46"/>
    <mergeCell ref="H47:J47"/>
    <mergeCell ref="H48:J48"/>
    <mergeCell ref="B50:C50"/>
    <mergeCell ref="A61:J61"/>
    <mergeCell ref="A62:J62"/>
    <mergeCell ref="A56:C57"/>
    <mergeCell ref="H27:J27"/>
    <mergeCell ref="A28:C28"/>
    <mergeCell ref="H28:J28"/>
    <mergeCell ref="B30:C30"/>
    <mergeCell ref="B33:C33"/>
    <mergeCell ref="A41:J41"/>
    <mergeCell ref="A42:J42"/>
    <mergeCell ref="C43:D43"/>
    <mergeCell ref="H43:J43"/>
    <mergeCell ref="A36:C37"/>
    <mergeCell ref="A21:J21"/>
    <mergeCell ref="A22:J22"/>
    <mergeCell ref="C23:D23"/>
    <mergeCell ref="H23:J23"/>
    <mergeCell ref="C24:D24"/>
    <mergeCell ref="H24:J24"/>
    <mergeCell ref="C25:D25"/>
    <mergeCell ref="H25:J25"/>
    <mergeCell ref="H26:J26"/>
    <mergeCell ref="H7:J7"/>
    <mergeCell ref="A8:C8"/>
    <mergeCell ref="H8:J8"/>
    <mergeCell ref="B10:C10"/>
    <mergeCell ref="B13:C13"/>
    <mergeCell ref="A16:C17"/>
    <mergeCell ref="D16:D17"/>
    <mergeCell ref="A1:J1"/>
    <mergeCell ref="A2:J2"/>
    <mergeCell ref="C3:D3"/>
    <mergeCell ref="H3:J3"/>
    <mergeCell ref="C4:D4"/>
    <mergeCell ref="H4:J4"/>
    <mergeCell ref="C5:D5"/>
    <mergeCell ref="H5:J5"/>
    <mergeCell ref="H6:J6"/>
  </mergeCells>
  <pageMargins left="0.7" right="0.7" top="0.75" bottom="0.75" header="0.3" footer="0.3"/>
  <pageSetup scale="90" orientation="portrait" r:id="rId1"/>
  <rowBreaks count="10" manualBreakCount="10">
    <brk id="80" max="16383" man="1"/>
    <brk id="140" max="16383" man="1"/>
    <brk id="200" max="16383" man="1"/>
    <brk id="259" max="16383" man="1"/>
    <brk id="318" max="16383" man="1"/>
    <brk id="378" max="16383" man="1"/>
    <brk id="438" max="16383" man="1"/>
    <brk id="499" max="16383" man="1"/>
    <brk id="558" max="16383" man="1"/>
    <brk id="61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J430"/>
  <sheetViews>
    <sheetView zoomScaleNormal="100" workbookViewId="0">
      <selection activeCell="D328" sqref="D328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209" t="s">
        <v>367</v>
      </c>
      <c r="D3" s="209"/>
      <c r="E3" s="2"/>
      <c r="F3" s="3"/>
      <c r="G3" s="1" t="s">
        <v>4</v>
      </c>
      <c r="H3" s="191" t="s">
        <v>5</v>
      </c>
      <c r="I3" s="191"/>
      <c r="J3" s="191"/>
    </row>
    <row r="4" spans="1:10" ht="13.5" customHeight="1">
      <c r="A4" s="1" t="s">
        <v>6</v>
      </c>
      <c r="B4" s="1"/>
      <c r="C4" s="25" t="s">
        <v>368</v>
      </c>
      <c r="D4" s="25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209" t="s">
        <v>369</v>
      </c>
      <c r="D5" s="209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6" t="s">
        <v>14</v>
      </c>
      <c r="B6" s="6"/>
      <c r="C6" s="2" t="s">
        <v>15</v>
      </c>
      <c r="D6" s="2"/>
      <c r="E6" s="2"/>
      <c r="F6" s="3"/>
      <c r="G6" s="1" t="s">
        <v>16</v>
      </c>
      <c r="H6" s="196" t="s">
        <v>202</v>
      </c>
      <c r="I6" s="196"/>
      <c r="J6" s="196"/>
    </row>
    <row r="7" spans="1:10" ht="13.5" customHeight="1">
      <c r="A7" s="6">
        <v>30</v>
      </c>
      <c r="B7" s="6"/>
      <c r="C7" s="2">
        <f>A7-I7</f>
        <v>1</v>
      </c>
      <c r="D7" s="2"/>
      <c r="E7" s="2"/>
      <c r="F7" s="3"/>
      <c r="G7" s="8" t="s">
        <v>18</v>
      </c>
      <c r="H7" s="8"/>
      <c r="I7" s="9">
        <v>29</v>
      </c>
      <c r="J7" s="9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370</v>
      </c>
      <c r="B9" s="2"/>
      <c r="C9" s="1"/>
      <c r="D9" s="2">
        <v>30000</v>
      </c>
      <c r="E9" s="17" t="s">
        <v>28</v>
      </c>
      <c r="F9" s="1"/>
      <c r="G9" s="2" t="s">
        <v>25</v>
      </c>
      <c r="H9" s="18" t="s">
        <v>26</v>
      </c>
      <c r="I9" s="23"/>
      <c r="J9" s="24"/>
    </row>
    <row r="10" spans="1:10" ht="13.5" customHeight="1">
      <c r="A10" s="17" t="s">
        <v>77</v>
      </c>
      <c r="B10" s="209"/>
      <c r="C10" s="209"/>
      <c r="D10" s="2" t="s">
        <v>25</v>
      </c>
      <c r="E10" s="17" t="s">
        <v>58</v>
      </c>
      <c r="F10" s="1"/>
      <c r="G10" s="2">
        <v>2809</v>
      </c>
      <c r="H10" s="18" t="s">
        <v>29</v>
      </c>
      <c r="I10" s="23"/>
      <c r="J10" s="24"/>
    </row>
    <row r="11" spans="1:10" ht="13.5" customHeight="1">
      <c r="A11" s="17" t="s">
        <v>30</v>
      </c>
      <c r="B11" s="1"/>
      <c r="C11" s="1"/>
      <c r="D11" s="2">
        <v>3409</v>
      </c>
      <c r="E11" s="17" t="s">
        <v>371</v>
      </c>
      <c r="F11" s="1"/>
      <c r="G11" s="2" t="s">
        <v>25</v>
      </c>
      <c r="H11" s="18" t="s">
        <v>32</v>
      </c>
      <c r="I11" s="23"/>
      <c r="J11" s="24"/>
    </row>
    <row r="12" spans="1:10" ht="13.5" customHeight="1">
      <c r="A12" s="17" t="s">
        <v>27</v>
      </c>
      <c r="B12" s="1"/>
      <c r="C12" s="1"/>
      <c r="D12" s="2" t="s">
        <v>25</v>
      </c>
      <c r="E12" s="17" t="s">
        <v>35</v>
      </c>
      <c r="F12" s="1"/>
      <c r="G12" s="2">
        <v>1000</v>
      </c>
      <c r="H12" s="18"/>
      <c r="I12" s="6"/>
      <c r="J12" s="19"/>
    </row>
    <row r="13" spans="1:10" ht="13.5" customHeight="1">
      <c r="A13" s="17" t="s">
        <v>345</v>
      </c>
      <c r="B13" s="1"/>
      <c r="C13" s="1"/>
      <c r="D13" s="2">
        <v>10000</v>
      </c>
      <c r="E13" s="17" t="s">
        <v>286</v>
      </c>
      <c r="F13" s="1"/>
      <c r="G13" s="2">
        <v>1500</v>
      </c>
      <c r="H13" s="18"/>
      <c r="I13" s="6"/>
      <c r="J13" s="40"/>
    </row>
    <row r="14" spans="1:10" ht="13.5" customHeight="1">
      <c r="A14" s="17" t="s">
        <v>230</v>
      </c>
      <c r="B14" s="1"/>
      <c r="C14" s="1"/>
      <c r="D14" s="2">
        <v>2000</v>
      </c>
      <c r="E14" s="17" t="s">
        <v>39</v>
      </c>
      <c r="F14" s="1"/>
      <c r="G14" s="2">
        <v>100</v>
      </c>
      <c r="H14" s="18"/>
      <c r="I14" s="6"/>
      <c r="J14" s="40"/>
    </row>
    <row r="15" spans="1:10" ht="13.5" customHeight="1">
      <c r="A15" s="18" t="s">
        <v>372</v>
      </c>
      <c r="B15" s="6"/>
      <c r="C15" s="6"/>
      <c r="D15" s="2" t="s">
        <v>25</v>
      </c>
      <c r="E15" s="17" t="s">
        <v>62</v>
      </c>
      <c r="F15" s="2"/>
      <c r="G15" s="2" t="s">
        <v>25</v>
      </c>
      <c r="H15" s="18"/>
      <c r="I15" s="6"/>
      <c r="J15" s="19"/>
    </row>
    <row r="16" spans="1:10" ht="13.5" customHeight="1">
      <c r="A16" s="204" t="s">
        <v>63</v>
      </c>
      <c r="B16" s="205"/>
      <c r="C16" s="206"/>
      <c r="D16" s="229">
        <f>SUM(D9:D15)</f>
        <v>45409</v>
      </c>
      <c r="E16" s="1" t="s">
        <v>43</v>
      </c>
      <c r="F16" s="1"/>
      <c r="G16" s="2" t="s">
        <v>25</v>
      </c>
      <c r="H16" s="18"/>
      <c r="I16" s="6"/>
      <c r="J16" s="40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5409</v>
      </c>
      <c r="H17" s="21" t="s">
        <v>44</v>
      </c>
      <c r="I17" s="22"/>
      <c r="J17" s="13">
        <f>SUM(D16-G17)</f>
        <v>40000</v>
      </c>
    </row>
    <row r="18" spans="1:10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3.5" customHeight="1">
      <c r="A19" s="3" t="s">
        <v>47</v>
      </c>
      <c r="B19" s="3"/>
      <c r="C19" s="3"/>
      <c r="D19" s="3" t="s">
        <v>48</v>
      </c>
      <c r="E19" s="3"/>
      <c r="F19" s="3"/>
      <c r="G19" s="3" t="s">
        <v>49</v>
      </c>
      <c r="H19" s="3"/>
      <c r="I19" s="3"/>
      <c r="J19" s="3"/>
    </row>
    <row r="20" spans="1:10" ht="13.5" customHeight="1">
      <c r="A20" s="184" t="s">
        <v>0</v>
      </c>
      <c r="B20" s="185"/>
      <c r="C20" s="185"/>
      <c r="D20" s="185"/>
      <c r="E20" s="185"/>
      <c r="F20" s="185"/>
      <c r="G20" s="185"/>
      <c r="H20" s="185"/>
      <c r="I20" s="185"/>
      <c r="J20" s="186"/>
    </row>
    <row r="21" spans="1:10" ht="13.5" customHeight="1">
      <c r="A21" s="187" t="s">
        <v>1</v>
      </c>
      <c r="B21" s="188"/>
      <c r="C21" s="188"/>
      <c r="D21" s="188"/>
      <c r="E21" s="188"/>
      <c r="F21" s="188"/>
      <c r="G21" s="188"/>
      <c r="H21" s="188"/>
      <c r="I21" s="188"/>
      <c r="J21" s="189"/>
    </row>
    <row r="22" spans="1:10" ht="13.5" customHeight="1">
      <c r="A22" s="1" t="s">
        <v>2</v>
      </c>
      <c r="B22" s="1"/>
      <c r="C22" s="209"/>
      <c r="D22" s="209"/>
      <c r="E22" s="2"/>
      <c r="F22" s="3"/>
      <c r="G22" s="1" t="s">
        <v>4</v>
      </c>
      <c r="H22" s="191" t="s">
        <v>5</v>
      </c>
      <c r="I22" s="191"/>
      <c r="J22" s="191"/>
    </row>
    <row r="23" spans="1:10" ht="13.5" customHeight="1">
      <c r="A23" s="1" t="s">
        <v>6</v>
      </c>
      <c r="B23" s="1"/>
      <c r="C23" s="196" t="s">
        <v>373</v>
      </c>
      <c r="D23" s="196"/>
      <c r="E23" s="2"/>
      <c r="F23" s="3"/>
      <c r="G23" s="1" t="s">
        <v>8</v>
      </c>
      <c r="H23" s="193" t="s">
        <v>9</v>
      </c>
      <c r="I23" s="193"/>
      <c r="J23" s="193"/>
    </row>
    <row r="24" spans="1:10" ht="13.5" customHeight="1">
      <c r="A24" s="6" t="s">
        <v>10</v>
      </c>
      <c r="B24" s="6"/>
      <c r="C24" s="209" t="s">
        <v>374</v>
      </c>
      <c r="D24" s="209"/>
      <c r="E24" s="6"/>
      <c r="F24" s="3"/>
      <c r="G24" s="1" t="s">
        <v>12</v>
      </c>
      <c r="H24" s="195" t="s">
        <v>13</v>
      </c>
      <c r="I24" s="195"/>
      <c r="J24" s="195"/>
    </row>
    <row r="25" spans="1:10" ht="13.5" customHeight="1">
      <c r="A25" s="6" t="s">
        <v>14</v>
      </c>
      <c r="B25" s="6"/>
      <c r="C25" s="2" t="s">
        <v>15</v>
      </c>
      <c r="D25" s="2"/>
      <c r="E25" s="36"/>
      <c r="F25" s="3"/>
      <c r="G25" s="1" t="s">
        <v>16</v>
      </c>
      <c r="H25" s="196" t="s">
        <v>375</v>
      </c>
      <c r="I25" s="196"/>
      <c r="J25" s="196"/>
    </row>
    <row r="26" spans="1:10" ht="13.5" customHeight="1">
      <c r="A26" s="6">
        <v>30</v>
      </c>
      <c r="B26" s="6"/>
      <c r="C26" s="2">
        <f>A26-I26</f>
        <v>0</v>
      </c>
      <c r="D26" s="2"/>
      <c r="E26" s="2"/>
      <c r="F26" s="3"/>
      <c r="G26" s="8" t="s">
        <v>18</v>
      </c>
      <c r="H26" s="8"/>
      <c r="I26" s="9">
        <v>30</v>
      </c>
      <c r="J26" s="9"/>
    </row>
    <row r="27" spans="1:10" ht="13.5" customHeight="1">
      <c r="A27" s="198" t="s">
        <v>19</v>
      </c>
      <c r="B27" s="199"/>
      <c r="C27" s="200"/>
      <c r="D27" s="13" t="s">
        <v>20</v>
      </c>
      <c r="E27" s="14" t="s">
        <v>21</v>
      </c>
      <c r="F27" s="15"/>
      <c r="G27" s="16" t="s">
        <v>20</v>
      </c>
      <c r="H27" s="201"/>
      <c r="I27" s="202"/>
      <c r="J27" s="203"/>
    </row>
    <row r="28" spans="1:10" ht="13.5" customHeight="1">
      <c r="A28" s="17" t="s">
        <v>23</v>
      </c>
      <c r="B28" s="1"/>
      <c r="C28" s="1"/>
      <c r="D28" s="2">
        <v>26500</v>
      </c>
      <c r="E28" s="17" t="s">
        <v>58</v>
      </c>
      <c r="F28" s="1"/>
      <c r="G28" s="2">
        <v>394</v>
      </c>
      <c r="H28" s="18" t="s">
        <v>26</v>
      </c>
      <c r="I28" s="23"/>
      <c r="J28" s="24"/>
    </row>
    <row r="29" spans="1:10" ht="13.5" customHeight="1">
      <c r="A29" s="17" t="s">
        <v>77</v>
      </c>
      <c r="B29" s="209" t="s">
        <v>196</v>
      </c>
      <c r="C29" s="209"/>
      <c r="D29" s="2">
        <v>2650</v>
      </c>
      <c r="E29" s="17" t="s">
        <v>141</v>
      </c>
      <c r="F29" s="1"/>
      <c r="G29" s="2">
        <v>800</v>
      </c>
      <c r="H29" s="18" t="s">
        <v>29</v>
      </c>
      <c r="I29" s="23"/>
      <c r="J29" s="24"/>
    </row>
    <row r="30" spans="1:10" ht="13.5" customHeight="1">
      <c r="A30" s="17" t="s">
        <v>30</v>
      </c>
      <c r="B30" s="1"/>
      <c r="C30" s="1"/>
      <c r="D30" s="2"/>
      <c r="E30" s="17" t="s">
        <v>376</v>
      </c>
      <c r="F30" s="1"/>
      <c r="G30" s="2" t="s">
        <v>25</v>
      </c>
      <c r="H30" s="18" t="s">
        <v>32</v>
      </c>
      <c r="I30" s="23"/>
      <c r="J30" s="24"/>
    </row>
    <row r="31" spans="1:10" ht="13.5" customHeight="1">
      <c r="A31" s="17" t="s">
        <v>345</v>
      </c>
      <c r="B31" s="1"/>
      <c r="C31" s="1"/>
      <c r="D31" s="2">
        <v>5000</v>
      </c>
      <c r="E31" s="17" t="s">
        <v>35</v>
      </c>
      <c r="F31" s="1"/>
      <c r="G31" s="2" t="s">
        <v>25</v>
      </c>
      <c r="H31" s="18"/>
      <c r="I31" s="6"/>
      <c r="J31" s="19"/>
    </row>
    <row r="32" spans="1:10" ht="13.5" customHeight="1">
      <c r="A32" s="17" t="s">
        <v>377</v>
      </c>
      <c r="B32" s="1"/>
      <c r="C32" s="1"/>
      <c r="D32" s="2" t="s">
        <v>25</v>
      </c>
      <c r="E32" s="17" t="s">
        <v>61</v>
      </c>
      <c r="F32" s="1"/>
      <c r="G32" s="2" t="s">
        <v>25</v>
      </c>
      <c r="H32" s="18" t="s">
        <v>378</v>
      </c>
      <c r="I32" s="6"/>
      <c r="J32" s="40"/>
    </row>
    <row r="33" spans="1:10" ht="13.5" customHeight="1">
      <c r="A33" s="17" t="s">
        <v>147</v>
      </c>
      <c r="B33" s="1"/>
      <c r="C33" s="1"/>
      <c r="D33" s="2">
        <v>1000</v>
      </c>
      <c r="E33" s="17" t="s">
        <v>39</v>
      </c>
      <c r="F33" s="1"/>
      <c r="G33" s="2">
        <v>100</v>
      </c>
      <c r="H33" s="18" t="s">
        <v>379</v>
      </c>
      <c r="I33" s="6"/>
      <c r="J33" s="40"/>
    </row>
    <row r="34" spans="1:10" ht="13.5" customHeight="1">
      <c r="A34" s="18" t="s">
        <v>40</v>
      </c>
      <c r="B34" s="6"/>
      <c r="C34" s="6"/>
      <c r="D34" s="2" t="s">
        <v>25</v>
      </c>
      <c r="E34" s="17" t="s">
        <v>333</v>
      </c>
      <c r="F34" s="1"/>
      <c r="G34" s="2" t="s">
        <v>25</v>
      </c>
      <c r="H34" s="18"/>
      <c r="I34" s="6"/>
      <c r="J34" s="40"/>
    </row>
    <row r="35" spans="1:10" ht="13.5" customHeight="1">
      <c r="A35" s="204" t="s">
        <v>63</v>
      </c>
      <c r="B35" s="205"/>
      <c r="C35" s="206"/>
      <c r="D35" s="229">
        <f>SUM(D28:D34)</f>
        <v>35150</v>
      </c>
      <c r="E35" s="1" t="s">
        <v>78</v>
      </c>
      <c r="F35" s="1"/>
      <c r="G35" s="2" t="s">
        <v>25</v>
      </c>
      <c r="H35" s="18"/>
      <c r="I35" s="6"/>
      <c r="J35" s="40"/>
    </row>
    <row r="36" spans="1:10" ht="13.5" customHeight="1">
      <c r="A36" s="207"/>
      <c r="B36" s="197"/>
      <c r="C36" s="208"/>
      <c r="D36" s="230"/>
      <c r="E36" s="21" t="s">
        <v>21</v>
      </c>
      <c r="F36" s="22"/>
      <c r="G36" s="13">
        <f>SUM(G28:G35)</f>
        <v>1294</v>
      </c>
      <c r="H36" s="21" t="s">
        <v>44</v>
      </c>
      <c r="I36" s="22"/>
      <c r="J36" s="13">
        <f>D35-G36</f>
        <v>33856</v>
      </c>
    </row>
    <row r="37" spans="1:10" ht="13.5" customHeight="1">
      <c r="A37" s="3" t="s">
        <v>45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ht="13.5" customHeight="1"/>
    <row r="39" spans="1:10" ht="13.5" customHeight="1">
      <c r="B39" s="3" t="s">
        <v>47</v>
      </c>
      <c r="C39" s="3"/>
      <c r="D39" s="3"/>
      <c r="E39" s="3" t="s">
        <v>48</v>
      </c>
      <c r="F39" s="3"/>
      <c r="G39" s="3"/>
      <c r="H39" s="3" t="s">
        <v>49</v>
      </c>
      <c r="I39" s="3"/>
      <c r="J39" s="3"/>
    </row>
    <row r="40" spans="1:10" ht="13.5" customHeight="1">
      <c r="A40" s="184" t="s">
        <v>0</v>
      </c>
      <c r="B40" s="185"/>
      <c r="C40" s="185"/>
      <c r="D40" s="185"/>
      <c r="E40" s="185"/>
      <c r="F40" s="185"/>
      <c r="G40" s="185"/>
      <c r="H40" s="185"/>
      <c r="I40" s="185"/>
      <c r="J40" s="186"/>
    </row>
    <row r="41" spans="1:10" ht="13.5" customHeight="1">
      <c r="A41" s="187" t="s">
        <v>1</v>
      </c>
      <c r="B41" s="188"/>
      <c r="C41" s="188"/>
      <c r="D41" s="188"/>
      <c r="E41" s="188"/>
      <c r="F41" s="188"/>
      <c r="G41" s="188"/>
      <c r="H41" s="188"/>
      <c r="I41" s="188"/>
      <c r="J41" s="189"/>
    </row>
    <row r="42" spans="1:10" ht="13.5" customHeight="1">
      <c r="A42" s="1" t="s">
        <v>2</v>
      </c>
      <c r="B42" s="1"/>
      <c r="C42" s="209" t="s">
        <v>380</v>
      </c>
      <c r="D42" s="209"/>
      <c r="E42" s="2"/>
      <c r="F42" s="3"/>
      <c r="G42" s="1" t="s">
        <v>4</v>
      </c>
      <c r="H42" s="191" t="s">
        <v>5</v>
      </c>
      <c r="I42" s="191"/>
      <c r="J42" s="191"/>
    </row>
    <row r="43" spans="1:10" ht="13.5" customHeight="1">
      <c r="A43" s="1" t="s">
        <v>6</v>
      </c>
      <c r="B43" s="1"/>
      <c r="C43" s="196" t="s">
        <v>381</v>
      </c>
      <c r="D43" s="196"/>
      <c r="E43" s="7"/>
      <c r="F43" s="3"/>
      <c r="G43" s="1" t="s">
        <v>8</v>
      </c>
      <c r="H43" s="193" t="s">
        <v>9</v>
      </c>
      <c r="I43" s="193"/>
      <c r="J43" s="193"/>
    </row>
    <row r="44" spans="1:10" ht="13.5" customHeight="1">
      <c r="A44" s="6" t="s">
        <v>10</v>
      </c>
      <c r="B44" s="6"/>
      <c r="C44" s="278" t="s">
        <v>382</v>
      </c>
      <c r="D44" s="209"/>
      <c r="E44" s="2"/>
      <c r="F44" s="3"/>
      <c r="G44" s="1" t="s">
        <v>12</v>
      </c>
      <c r="H44" s="195" t="s">
        <v>13</v>
      </c>
      <c r="I44" s="195"/>
      <c r="J44" s="195"/>
    </row>
    <row r="45" spans="1:10" ht="13.5" customHeight="1">
      <c r="A45" s="6" t="s">
        <v>14</v>
      </c>
      <c r="B45" s="6"/>
      <c r="C45" s="2" t="s">
        <v>15</v>
      </c>
      <c r="D45" s="2"/>
      <c r="E45" s="2"/>
      <c r="F45" s="3"/>
      <c r="G45" s="1" t="s">
        <v>16</v>
      </c>
      <c r="H45" s="196" t="s">
        <v>140</v>
      </c>
      <c r="I45" s="196"/>
      <c r="J45" s="196"/>
    </row>
    <row r="46" spans="1:10" ht="13.5" customHeight="1">
      <c r="A46" s="6">
        <v>30</v>
      </c>
      <c r="B46" s="6"/>
      <c r="C46" s="2">
        <f>A46-I46</f>
        <v>0</v>
      </c>
      <c r="D46" s="2"/>
      <c r="E46" s="2"/>
      <c r="F46" s="3"/>
      <c r="G46" s="8" t="s">
        <v>18</v>
      </c>
      <c r="H46" s="8"/>
      <c r="I46" s="9">
        <v>30</v>
      </c>
      <c r="J46" s="9"/>
    </row>
    <row r="47" spans="1:10" ht="13.5" customHeight="1">
      <c r="A47" s="198" t="s">
        <v>19</v>
      </c>
      <c r="B47" s="199"/>
      <c r="C47" s="200"/>
      <c r="D47" s="13" t="s">
        <v>20</v>
      </c>
      <c r="E47" s="14" t="s">
        <v>21</v>
      </c>
      <c r="F47" s="15"/>
      <c r="G47" s="16" t="s">
        <v>20</v>
      </c>
      <c r="H47" s="201" t="s">
        <v>22</v>
      </c>
      <c r="I47" s="202"/>
      <c r="J47" s="203"/>
    </row>
    <row r="48" spans="1:10" ht="13.5" customHeight="1">
      <c r="A48" s="17" t="s">
        <v>23</v>
      </c>
      <c r="B48" s="1"/>
      <c r="C48" s="1"/>
      <c r="D48" s="2">
        <v>25000</v>
      </c>
      <c r="E48" s="17" t="s">
        <v>24</v>
      </c>
      <c r="F48" s="1"/>
      <c r="G48" s="2" t="s">
        <v>25</v>
      </c>
      <c r="H48" s="18" t="s">
        <v>26</v>
      </c>
      <c r="I48" s="23"/>
      <c r="J48" s="24"/>
    </row>
    <row r="49" spans="1:10" ht="13.5" customHeight="1">
      <c r="A49" s="17" t="s">
        <v>77</v>
      </c>
      <c r="B49" s="228" t="s">
        <v>120</v>
      </c>
      <c r="C49" s="228"/>
      <c r="D49" s="2">
        <v>833</v>
      </c>
      <c r="E49" s="17" t="s">
        <v>28</v>
      </c>
      <c r="F49" s="1"/>
      <c r="G49" s="2" t="s">
        <v>25</v>
      </c>
      <c r="H49" s="18" t="s">
        <v>29</v>
      </c>
      <c r="I49" s="23"/>
      <c r="J49" s="24"/>
    </row>
    <row r="50" spans="1:10" ht="13.5" customHeight="1">
      <c r="A50" s="17" t="s">
        <v>30</v>
      </c>
      <c r="B50" s="1"/>
      <c r="C50" s="1"/>
      <c r="D50" s="2">
        <v>1267</v>
      </c>
      <c r="E50" s="17" t="s">
        <v>58</v>
      </c>
      <c r="F50" s="1"/>
      <c r="G50" s="2" t="s">
        <v>25</v>
      </c>
      <c r="H50" s="18" t="s">
        <v>32</v>
      </c>
      <c r="I50" s="23"/>
      <c r="J50" s="24"/>
    </row>
    <row r="51" spans="1:10" ht="13.5" customHeight="1">
      <c r="A51" s="17" t="s">
        <v>345</v>
      </c>
      <c r="B51" s="1"/>
      <c r="C51" s="1"/>
      <c r="D51" s="2">
        <v>5000</v>
      </c>
      <c r="E51" s="17" t="s">
        <v>71</v>
      </c>
      <c r="F51" s="1"/>
      <c r="G51" s="2" t="s">
        <v>25</v>
      </c>
      <c r="H51" s="18"/>
      <c r="I51" s="6"/>
      <c r="J51" s="19"/>
    </row>
    <row r="52" spans="1:10" ht="13.5" customHeight="1">
      <c r="A52" s="17" t="s">
        <v>147</v>
      </c>
      <c r="B52" s="1"/>
      <c r="C52" s="1"/>
      <c r="D52" s="2" t="s">
        <v>25</v>
      </c>
      <c r="E52" s="17" t="s">
        <v>61</v>
      </c>
      <c r="F52" s="1"/>
      <c r="G52" s="2" t="s">
        <v>25</v>
      </c>
      <c r="H52" s="18" t="s">
        <v>383</v>
      </c>
      <c r="I52" s="6"/>
      <c r="J52" s="26"/>
    </row>
    <row r="53" spans="1:10" ht="13.5" customHeight="1">
      <c r="A53" s="17" t="s">
        <v>136</v>
      </c>
      <c r="B53" s="1"/>
      <c r="C53" s="1"/>
      <c r="D53" s="2" t="s">
        <v>25</v>
      </c>
      <c r="E53" s="17" t="s">
        <v>39</v>
      </c>
      <c r="F53" s="1"/>
      <c r="G53" s="2">
        <v>100</v>
      </c>
      <c r="H53" s="18"/>
      <c r="I53" s="6"/>
      <c r="J53" s="26"/>
    </row>
    <row r="54" spans="1:10" ht="13.5" customHeight="1">
      <c r="A54" s="18" t="s">
        <v>40</v>
      </c>
      <c r="B54" s="6"/>
      <c r="C54" s="6"/>
      <c r="D54" s="2" t="s">
        <v>25</v>
      </c>
      <c r="E54" s="17" t="s">
        <v>78</v>
      </c>
      <c r="F54" s="1"/>
      <c r="G54" s="2" t="s">
        <v>25</v>
      </c>
      <c r="H54" s="18"/>
      <c r="I54" s="6"/>
      <c r="J54" s="26"/>
    </row>
    <row r="55" spans="1:10" ht="13.5" customHeight="1">
      <c r="A55" s="204" t="s">
        <v>63</v>
      </c>
      <c r="B55" s="205"/>
      <c r="C55" s="206"/>
      <c r="D55" s="229">
        <f>SUM(D48:D54)</f>
        <v>32100</v>
      </c>
      <c r="E55" s="1" t="s">
        <v>43</v>
      </c>
      <c r="F55" s="1"/>
      <c r="G55" s="2" t="s">
        <v>25</v>
      </c>
      <c r="H55" s="18"/>
      <c r="I55" s="6"/>
      <c r="J55" s="19"/>
    </row>
    <row r="56" spans="1:10" ht="13.5" customHeight="1">
      <c r="A56" s="207"/>
      <c r="B56" s="197"/>
      <c r="C56" s="208"/>
      <c r="D56" s="230"/>
      <c r="E56" s="21" t="s">
        <v>21</v>
      </c>
      <c r="F56" s="22"/>
      <c r="G56" s="13">
        <f>SUM(G48:G55)</f>
        <v>100</v>
      </c>
      <c r="H56" s="21" t="s">
        <v>44</v>
      </c>
      <c r="I56" s="22"/>
      <c r="J56" s="13">
        <f>D55-G56</f>
        <v>32000</v>
      </c>
    </row>
    <row r="57" spans="1:10" ht="13.5" customHeight="1">
      <c r="A57" s="3" t="s">
        <v>45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ht="13.5" customHeight="1"/>
    <row r="59" spans="1:10" ht="13.5" customHeight="1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6"/>
    </row>
    <row r="60" spans="1:10" ht="13.5" customHeight="1">
      <c r="A60" s="187" t="s">
        <v>1</v>
      </c>
      <c r="B60" s="188"/>
      <c r="C60" s="188"/>
      <c r="D60" s="188"/>
      <c r="E60" s="188"/>
      <c r="F60" s="188"/>
      <c r="G60" s="188"/>
      <c r="H60" s="188"/>
      <c r="I60" s="188"/>
      <c r="J60" s="189"/>
    </row>
    <row r="61" spans="1:10" ht="13.5" customHeight="1">
      <c r="A61" s="1" t="s">
        <v>2</v>
      </c>
      <c r="B61" s="1"/>
      <c r="C61" s="190" t="s">
        <v>384</v>
      </c>
      <c r="D61" s="190"/>
      <c r="E61" s="2"/>
      <c r="F61" s="3"/>
      <c r="G61" s="1" t="s">
        <v>4</v>
      </c>
      <c r="H61" s="191" t="s">
        <v>5</v>
      </c>
      <c r="I61" s="191"/>
      <c r="J61" s="191"/>
    </row>
    <row r="62" spans="1:10" ht="13.5" customHeight="1">
      <c r="A62" s="1" t="s">
        <v>6</v>
      </c>
      <c r="B62" s="1"/>
      <c r="C62" s="192" t="s">
        <v>385</v>
      </c>
      <c r="D62" s="192"/>
      <c r="E62" s="2"/>
      <c r="F62" s="3"/>
      <c r="G62" s="1" t="s">
        <v>8</v>
      </c>
      <c r="H62" s="193" t="s">
        <v>9</v>
      </c>
      <c r="I62" s="193"/>
      <c r="J62" s="193"/>
    </row>
    <row r="63" spans="1:10" ht="13.5" customHeight="1">
      <c r="A63" s="6" t="s">
        <v>10</v>
      </c>
      <c r="B63" s="6"/>
      <c r="C63" s="194" t="s">
        <v>369</v>
      </c>
      <c r="D63" s="194"/>
      <c r="E63" s="2"/>
      <c r="F63" s="3"/>
      <c r="G63" s="1" t="s">
        <v>12</v>
      </c>
      <c r="H63" s="195" t="s">
        <v>13</v>
      </c>
      <c r="I63" s="195"/>
      <c r="J63" s="195"/>
    </row>
    <row r="64" spans="1:10" ht="13.5" customHeight="1">
      <c r="A64" s="2" t="s">
        <v>14</v>
      </c>
      <c r="B64" s="2"/>
      <c r="C64" s="2" t="s">
        <v>15</v>
      </c>
      <c r="D64" s="2"/>
      <c r="E64" s="2"/>
      <c r="F64" s="3"/>
      <c r="G64" s="1" t="s">
        <v>16</v>
      </c>
      <c r="H64" s="196" t="s">
        <v>386</v>
      </c>
      <c r="I64" s="196"/>
      <c r="J64" s="196"/>
    </row>
    <row r="65" spans="1:10" ht="13.5" customHeight="1">
      <c r="A65" s="2">
        <v>30</v>
      </c>
      <c r="B65" s="2"/>
      <c r="C65" s="2">
        <f>A65-H65</f>
        <v>3</v>
      </c>
      <c r="D65" s="2"/>
      <c r="E65" s="2"/>
      <c r="F65" s="3"/>
      <c r="G65" s="8" t="s">
        <v>18</v>
      </c>
      <c r="H65" s="197">
        <v>27</v>
      </c>
      <c r="I65" s="197"/>
      <c r="J65" s="197"/>
    </row>
    <row r="66" spans="1:10" ht="13.5" customHeight="1">
      <c r="A66" s="198" t="s">
        <v>19</v>
      </c>
      <c r="B66" s="199"/>
      <c r="C66" s="200"/>
      <c r="D66" s="13" t="s">
        <v>20</v>
      </c>
      <c r="E66" s="14" t="s">
        <v>21</v>
      </c>
      <c r="F66" s="15"/>
      <c r="G66" s="16" t="s">
        <v>20</v>
      </c>
      <c r="H66" s="201" t="s">
        <v>22</v>
      </c>
      <c r="I66" s="202"/>
      <c r="J66" s="203"/>
    </row>
    <row r="67" spans="1:10" ht="13.5" customHeight="1">
      <c r="A67" s="17" t="s">
        <v>23</v>
      </c>
      <c r="B67" s="1"/>
      <c r="C67" s="1"/>
      <c r="D67" s="28">
        <v>25000</v>
      </c>
      <c r="E67" s="17" t="s">
        <v>24</v>
      </c>
      <c r="F67" s="1"/>
      <c r="G67" s="2" t="s">
        <v>25</v>
      </c>
      <c r="H67" s="18" t="s">
        <v>26</v>
      </c>
      <c r="I67" s="23"/>
      <c r="J67" s="24"/>
    </row>
    <row r="68" spans="1:10" ht="13.5" customHeight="1">
      <c r="A68" s="18" t="s">
        <v>77</v>
      </c>
      <c r="B68" s="209" t="s">
        <v>355</v>
      </c>
      <c r="C68" s="209"/>
      <c r="D68" s="2">
        <v>3333</v>
      </c>
      <c r="E68" s="17" t="s">
        <v>52</v>
      </c>
      <c r="F68" s="1"/>
      <c r="G68" s="2">
        <v>300</v>
      </c>
      <c r="H68" s="18" t="s">
        <v>29</v>
      </c>
      <c r="I68" s="23"/>
      <c r="J68" s="24"/>
    </row>
    <row r="69" spans="1:10" ht="13.5" customHeight="1">
      <c r="A69" s="17" t="s">
        <v>147</v>
      </c>
      <c r="B69" s="209"/>
      <c r="C69" s="209"/>
      <c r="D69" s="2" t="s">
        <v>25</v>
      </c>
      <c r="E69" s="17" t="s">
        <v>58</v>
      </c>
      <c r="F69" s="1"/>
      <c r="G69" s="2">
        <v>4958</v>
      </c>
      <c r="H69" s="18" t="s">
        <v>32</v>
      </c>
      <c r="I69" s="23"/>
      <c r="J69" s="24"/>
    </row>
    <row r="70" spans="1:10" ht="13.5" customHeight="1">
      <c r="A70" s="17" t="s">
        <v>30</v>
      </c>
      <c r="B70" s="1"/>
      <c r="C70" s="1"/>
      <c r="D70" s="2">
        <v>2525</v>
      </c>
      <c r="E70" s="17" t="s">
        <v>35</v>
      </c>
      <c r="F70" s="1"/>
      <c r="G70" s="2">
        <v>2500</v>
      </c>
      <c r="H70" s="18"/>
      <c r="I70" s="6"/>
      <c r="J70" s="19"/>
    </row>
    <row r="71" spans="1:10" ht="13.5" customHeight="1">
      <c r="A71" s="17" t="s">
        <v>345</v>
      </c>
      <c r="B71" s="1"/>
      <c r="C71" s="1"/>
      <c r="D71" s="2">
        <v>5000</v>
      </c>
      <c r="E71" s="17" t="s">
        <v>61</v>
      </c>
      <c r="F71" s="1"/>
      <c r="G71" s="2">
        <v>1000</v>
      </c>
      <c r="H71" s="18" t="s">
        <v>387</v>
      </c>
      <c r="I71" s="6"/>
      <c r="J71" s="19"/>
    </row>
    <row r="72" spans="1:10" ht="13.5" customHeight="1">
      <c r="A72" s="17" t="s">
        <v>72</v>
      </c>
      <c r="B72" s="1"/>
      <c r="C72" s="1"/>
      <c r="D72" s="2" t="s">
        <v>25</v>
      </c>
      <c r="E72" s="17" t="s">
        <v>39</v>
      </c>
      <c r="F72" s="1"/>
      <c r="G72" s="2">
        <v>100</v>
      </c>
      <c r="H72" s="18" t="s">
        <v>388</v>
      </c>
      <c r="I72" s="6"/>
      <c r="J72" s="19"/>
    </row>
    <row r="73" spans="1:10" ht="13.5" customHeight="1">
      <c r="A73" s="18" t="s">
        <v>40</v>
      </c>
      <c r="B73" s="6"/>
      <c r="C73" s="6"/>
      <c r="D73" s="2" t="s">
        <v>25</v>
      </c>
      <c r="E73" s="17" t="s">
        <v>78</v>
      </c>
      <c r="F73" s="1"/>
      <c r="G73" s="2" t="s">
        <v>25</v>
      </c>
      <c r="H73" s="18" t="s">
        <v>389</v>
      </c>
      <c r="I73" s="6"/>
      <c r="J73" s="19"/>
    </row>
    <row r="74" spans="1:10" ht="13.5" customHeight="1">
      <c r="A74" s="204" t="s">
        <v>63</v>
      </c>
      <c r="B74" s="205"/>
      <c r="C74" s="206"/>
      <c r="D74" s="229">
        <f>SUM(D67:D73)</f>
        <v>35858</v>
      </c>
      <c r="E74" s="1" t="s">
        <v>283</v>
      </c>
      <c r="F74" s="1"/>
      <c r="G74" s="2" t="s">
        <v>25</v>
      </c>
      <c r="H74" s="18"/>
      <c r="I74" s="6"/>
      <c r="J74" s="19"/>
    </row>
    <row r="75" spans="1:10" ht="13.5" customHeight="1">
      <c r="A75" s="207"/>
      <c r="B75" s="197"/>
      <c r="C75" s="208"/>
      <c r="D75" s="230"/>
      <c r="E75" s="21" t="s">
        <v>21</v>
      </c>
      <c r="F75" s="22"/>
      <c r="G75" s="13">
        <f>SUM(G67:G74)</f>
        <v>8858</v>
      </c>
      <c r="H75" s="21" t="s">
        <v>44</v>
      </c>
      <c r="I75" s="22"/>
      <c r="J75" s="13">
        <f>D74-G75</f>
        <v>27000</v>
      </c>
    </row>
    <row r="76" spans="1:10" ht="13.5" customHeight="1">
      <c r="A76" s="3" t="s">
        <v>45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3.5" customHeight="1">
      <c r="A78" s="3"/>
      <c r="B78" s="3" t="s">
        <v>47</v>
      </c>
      <c r="C78" s="3"/>
      <c r="D78" s="3"/>
      <c r="E78" s="3" t="s">
        <v>48</v>
      </c>
      <c r="F78" s="3"/>
      <c r="G78" s="3"/>
      <c r="H78" s="3" t="s">
        <v>49</v>
      </c>
      <c r="I78" s="3"/>
      <c r="J78" s="3"/>
    </row>
    <row r="79" spans="1:10" ht="13.5" customHeight="1">
      <c r="A79" s="184" t="s">
        <v>0</v>
      </c>
      <c r="B79" s="185"/>
      <c r="C79" s="185"/>
      <c r="D79" s="185"/>
      <c r="E79" s="185"/>
      <c r="F79" s="185"/>
      <c r="G79" s="185"/>
      <c r="H79" s="185"/>
      <c r="I79" s="185"/>
      <c r="J79" s="186"/>
    </row>
    <row r="80" spans="1:10" ht="13.5" customHeight="1">
      <c r="A80" s="187" t="s">
        <v>1</v>
      </c>
      <c r="B80" s="188"/>
      <c r="C80" s="188"/>
      <c r="D80" s="188"/>
      <c r="E80" s="188"/>
      <c r="F80" s="188"/>
      <c r="G80" s="188"/>
      <c r="H80" s="188"/>
      <c r="I80" s="188"/>
      <c r="J80" s="189"/>
    </row>
    <row r="81" spans="1:10" ht="13.5" customHeight="1">
      <c r="A81" s="1" t="s">
        <v>2</v>
      </c>
      <c r="B81" s="1"/>
      <c r="C81" s="190"/>
      <c r="D81" s="190"/>
      <c r="E81" s="2"/>
      <c r="F81" s="3"/>
      <c r="G81" s="1" t="s">
        <v>4</v>
      </c>
      <c r="H81" s="191" t="s">
        <v>143</v>
      </c>
      <c r="I81" s="191"/>
      <c r="J81" s="191"/>
    </row>
    <row r="82" spans="1:10" ht="13.5" customHeight="1">
      <c r="A82" s="1" t="s">
        <v>6</v>
      </c>
      <c r="B82" s="1"/>
      <c r="C82" s="192" t="s">
        <v>390</v>
      </c>
      <c r="D82" s="192"/>
      <c r="E82" s="2"/>
      <c r="F82" s="3"/>
      <c r="G82" s="1" t="s">
        <v>8</v>
      </c>
      <c r="H82" s="193" t="s">
        <v>9</v>
      </c>
      <c r="I82" s="193"/>
      <c r="J82" s="193"/>
    </row>
    <row r="83" spans="1:10" ht="13.5" customHeight="1">
      <c r="A83" s="6" t="s">
        <v>10</v>
      </c>
      <c r="B83" s="6"/>
      <c r="C83" s="194" t="s">
        <v>369</v>
      </c>
      <c r="D83" s="194"/>
      <c r="E83" s="2"/>
      <c r="F83" s="3"/>
      <c r="G83" s="1" t="s">
        <v>12</v>
      </c>
      <c r="H83" s="195" t="s">
        <v>13</v>
      </c>
      <c r="I83" s="195"/>
      <c r="J83" s="195"/>
    </row>
    <row r="84" spans="1:10" ht="13.5" customHeight="1">
      <c r="A84" s="2" t="s">
        <v>14</v>
      </c>
      <c r="B84" s="2"/>
      <c r="C84" s="2" t="s">
        <v>15</v>
      </c>
      <c r="D84" s="2"/>
      <c r="E84" s="2"/>
      <c r="F84" s="3"/>
      <c r="G84" s="1" t="s">
        <v>16</v>
      </c>
      <c r="H84" s="196" t="s">
        <v>386</v>
      </c>
      <c r="I84" s="196"/>
      <c r="J84" s="196"/>
    </row>
    <row r="85" spans="1:10" ht="13.5" customHeight="1">
      <c r="A85" s="2">
        <v>30</v>
      </c>
      <c r="B85" s="2"/>
      <c r="C85" s="2">
        <f>A85-H85</f>
        <v>0</v>
      </c>
      <c r="D85" s="2"/>
      <c r="E85" s="2"/>
      <c r="F85" s="3"/>
      <c r="G85" s="8" t="s">
        <v>18</v>
      </c>
      <c r="H85" s="197">
        <v>30</v>
      </c>
      <c r="I85" s="197"/>
      <c r="J85" s="197"/>
    </row>
    <row r="86" spans="1:10" ht="13.5" customHeight="1">
      <c r="A86" s="198" t="s">
        <v>19</v>
      </c>
      <c r="B86" s="199"/>
      <c r="C86" s="200"/>
      <c r="D86" s="13" t="s">
        <v>20</v>
      </c>
      <c r="E86" s="14" t="s">
        <v>21</v>
      </c>
      <c r="F86" s="15"/>
      <c r="G86" s="16" t="s">
        <v>20</v>
      </c>
      <c r="H86" s="201" t="s">
        <v>22</v>
      </c>
      <c r="I86" s="202"/>
      <c r="J86" s="203"/>
    </row>
    <row r="87" spans="1:10" ht="13.5" customHeight="1">
      <c r="A87" s="17" t="s">
        <v>23</v>
      </c>
      <c r="B87" s="1"/>
      <c r="C87" s="1"/>
      <c r="D87" s="28">
        <v>25000</v>
      </c>
      <c r="E87" s="17" t="s">
        <v>24</v>
      </c>
      <c r="F87" s="1"/>
      <c r="G87" s="2" t="s">
        <v>25</v>
      </c>
      <c r="H87" s="18" t="s">
        <v>26</v>
      </c>
      <c r="I87" s="23"/>
      <c r="J87" s="24"/>
    </row>
    <row r="88" spans="1:10" ht="13.5" customHeight="1">
      <c r="A88" s="17" t="s">
        <v>77</v>
      </c>
      <c r="B88" s="209" t="s">
        <v>120</v>
      </c>
      <c r="C88" s="209"/>
      <c r="D88" s="2">
        <v>833</v>
      </c>
      <c r="E88" s="17" t="s">
        <v>52</v>
      </c>
      <c r="F88" s="1"/>
      <c r="G88" s="2">
        <v>220</v>
      </c>
      <c r="H88" s="18" t="s">
        <v>29</v>
      </c>
      <c r="I88" s="23"/>
      <c r="J88" s="24"/>
    </row>
    <row r="89" spans="1:10" ht="13.5" customHeight="1">
      <c r="A89" s="17" t="s">
        <v>147</v>
      </c>
      <c r="B89" s="209"/>
      <c r="C89" s="209"/>
      <c r="D89" s="2" t="s">
        <v>25</v>
      </c>
      <c r="E89" s="17" t="s">
        <v>58</v>
      </c>
      <c r="F89" s="1"/>
      <c r="G89" s="2">
        <v>1611</v>
      </c>
      <c r="H89" s="18" t="s">
        <v>32</v>
      </c>
      <c r="I89" s="23"/>
      <c r="J89" s="24"/>
    </row>
    <row r="90" spans="1:10" ht="13.5" customHeight="1">
      <c r="A90" s="17" t="s">
        <v>30</v>
      </c>
      <c r="B90" s="1"/>
      <c r="C90" s="1"/>
      <c r="D90" s="2">
        <v>4298</v>
      </c>
      <c r="E90" s="17" t="s">
        <v>35</v>
      </c>
      <c r="F90" s="1"/>
      <c r="G90" s="2" t="s">
        <v>25</v>
      </c>
      <c r="H90" s="18"/>
      <c r="I90" s="6"/>
      <c r="J90" s="19"/>
    </row>
    <row r="91" spans="1:10" ht="13.5" customHeight="1">
      <c r="A91" s="17" t="s">
        <v>345</v>
      </c>
      <c r="B91" s="1"/>
      <c r="C91" s="1"/>
      <c r="D91" s="2">
        <v>5000</v>
      </c>
      <c r="E91" s="17" t="s">
        <v>61</v>
      </c>
      <c r="F91" s="1"/>
      <c r="G91" s="2">
        <v>700</v>
      </c>
      <c r="H91" s="18" t="s">
        <v>391</v>
      </c>
      <c r="I91" s="6"/>
      <c r="J91" s="19"/>
    </row>
    <row r="92" spans="1:10" ht="13.5" customHeight="1">
      <c r="A92" s="17" t="s">
        <v>78</v>
      </c>
      <c r="B92" s="1"/>
      <c r="C92" s="1"/>
      <c r="D92" s="2" t="s">
        <v>25</v>
      </c>
      <c r="E92" s="17" t="s">
        <v>39</v>
      </c>
      <c r="F92" s="1"/>
      <c r="G92" s="2">
        <v>100</v>
      </c>
      <c r="H92" s="18"/>
      <c r="I92" s="6"/>
      <c r="J92" s="19"/>
    </row>
    <row r="93" spans="1:10" ht="13.5" customHeight="1">
      <c r="A93" s="18" t="s">
        <v>40</v>
      </c>
      <c r="B93" s="6"/>
      <c r="C93" s="6"/>
      <c r="D93" s="2" t="s">
        <v>25</v>
      </c>
      <c r="E93" s="17" t="s">
        <v>78</v>
      </c>
      <c r="F93" s="1"/>
      <c r="G93" s="2" t="s">
        <v>25</v>
      </c>
      <c r="H93" s="18"/>
      <c r="I93" s="6"/>
      <c r="J93" s="19"/>
    </row>
    <row r="94" spans="1:10" ht="13.5" customHeight="1">
      <c r="A94" s="204" t="s">
        <v>63</v>
      </c>
      <c r="B94" s="205"/>
      <c r="C94" s="206"/>
      <c r="D94" s="229">
        <f>SUM(D87:D93)</f>
        <v>35131</v>
      </c>
      <c r="E94" s="1" t="s">
        <v>283</v>
      </c>
      <c r="F94" s="1"/>
      <c r="G94" s="2" t="s">
        <v>25</v>
      </c>
      <c r="H94" s="18"/>
      <c r="I94" s="6"/>
      <c r="J94" s="19"/>
    </row>
    <row r="95" spans="1:10" ht="13.5" customHeight="1">
      <c r="A95" s="207"/>
      <c r="B95" s="197"/>
      <c r="C95" s="208"/>
      <c r="D95" s="230"/>
      <c r="E95" s="21" t="s">
        <v>21</v>
      </c>
      <c r="F95" s="22"/>
      <c r="G95" s="13">
        <f>SUM(G87:G94)</f>
        <v>2631</v>
      </c>
      <c r="H95" s="21" t="s">
        <v>44</v>
      </c>
      <c r="I95" s="22"/>
      <c r="J95" s="13">
        <f>D94-G95</f>
        <v>32500</v>
      </c>
    </row>
    <row r="96" spans="1:10" ht="13.5" customHeight="1">
      <c r="A96" s="3" t="s">
        <v>45</v>
      </c>
      <c r="B96" s="3"/>
      <c r="C96" s="3"/>
      <c r="D96" s="3"/>
      <c r="E96" s="3"/>
      <c r="F96" s="3"/>
      <c r="G96" s="3"/>
      <c r="H96" s="3"/>
      <c r="I96" s="3"/>
      <c r="J96" s="3"/>
    </row>
    <row r="97" spans="1:10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3.5" customHeight="1">
      <c r="A98" s="3"/>
      <c r="B98" s="3" t="s">
        <v>47</v>
      </c>
      <c r="C98" s="3"/>
      <c r="D98" s="3"/>
      <c r="E98" s="3" t="s">
        <v>48</v>
      </c>
      <c r="F98" s="3"/>
      <c r="G98" s="3"/>
      <c r="H98" s="3" t="s">
        <v>49</v>
      </c>
      <c r="I98" s="3"/>
      <c r="J98" s="3"/>
    </row>
    <row r="99" spans="1:10" ht="13.5" customHeight="1">
      <c r="A99" s="184" t="s">
        <v>0</v>
      </c>
      <c r="B99" s="185"/>
      <c r="C99" s="185"/>
      <c r="D99" s="185"/>
      <c r="E99" s="185"/>
      <c r="F99" s="185"/>
      <c r="G99" s="185"/>
      <c r="H99" s="185"/>
      <c r="I99" s="185"/>
      <c r="J99" s="186"/>
    </row>
    <row r="100" spans="1:10" ht="13.5" customHeight="1">
      <c r="A100" s="187" t="s">
        <v>1</v>
      </c>
      <c r="B100" s="188"/>
      <c r="C100" s="188"/>
      <c r="D100" s="188"/>
      <c r="E100" s="188"/>
      <c r="F100" s="188"/>
      <c r="G100" s="188"/>
      <c r="H100" s="188"/>
      <c r="I100" s="188"/>
      <c r="J100" s="189"/>
    </row>
    <row r="101" spans="1:10" ht="13.5" customHeight="1">
      <c r="A101" s="1" t="s">
        <v>2</v>
      </c>
      <c r="B101" s="1"/>
      <c r="C101" s="190" t="s">
        <v>384</v>
      </c>
      <c r="D101" s="190"/>
      <c r="E101" s="2"/>
      <c r="F101" s="3"/>
      <c r="G101" s="1" t="s">
        <v>4</v>
      </c>
      <c r="H101" s="191" t="s">
        <v>143</v>
      </c>
      <c r="I101" s="191"/>
      <c r="J101" s="191"/>
    </row>
    <row r="102" spans="1:10" ht="13.5" customHeight="1">
      <c r="A102" s="1" t="s">
        <v>6</v>
      </c>
      <c r="B102" s="1"/>
      <c r="C102" s="192" t="s">
        <v>392</v>
      </c>
      <c r="D102" s="192"/>
      <c r="E102" s="2"/>
      <c r="F102" s="3"/>
      <c r="G102" s="1" t="s">
        <v>8</v>
      </c>
      <c r="H102" s="193" t="s">
        <v>9</v>
      </c>
      <c r="I102" s="193"/>
      <c r="J102" s="193"/>
    </row>
    <row r="103" spans="1:10" ht="13.5" customHeight="1">
      <c r="A103" s="6" t="s">
        <v>10</v>
      </c>
      <c r="B103" s="6"/>
      <c r="C103" s="194" t="s">
        <v>369</v>
      </c>
      <c r="D103" s="194"/>
      <c r="E103" s="2"/>
      <c r="F103" s="3"/>
      <c r="G103" s="1" t="s">
        <v>12</v>
      </c>
      <c r="H103" s="195" t="s">
        <v>13</v>
      </c>
      <c r="I103" s="195"/>
      <c r="J103" s="195"/>
    </row>
    <row r="104" spans="1:10" ht="13.5" customHeight="1">
      <c r="A104" s="2" t="s">
        <v>14</v>
      </c>
      <c r="B104" s="2"/>
      <c r="C104" s="2" t="s">
        <v>15</v>
      </c>
      <c r="D104" s="2"/>
      <c r="E104" s="2"/>
      <c r="F104" s="3"/>
      <c r="G104" s="1" t="s">
        <v>16</v>
      </c>
      <c r="H104" s="196" t="s">
        <v>386</v>
      </c>
      <c r="I104" s="196"/>
      <c r="J104" s="196"/>
    </row>
    <row r="105" spans="1:10" ht="13.5" customHeight="1">
      <c r="A105" s="2">
        <v>30</v>
      </c>
      <c r="B105" s="2"/>
      <c r="C105" s="2">
        <f>A105-H105</f>
        <v>0</v>
      </c>
      <c r="D105" s="2"/>
      <c r="E105" s="2"/>
      <c r="F105" s="3"/>
      <c r="G105" s="8" t="s">
        <v>18</v>
      </c>
      <c r="H105" s="197">
        <v>30</v>
      </c>
      <c r="I105" s="197"/>
      <c r="J105" s="197"/>
    </row>
    <row r="106" spans="1:10" ht="13.5" customHeight="1">
      <c r="A106" s="198" t="s">
        <v>19</v>
      </c>
      <c r="B106" s="199"/>
      <c r="C106" s="200"/>
      <c r="D106" s="13" t="s">
        <v>20</v>
      </c>
      <c r="E106" s="14" t="s">
        <v>21</v>
      </c>
      <c r="F106" s="15"/>
      <c r="G106" s="16" t="s">
        <v>20</v>
      </c>
      <c r="H106" s="201" t="s">
        <v>22</v>
      </c>
      <c r="I106" s="202"/>
      <c r="J106" s="203"/>
    </row>
    <row r="107" spans="1:10" ht="13.5" customHeight="1">
      <c r="A107" s="17" t="s">
        <v>23</v>
      </c>
      <c r="B107" s="1"/>
      <c r="C107" s="1"/>
      <c r="D107" s="28">
        <v>30000</v>
      </c>
      <c r="E107" s="17" t="s">
        <v>24</v>
      </c>
      <c r="F107" s="1"/>
      <c r="G107" s="2" t="s">
        <v>25</v>
      </c>
      <c r="H107" s="18" t="s">
        <v>26</v>
      </c>
      <c r="I107" s="23"/>
      <c r="J107" s="24"/>
    </row>
    <row r="108" spans="1:10" ht="13.5" customHeight="1">
      <c r="A108" s="17" t="s">
        <v>77</v>
      </c>
      <c r="B108" s="209" t="s">
        <v>393</v>
      </c>
      <c r="C108" s="209"/>
      <c r="D108" s="2">
        <v>5000</v>
      </c>
      <c r="E108" s="17" t="s">
        <v>89</v>
      </c>
      <c r="F108" s="1"/>
      <c r="G108" s="2" t="s">
        <v>25</v>
      </c>
      <c r="H108" s="18" t="s">
        <v>29</v>
      </c>
      <c r="I108" s="23"/>
      <c r="J108" s="24"/>
    </row>
    <row r="109" spans="1:10" ht="13.5" customHeight="1">
      <c r="A109" s="17" t="s">
        <v>147</v>
      </c>
      <c r="B109" s="209"/>
      <c r="C109" s="209"/>
      <c r="D109" s="2" t="s">
        <v>25</v>
      </c>
      <c r="E109" s="17" t="s">
        <v>394</v>
      </c>
      <c r="F109" s="1"/>
      <c r="G109" s="2" t="s">
        <v>25</v>
      </c>
      <c r="H109" s="18" t="s">
        <v>32</v>
      </c>
      <c r="I109" s="23"/>
      <c r="J109" s="24"/>
    </row>
    <row r="110" spans="1:10" ht="13.5" customHeight="1">
      <c r="A110" s="17" t="s">
        <v>30</v>
      </c>
      <c r="B110" s="1"/>
      <c r="C110" s="1"/>
      <c r="D110" s="2" t="s">
        <v>25</v>
      </c>
      <c r="E110" s="17" t="s">
        <v>35</v>
      </c>
      <c r="F110" s="1"/>
      <c r="G110" s="2" t="s">
        <v>25</v>
      </c>
      <c r="H110" s="18"/>
      <c r="I110" s="6"/>
      <c r="J110" s="19"/>
    </row>
    <row r="111" spans="1:10" ht="13.5" customHeight="1">
      <c r="A111" s="17" t="s">
        <v>395</v>
      </c>
      <c r="B111" s="1"/>
      <c r="C111" s="1"/>
      <c r="D111" s="2">
        <v>10000</v>
      </c>
      <c r="E111" s="17" t="s">
        <v>61</v>
      </c>
      <c r="F111" s="1"/>
      <c r="G111" s="2">
        <v>500</v>
      </c>
      <c r="H111" s="18" t="s">
        <v>396</v>
      </c>
      <c r="I111" s="6"/>
      <c r="J111" s="19"/>
    </row>
    <row r="112" spans="1:10" ht="13.5" customHeight="1">
      <c r="A112" s="17" t="s">
        <v>78</v>
      </c>
      <c r="B112" s="1"/>
      <c r="C112" s="1"/>
      <c r="D112" s="2" t="s">
        <v>25</v>
      </c>
      <c r="E112" s="17" t="s">
        <v>39</v>
      </c>
      <c r="F112" s="1"/>
      <c r="G112" s="2">
        <v>100</v>
      </c>
      <c r="H112" s="18" t="s">
        <v>397</v>
      </c>
      <c r="I112" s="6"/>
      <c r="J112" s="19"/>
    </row>
    <row r="113" spans="1:10" ht="13.5" customHeight="1">
      <c r="A113" s="18" t="s">
        <v>40</v>
      </c>
      <c r="B113" s="6"/>
      <c r="C113" s="6"/>
      <c r="D113" s="2" t="s">
        <v>25</v>
      </c>
      <c r="E113" s="17" t="s">
        <v>78</v>
      </c>
      <c r="F113" s="1"/>
      <c r="G113" s="2" t="s">
        <v>25</v>
      </c>
      <c r="H113" s="18" t="s">
        <v>398</v>
      </c>
      <c r="I113" s="6"/>
      <c r="J113" s="19"/>
    </row>
    <row r="114" spans="1:10" ht="13.5" customHeight="1">
      <c r="A114" s="204" t="s">
        <v>63</v>
      </c>
      <c r="B114" s="205"/>
      <c r="C114" s="206"/>
      <c r="D114" s="229">
        <f>SUM(D107:D113)</f>
        <v>45000</v>
      </c>
      <c r="E114" s="1" t="s">
        <v>283</v>
      </c>
      <c r="F114" s="1"/>
      <c r="G114" s="2" t="s">
        <v>25</v>
      </c>
      <c r="H114" s="18"/>
      <c r="I114" s="6"/>
      <c r="J114" s="19"/>
    </row>
    <row r="115" spans="1:10" ht="13.5" customHeight="1">
      <c r="A115" s="207"/>
      <c r="B115" s="197"/>
      <c r="C115" s="208"/>
      <c r="D115" s="230"/>
      <c r="E115" s="21" t="s">
        <v>21</v>
      </c>
      <c r="F115" s="22"/>
      <c r="G115" s="13">
        <f>SUM(G107:G114)</f>
        <v>600</v>
      </c>
      <c r="H115" s="21" t="s">
        <v>44</v>
      </c>
      <c r="I115" s="22"/>
      <c r="J115" s="13">
        <f>D114-G115</f>
        <v>44400</v>
      </c>
    </row>
    <row r="116" spans="1:10" ht="13.5" customHeight="1">
      <c r="A116" s="3" t="s">
        <v>45</v>
      </c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3.5" customHeight="1">
      <c r="A118" s="3"/>
      <c r="B118" s="3" t="s">
        <v>47</v>
      </c>
      <c r="C118" s="3"/>
      <c r="D118" s="3"/>
      <c r="E118" s="3" t="s">
        <v>48</v>
      </c>
      <c r="F118" s="3"/>
      <c r="G118" s="3"/>
      <c r="H118" s="3" t="s">
        <v>49</v>
      </c>
      <c r="I118" s="3"/>
      <c r="J118" s="3"/>
    </row>
    <row r="119" spans="1:10" ht="13.5" customHeight="1">
      <c r="A119" s="184" t="s">
        <v>0</v>
      </c>
      <c r="B119" s="185"/>
      <c r="C119" s="185"/>
      <c r="D119" s="185"/>
      <c r="E119" s="185"/>
      <c r="F119" s="185"/>
      <c r="G119" s="185"/>
      <c r="H119" s="185"/>
      <c r="I119" s="185"/>
      <c r="J119" s="186"/>
    </row>
    <row r="120" spans="1:10" ht="13.5" customHeight="1">
      <c r="A120" s="187" t="s">
        <v>1</v>
      </c>
      <c r="B120" s="188"/>
      <c r="C120" s="188"/>
      <c r="D120" s="188"/>
      <c r="E120" s="188"/>
      <c r="F120" s="188"/>
      <c r="G120" s="188"/>
      <c r="H120" s="188"/>
      <c r="I120" s="188"/>
      <c r="J120" s="189"/>
    </row>
    <row r="121" spans="1:10" ht="13.5" customHeight="1">
      <c r="A121" s="1" t="s">
        <v>2</v>
      </c>
      <c r="B121" s="1"/>
      <c r="C121" s="209" t="s">
        <v>399</v>
      </c>
      <c r="D121" s="209"/>
      <c r="E121" s="2"/>
      <c r="F121" s="3"/>
      <c r="G121" s="1" t="s">
        <v>4</v>
      </c>
      <c r="H121" s="191" t="s">
        <v>143</v>
      </c>
      <c r="I121" s="191"/>
      <c r="J121" s="191"/>
    </row>
    <row r="122" spans="1:10" ht="13.5" customHeight="1">
      <c r="A122" s="1" t="s">
        <v>6</v>
      </c>
      <c r="B122" s="1"/>
      <c r="C122" s="196" t="s">
        <v>400</v>
      </c>
      <c r="D122" s="196"/>
      <c r="E122" s="2"/>
      <c r="F122" s="3"/>
      <c r="G122" s="1" t="s">
        <v>8</v>
      </c>
      <c r="H122" s="193" t="s">
        <v>9</v>
      </c>
      <c r="I122" s="193"/>
      <c r="J122" s="193"/>
    </row>
    <row r="123" spans="1:10" ht="13.5" customHeight="1">
      <c r="A123" s="6" t="s">
        <v>10</v>
      </c>
      <c r="B123" s="6"/>
      <c r="C123" s="209" t="s">
        <v>401</v>
      </c>
      <c r="D123" s="209"/>
      <c r="E123" s="2"/>
      <c r="F123" s="3"/>
      <c r="G123" s="1" t="s">
        <v>12</v>
      </c>
      <c r="H123" s="195" t="s">
        <v>13</v>
      </c>
      <c r="I123" s="195"/>
      <c r="J123" s="195"/>
    </row>
    <row r="124" spans="1:10" ht="13.5" customHeight="1">
      <c r="A124" s="6" t="s">
        <v>14</v>
      </c>
      <c r="B124" s="6"/>
      <c r="C124" s="2" t="s">
        <v>15</v>
      </c>
      <c r="D124" s="2"/>
      <c r="E124" s="36"/>
      <c r="F124" s="3"/>
      <c r="G124" s="1" t="s">
        <v>16</v>
      </c>
      <c r="H124" s="196" t="s">
        <v>402</v>
      </c>
      <c r="I124" s="196"/>
      <c r="J124" s="196"/>
    </row>
    <row r="125" spans="1:10" ht="13.5" customHeight="1">
      <c r="A125" s="6">
        <v>30</v>
      </c>
      <c r="B125" s="6"/>
      <c r="C125" s="2">
        <f>A125-I125</f>
        <v>11</v>
      </c>
      <c r="D125" s="2"/>
      <c r="E125" s="2"/>
      <c r="F125" s="3"/>
      <c r="G125" s="8" t="s">
        <v>18</v>
      </c>
      <c r="H125" s="8"/>
      <c r="I125" s="9">
        <v>19</v>
      </c>
      <c r="J125" s="9"/>
    </row>
    <row r="126" spans="1:10" ht="13.5" customHeight="1">
      <c r="A126" s="198" t="s">
        <v>19</v>
      </c>
      <c r="B126" s="199"/>
      <c r="C126" s="200"/>
      <c r="D126" s="13" t="s">
        <v>20</v>
      </c>
      <c r="E126" s="14" t="s">
        <v>21</v>
      </c>
      <c r="F126" s="15"/>
      <c r="G126" s="16" t="s">
        <v>20</v>
      </c>
      <c r="H126" s="201"/>
      <c r="I126" s="202"/>
      <c r="J126" s="203"/>
    </row>
    <row r="127" spans="1:10" ht="13.5" customHeight="1">
      <c r="A127" s="17" t="s">
        <v>23</v>
      </c>
      <c r="B127" s="1"/>
      <c r="C127" s="1"/>
      <c r="D127" s="2">
        <v>30000</v>
      </c>
      <c r="E127" s="17" t="s">
        <v>89</v>
      </c>
      <c r="F127" s="1"/>
      <c r="G127" s="2" t="s">
        <v>25</v>
      </c>
      <c r="H127" s="18" t="s">
        <v>26</v>
      </c>
      <c r="I127" s="23"/>
      <c r="J127" s="24"/>
    </row>
    <row r="128" spans="1:10" ht="13.5" customHeight="1">
      <c r="A128" s="17" t="s">
        <v>77</v>
      </c>
      <c r="B128" s="209"/>
      <c r="C128" s="209"/>
      <c r="D128" s="2" t="s">
        <v>25</v>
      </c>
      <c r="E128" s="17" t="s">
        <v>58</v>
      </c>
      <c r="F128" s="1"/>
      <c r="G128" s="2" t="s">
        <v>25</v>
      </c>
      <c r="H128" s="18" t="s">
        <v>29</v>
      </c>
      <c r="I128" s="23"/>
      <c r="J128" s="24"/>
    </row>
    <row r="129" spans="1:10" ht="13.5" customHeight="1">
      <c r="A129" s="17" t="s">
        <v>30</v>
      </c>
      <c r="B129" s="1"/>
      <c r="C129" s="1"/>
      <c r="D129" s="2" t="s">
        <v>25</v>
      </c>
      <c r="E129" s="17" t="s">
        <v>83</v>
      </c>
      <c r="F129" s="1"/>
      <c r="G129" s="2" t="s">
        <v>25</v>
      </c>
      <c r="H129" s="18" t="s">
        <v>32</v>
      </c>
      <c r="I129" s="23"/>
      <c r="J129" s="24"/>
    </row>
    <row r="130" spans="1:10" ht="13.5" customHeight="1">
      <c r="A130" s="17" t="s">
        <v>403</v>
      </c>
      <c r="B130" s="1"/>
      <c r="C130" s="1"/>
      <c r="D130" s="2">
        <v>3167</v>
      </c>
      <c r="E130" s="17" t="s">
        <v>35</v>
      </c>
      <c r="F130" s="1"/>
      <c r="G130" s="2">
        <v>11000</v>
      </c>
      <c r="H130" s="18"/>
      <c r="I130" s="6"/>
      <c r="J130" s="19"/>
    </row>
    <row r="131" spans="1:10" ht="13.5" customHeight="1">
      <c r="A131" s="17" t="s">
        <v>27</v>
      </c>
      <c r="B131" s="1"/>
      <c r="C131" s="1"/>
      <c r="D131" s="2" t="s">
        <v>25</v>
      </c>
      <c r="E131" s="17" t="s">
        <v>61</v>
      </c>
      <c r="F131" s="1"/>
      <c r="G131" s="2" t="s">
        <v>25</v>
      </c>
      <c r="H131" s="18" t="s">
        <v>404</v>
      </c>
      <c r="I131" s="6"/>
      <c r="J131" s="26"/>
    </row>
    <row r="132" spans="1:10" ht="13.5" customHeight="1">
      <c r="A132" s="17" t="s">
        <v>78</v>
      </c>
      <c r="B132" s="1"/>
      <c r="C132" s="1"/>
      <c r="D132" s="2" t="s">
        <v>25</v>
      </c>
      <c r="E132" s="17" t="s">
        <v>39</v>
      </c>
      <c r="F132" s="1"/>
      <c r="G132" s="2">
        <v>100</v>
      </c>
      <c r="H132" s="18"/>
      <c r="I132" s="6"/>
      <c r="J132" s="26"/>
    </row>
    <row r="133" spans="1:10" ht="13.5" customHeight="1">
      <c r="A133" s="18" t="s">
        <v>40</v>
      </c>
      <c r="B133" s="6"/>
      <c r="C133" s="6"/>
      <c r="D133" s="2" t="s">
        <v>25</v>
      </c>
      <c r="E133" s="17" t="s">
        <v>405</v>
      </c>
      <c r="F133" s="2"/>
      <c r="G133" s="2" t="s">
        <v>25</v>
      </c>
      <c r="H133" s="18"/>
      <c r="I133" s="6"/>
      <c r="J133" s="19"/>
    </row>
    <row r="134" spans="1:10" ht="13.5" customHeight="1">
      <c r="A134" s="204" t="s">
        <v>63</v>
      </c>
      <c r="B134" s="205"/>
      <c r="C134" s="206"/>
      <c r="D134" s="229">
        <f>SUM(D127:D133)</f>
        <v>33167</v>
      </c>
      <c r="E134" s="1" t="s">
        <v>78</v>
      </c>
      <c r="F134" s="1"/>
      <c r="G134" s="2" t="s">
        <v>25</v>
      </c>
      <c r="H134" s="18"/>
      <c r="I134" s="6"/>
      <c r="J134" s="19"/>
    </row>
    <row r="135" spans="1:10" ht="13.5" customHeight="1">
      <c r="A135" s="207"/>
      <c r="B135" s="197"/>
      <c r="C135" s="208"/>
      <c r="D135" s="230"/>
      <c r="E135" s="21" t="s">
        <v>21</v>
      </c>
      <c r="F135" s="22"/>
      <c r="G135" s="13">
        <f>SUM(G127:G134)</f>
        <v>11100</v>
      </c>
      <c r="H135" s="21" t="s">
        <v>44</v>
      </c>
      <c r="I135" s="22"/>
      <c r="J135" s="13">
        <f>D134-G135</f>
        <v>22067</v>
      </c>
    </row>
    <row r="136" spans="1:10" ht="13.5" customHeight="1">
      <c r="A136" s="3" t="s">
        <v>45</v>
      </c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3.5" customHeight="1"/>
    <row r="138" spans="1:10" ht="13.5" customHeight="1">
      <c r="A138" s="3"/>
      <c r="B138" s="3" t="s">
        <v>47</v>
      </c>
      <c r="C138" s="3"/>
      <c r="D138" s="3" t="s">
        <v>73</v>
      </c>
      <c r="E138" s="3" t="s">
        <v>48</v>
      </c>
      <c r="F138" s="3"/>
      <c r="G138" s="3"/>
      <c r="H138" s="3" t="s">
        <v>49</v>
      </c>
      <c r="I138" s="3"/>
      <c r="J138" s="3"/>
    </row>
    <row r="139" spans="1:10" ht="13.5" customHeight="1">
      <c r="A139" s="184" t="s">
        <v>0</v>
      </c>
      <c r="B139" s="185"/>
      <c r="C139" s="185"/>
      <c r="D139" s="185"/>
      <c r="E139" s="185"/>
      <c r="F139" s="185"/>
      <c r="G139" s="185"/>
      <c r="H139" s="185"/>
      <c r="I139" s="185"/>
      <c r="J139" s="186"/>
    </row>
    <row r="140" spans="1:10" ht="13.5" customHeight="1">
      <c r="A140" s="187" t="s">
        <v>1</v>
      </c>
      <c r="B140" s="188"/>
      <c r="C140" s="188"/>
      <c r="D140" s="188"/>
      <c r="E140" s="188"/>
      <c r="F140" s="188"/>
      <c r="G140" s="188"/>
      <c r="H140" s="188"/>
      <c r="I140" s="188"/>
      <c r="J140" s="189"/>
    </row>
    <row r="141" spans="1:10" ht="13.5" customHeight="1">
      <c r="A141" s="1" t="s">
        <v>2</v>
      </c>
      <c r="B141" s="1"/>
      <c r="C141" s="209"/>
      <c r="D141" s="209"/>
      <c r="E141" s="2"/>
      <c r="F141" s="3"/>
      <c r="G141" s="1" t="s">
        <v>4</v>
      </c>
      <c r="H141" s="209" t="s">
        <v>406</v>
      </c>
      <c r="I141" s="209"/>
      <c r="J141" s="209"/>
    </row>
    <row r="142" spans="1:10" ht="13.5" customHeight="1">
      <c r="A142" s="1" t="s">
        <v>6</v>
      </c>
      <c r="B142" s="1"/>
      <c r="C142" s="196" t="s">
        <v>407</v>
      </c>
      <c r="D142" s="196"/>
      <c r="E142" s="2"/>
      <c r="F142" s="3"/>
      <c r="G142" s="1" t="s">
        <v>8</v>
      </c>
      <c r="H142" s="193" t="s">
        <v>9</v>
      </c>
      <c r="I142" s="193"/>
      <c r="J142" s="193"/>
    </row>
    <row r="143" spans="1:10" ht="13.5" customHeight="1">
      <c r="A143" s="6" t="s">
        <v>10</v>
      </c>
      <c r="B143" s="6"/>
      <c r="C143" s="209" t="s">
        <v>408</v>
      </c>
      <c r="D143" s="209"/>
      <c r="E143" s="2"/>
      <c r="F143" s="3"/>
      <c r="G143" s="1" t="s">
        <v>12</v>
      </c>
      <c r="H143" s="195" t="s">
        <v>13</v>
      </c>
      <c r="I143" s="195"/>
      <c r="J143" s="195"/>
    </row>
    <row r="144" spans="1:10" ht="13.5" customHeight="1">
      <c r="A144" s="6" t="s">
        <v>14</v>
      </c>
      <c r="B144" s="6"/>
      <c r="C144" s="2" t="s">
        <v>15</v>
      </c>
      <c r="D144" s="2"/>
      <c r="E144" s="36"/>
      <c r="F144" s="3"/>
      <c r="G144" s="1" t="s">
        <v>16</v>
      </c>
      <c r="H144" s="196" t="s">
        <v>55</v>
      </c>
      <c r="I144" s="196"/>
      <c r="J144" s="196"/>
    </row>
    <row r="145" spans="1:10" ht="13.5" customHeight="1">
      <c r="A145" s="6">
        <v>30</v>
      </c>
      <c r="B145" s="6"/>
      <c r="C145" s="2">
        <f>A145-I145</f>
        <v>1</v>
      </c>
      <c r="D145" s="2"/>
      <c r="E145" s="2"/>
      <c r="F145" s="3"/>
      <c r="G145" s="8" t="s">
        <v>18</v>
      </c>
      <c r="H145" s="8"/>
      <c r="I145" s="9">
        <v>29</v>
      </c>
      <c r="J145" s="9"/>
    </row>
    <row r="146" spans="1:10" ht="13.5" customHeight="1">
      <c r="A146" s="198" t="s">
        <v>19</v>
      </c>
      <c r="B146" s="199"/>
      <c r="C146" s="200"/>
      <c r="D146" s="13" t="s">
        <v>20</v>
      </c>
      <c r="E146" s="14" t="s">
        <v>21</v>
      </c>
      <c r="F146" s="15"/>
      <c r="G146" s="16" t="s">
        <v>20</v>
      </c>
      <c r="H146" s="201" t="s">
        <v>22</v>
      </c>
      <c r="I146" s="202"/>
      <c r="J146" s="203"/>
    </row>
    <row r="147" spans="1:10" ht="13.5" customHeight="1">
      <c r="A147" s="17" t="s">
        <v>23</v>
      </c>
      <c r="B147" s="1"/>
      <c r="C147" s="1"/>
      <c r="D147" s="2">
        <v>25000</v>
      </c>
      <c r="E147" s="17" t="s">
        <v>52</v>
      </c>
      <c r="F147" s="1"/>
      <c r="G147" s="2" t="s">
        <v>25</v>
      </c>
      <c r="H147" s="18" t="s">
        <v>26</v>
      </c>
      <c r="I147" s="23"/>
      <c r="J147" s="24"/>
    </row>
    <row r="148" spans="1:10" ht="13.5" customHeight="1">
      <c r="A148" s="17" t="s">
        <v>77</v>
      </c>
      <c r="B148" s="209" t="s">
        <v>120</v>
      </c>
      <c r="C148" s="209"/>
      <c r="D148" s="2">
        <v>833</v>
      </c>
      <c r="E148" s="17" t="s">
        <v>28</v>
      </c>
      <c r="F148" s="1"/>
      <c r="G148" s="2" t="s">
        <v>25</v>
      </c>
      <c r="H148" s="18" t="s">
        <v>29</v>
      </c>
      <c r="I148" s="23"/>
      <c r="J148" s="24"/>
    </row>
    <row r="149" spans="1:10" ht="13.5" customHeight="1">
      <c r="A149" s="17" t="s">
        <v>30</v>
      </c>
      <c r="B149" s="1"/>
      <c r="C149" s="1"/>
      <c r="D149" s="2">
        <v>676</v>
      </c>
      <c r="E149" s="17" t="s">
        <v>58</v>
      </c>
      <c r="F149" s="1"/>
      <c r="G149" s="2">
        <v>2576</v>
      </c>
      <c r="H149" s="18" t="s">
        <v>32</v>
      </c>
      <c r="I149" s="23"/>
      <c r="J149" s="24"/>
    </row>
    <row r="150" spans="1:10" ht="13.5" customHeight="1">
      <c r="A150" s="17" t="s">
        <v>345</v>
      </c>
      <c r="B150" s="1"/>
      <c r="C150" s="1"/>
      <c r="D150" s="2">
        <v>5000</v>
      </c>
      <c r="E150" s="17" t="s">
        <v>35</v>
      </c>
      <c r="F150" s="1"/>
      <c r="G150" s="2">
        <v>833</v>
      </c>
      <c r="H150" s="279"/>
      <c r="I150" s="280"/>
      <c r="J150" s="281"/>
    </row>
    <row r="151" spans="1:10" ht="13.5" customHeight="1">
      <c r="A151" s="17" t="s">
        <v>36</v>
      </c>
      <c r="B151" s="1"/>
      <c r="C151" s="1"/>
      <c r="D151" s="2" t="s">
        <v>25</v>
      </c>
      <c r="E151" s="17" t="s">
        <v>89</v>
      </c>
      <c r="F151" s="1"/>
      <c r="G151" s="2" t="s">
        <v>25</v>
      </c>
      <c r="H151" s="18" t="s">
        <v>409</v>
      </c>
      <c r="I151" s="6"/>
      <c r="J151" s="40"/>
    </row>
    <row r="152" spans="1:10" ht="13.5" customHeight="1">
      <c r="A152" s="17" t="s">
        <v>27</v>
      </c>
      <c r="B152" s="1"/>
      <c r="C152" s="1"/>
      <c r="D152" s="2" t="s">
        <v>25</v>
      </c>
      <c r="E152" s="1" t="s">
        <v>39</v>
      </c>
      <c r="F152" s="1"/>
      <c r="G152" s="2">
        <v>100</v>
      </c>
      <c r="H152" s="18"/>
      <c r="I152" s="6"/>
      <c r="J152" s="40"/>
    </row>
    <row r="153" spans="1:10" ht="13.5" customHeight="1">
      <c r="A153" s="18" t="s">
        <v>40</v>
      </c>
      <c r="B153" s="6"/>
      <c r="C153" s="6"/>
      <c r="D153" s="2" t="s">
        <v>25</v>
      </c>
      <c r="E153" s="17" t="s">
        <v>37</v>
      </c>
      <c r="F153" s="1"/>
      <c r="G153" s="2">
        <v>500</v>
      </c>
      <c r="H153" s="153"/>
      <c r="I153" s="6"/>
      <c r="J153" s="40"/>
    </row>
    <row r="154" spans="1:10" ht="13.5" customHeight="1">
      <c r="A154" s="204" t="s">
        <v>63</v>
      </c>
      <c r="B154" s="205"/>
      <c r="C154" s="206"/>
      <c r="D154" s="229">
        <f>SUM(D147:D153)</f>
        <v>31509</v>
      </c>
      <c r="E154" s="1" t="s">
        <v>78</v>
      </c>
      <c r="F154" s="1"/>
      <c r="G154" s="2" t="s">
        <v>25</v>
      </c>
      <c r="H154" s="18"/>
      <c r="I154" s="6"/>
      <c r="J154" s="27"/>
    </row>
    <row r="155" spans="1:10" ht="13.5" customHeight="1">
      <c r="A155" s="207"/>
      <c r="B155" s="197"/>
      <c r="C155" s="208"/>
      <c r="D155" s="230"/>
      <c r="E155" s="21" t="s">
        <v>21</v>
      </c>
      <c r="F155" s="22"/>
      <c r="G155" s="13">
        <f>SUM(G147:G154)</f>
        <v>4009</v>
      </c>
      <c r="H155" s="21" t="s">
        <v>44</v>
      </c>
      <c r="I155" s="22"/>
      <c r="J155" s="13">
        <f>D154-G155</f>
        <v>27500</v>
      </c>
    </row>
    <row r="156" spans="1:10" ht="13.5" customHeight="1">
      <c r="A156" s="2"/>
      <c r="B156" s="2"/>
      <c r="C156" s="2"/>
      <c r="D156" s="2"/>
      <c r="E156" s="1"/>
      <c r="F156" s="1"/>
      <c r="G156" s="2"/>
      <c r="H156" s="1"/>
      <c r="I156" s="1"/>
      <c r="J156" s="2"/>
    </row>
    <row r="157" spans="1:10" ht="13.5" customHeight="1">
      <c r="A157" s="2"/>
      <c r="B157" s="3" t="s">
        <v>47</v>
      </c>
      <c r="C157" s="3"/>
      <c r="D157" s="3"/>
      <c r="E157" s="3" t="s">
        <v>48</v>
      </c>
      <c r="F157" s="3"/>
      <c r="G157" s="3"/>
      <c r="H157" s="3" t="s">
        <v>49</v>
      </c>
      <c r="I157" s="3"/>
      <c r="J157" s="3"/>
    </row>
    <row r="158" spans="1:10" ht="13.5" customHeight="1">
      <c r="A158" s="184" t="s">
        <v>0</v>
      </c>
      <c r="B158" s="185"/>
      <c r="C158" s="185"/>
      <c r="D158" s="185"/>
      <c r="E158" s="185"/>
      <c r="F158" s="185"/>
      <c r="G158" s="185"/>
      <c r="H158" s="185"/>
      <c r="I158" s="185"/>
      <c r="J158" s="186"/>
    </row>
    <row r="159" spans="1:10" ht="13.5" customHeight="1">
      <c r="A159" s="187" t="s">
        <v>1</v>
      </c>
      <c r="B159" s="188"/>
      <c r="C159" s="188"/>
      <c r="D159" s="188"/>
      <c r="E159" s="188"/>
      <c r="F159" s="188"/>
      <c r="G159" s="188"/>
      <c r="H159" s="188"/>
      <c r="I159" s="188"/>
      <c r="J159" s="189"/>
    </row>
    <row r="160" spans="1:10" ht="13.5" customHeight="1">
      <c r="A160" s="1" t="s">
        <v>2</v>
      </c>
      <c r="B160" s="1"/>
      <c r="C160" s="194"/>
      <c r="D160" s="194"/>
      <c r="E160" s="2"/>
      <c r="F160" s="3"/>
      <c r="G160" s="1" t="s">
        <v>4</v>
      </c>
      <c r="H160" s="209" t="s">
        <v>182</v>
      </c>
      <c r="I160" s="209"/>
      <c r="J160" s="209"/>
    </row>
    <row r="161" spans="1:10" ht="13.5" customHeight="1">
      <c r="A161" s="1" t="s">
        <v>6</v>
      </c>
      <c r="B161" s="1"/>
      <c r="C161" s="192" t="s">
        <v>410</v>
      </c>
      <c r="D161" s="192"/>
      <c r="E161" s="2"/>
      <c r="F161" s="3"/>
      <c r="G161" s="1" t="s">
        <v>8</v>
      </c>
      <c r="H161" s="193" t="s">
        <v>9</v>
      </c>
      <c r="I161" s="193"/>
      <c r="J161" s="193"/>
    </row>
    <row r="162" spans="1:10" ht="13.5" customHeight="1">
      <c r="A162" s="6" t="s">
        <v>10</v>
      </c>
      <c r="B162" s="6"/>
      <c r="C162" s="194" t="s">
        <v>382</v>
      </c>
      <c r="D162" s="194"/>
      <c r="E162" s="2"/>
      <c r="F162" s="3"/>
      <c r="G162" s="1" t="s">
        <v>12</v>
      </c>
      <c r="H162" s="195" t="s">
        <v>13</v>
      </c>
      <c r="I162" s="195"/>
      <c r="J162" s="195"/>
    </row>
    <row r="163" spans="1:10" ht="13.5" customHeight="1">
      <c r="A163" s="2" t="s">
        <v>14</v>
      </c>
      <c r="B163" s="2"/>
      <c r="C163" s="1" t="s">
        <v>15</v>
      </c>
      <c r="D163" s="1"/>
      <c r="E163" s="2"/>
      <c r="F163" s="3"/>
      <c r="G163" s="1" t="s">
        <v>16</v>
      </c>
      <c r="H163" s="209" t="s">
        <v>140</v>
      </c>
      <c r="I163" s="209"/>
      <c r="J163" s="209"/>
    </row>
    <row r="164" spans="1:10" ht="13.5" customHeight="1">
      <c r="A164" s="2">
        <v>30</v>
      </c>
      <c r="B164" s="2"/>
      <c r="C164" s="2">
        <f>A164-H164</f>
        <v>0</v>
      </c>
      <c r="D164" s="2"/>
      <c r="E164" s="2"/>
      <c r="F164" s="3"/>
      <c r="G164" s="8" t="s">
        <v>18</v>
      </c>
      <c r="H164" s="197">
        <v>30</v>
      </c>
      <c r="I164" s="197"/>
      <c r="J164" s="197"/>
    </row>
    <row r="165" spans="1:10" ht="13.5" customHeight="1">
      <c r="A165" s="198" t="s">
        <v>19</v>
      </c>
      <c r="B165" s="199"/>
      <c r="C165" s="200"/>
      <c r="D165" s="13" t="s">
        <v>20</v>
      </c>
      <c r="E165" s="14" t="s">
        <v>21</v>
      </c>
      <c r="F165" s="15"/>
      <c r="G165" s="16" t="s">
        <v>20</v>
      </c>
      <c r="H165" s="201" t="s">
        <v>22</v>
      </c>
      <c r="I165" s="202"/>
      <c r="J165" s="203"/>
    </row>
    <row r="166" spans="1:10" ht="13.5" customHeight="1">
      <c r="A166" s="17" t="s">
        <v>56</v>
      </c>
      <c r="B166" s="1"/>
      <c r="C166" s="1"/>
      <c r="D166" s="2">
        <v>33000</v>
      </c>
      <c r="E166" s="17" t="s">
        <v>24</v>
      </c>
      <c r="F166" s="1"/>
      <c r="G166" s="2" t="s">
        <v>25</v>
      </c>
      <c r="H166" s="18" t="s">
        <v>26</v>
      </c>
      <c r="I166" s="23"/>
      <c r="J166" s="24"/>
    </row>
    <row r="167" spans="1:10" ht="13.5" customHeight="1">
      <c r="A167" s="17" t="s">
        <v>57</v>
      </c>
      <c r="B167" s="209" t="s">
        <v>320</v>
      </c>
      <c r="C167" s="209"/>
      <c r="D167" s="2">
        <v>2200</v>
      </c>
      <c r="E167" s="17" t="s">
        <v>58</v>
      </c>
      <c r="F167" s="1"/>
      <c r="G167" s="2" t="s">
        <v>25</v>
      </c>
      <c r="H167" s="18" t="s">
        <v>29</v>
      </c>
      <c r="I167" s="23"/>
      <c r="J167" s="24"/>
    </row>
    <row r="168" spans="1:10" ht="13.5" customHeight="1">
      <c r="A168" s="17" t="s">
        <v>30</v>
      </c>
      <c r="B168" s="1"/>
      <c r="C168" s="1"/>
      <c r="D168" s="2">
        <v>13885</v>
      </c>
      <c r="E168" s="17" t="s">
        <v>141</v>
      </c>
      <c r="F168" s="1"/>
      <c r="G168" s="2">
        <v>800</v>
      </c>
      <c r="H168" s="18" t="s">
        <v>32</v>
      </c>
      <c r="I168" s="23"/>
      <c r="J168" s="24"/>
    </row>
    <row r="169" spans="1:10" ht="13.5" customHeight="1">
      <c r="A169" s="176" t="s">
        <v>30</v>
      </c>
      <c r="B169" s="1"/>
      <c r="C169" s="1"/>
      <c r="D169" s="2">
        <v>4815</v>
      </c>
      <c r="E169" s="17" t="s">
        <v>35</v>
      </c>
      <c r="F169" s="1"/>
      <c r="G169" s="2" t="s">
        <v>25</v>
      </c>
      <c r="H169" s="18"/>
      <c r="I169" s="6"/>
      <c r="J169" s="19"/>
    </row>
    <row r="170" spans="1:10" ht="13.5" customHeight="1">
      <c r="A170" s="17" t="s">
        <v>345</v>
      </c>
      <c r="B170" s="6"/>
      <c r="C170" s="6"/>
      <c r="D170" s="2">
        <v>5000</v>
      </c>
      <c r="E170" s="17" t="s">
        <v>61</v>
      </c>
      <c r="F170" s="1"/>
      <c r="G170" s="2" t="s">
        <v>25</v>
      </c>
      <c r="H170" s="153">
        <v>46143</v>
      </c>
      <c r="I170" s="6"/>
      <c r="J170" s="40">
        <v>7000</v>
      </c>
    </row>
    <row r="171" spans="1:10" ht="13.5" customHeight="1">
      <c r="A171" s="17" t="s">
        <v>78</v>
      </c>
      <c r="B171" s="1"/>
      <c r="C171" s="1"/>
      <c r="D171" s="2" t="s">
        <v>25</v>
      </c>
      <c r="E171" s="17" t="s">
        <v>39</v>
      </c>
      <c r="F171" s="1"/>
      <c r="G171" s="2">
        <v>100</v>
      </c>
      <c r="H171" s="153">
        <v>46174</v>
      </c>
      <c r="I171" s="6"/>
      <c r="J171" s="40">
        <v>6885</v>
      </c>
    </row>
    <row r="172" spans="1:10" ht="13.5" customHeight="1">
      <c r="A172" s="18" t="s">
        <v>27</v>
      </c>
      <c r="B172" s="6"/>
      <c r="C172" s="6"/>
      <c r="D172" s="2" t="s">
        <v>25</v>
      </c>
      <c r="E172" s="17" t="s">
        <v>78</v>
      </c>
      <c r="F172" s="1"/>
      <c r="G172" s="2" t="s">
        <v>25</v>
      </c>
      <c r="H172" s="18"/>
      <c r="I172" s="6" t="s">
        <v>412</v>
      </c>
      <c r="J172" s="40">
        <f>SUM(J170:J171)</f>
        <v>13885</v>
      </c>
    </row>
    <row r="173" spans="1:10" ht="13.5" customHeight="1">
      <c r="A173" s="204" t="s">
        <v>63</v>
      </c>
      <c r="B173" s="205"/>
      <c r="C173" s="206"/>
      <c r="D173" s="229">
        <f>SUM(D166:D172)</f>
        <v>58900</v>
      </c>
      <c r="E173" s="1" t="s">
        <v>43</v>
      </c>
      <c r="F173" s="1"/>
      <c r="G173" s="2" t="s">
        <v>25</v>
      </c>
      <c r="H173" s="18"/>
      <c r="I173" s="6"/>
      <c r="J173" s="19"/>
    </row>
    <row r="174" spans="1:10" ht="13.5" customHeight="1">
      <c r="A174" s="207"/>
      <c r="B174" s="197"/>
      <c r="C174" s="208"/>
      <c r="D174" s="230"/>
      <c r="E174" s="21" t="s">
        <v>21</v>
      </c>
      <c r="F174" s="22"/>
      <c r="G174" s="13">
        <f>SUM(G166:G173)</f>
        <v>900</v>
      </c>
      <c r="H174" s="21" t="s">
        <v>44</v>
      </c>
      <c r="I174" s="22"/>
      <c r="J174" s="13">
        <f>D173-G174</f>
        <v>58000</v>
      </c>
    </row>
    <row r="175" spans="1:10" ht="13.5" customHeight="1">
      <c r="A175" s="3" t="s">
        <v>45</v>
      </c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3.5" customHeight="1">
      <c r="A177" s="184" t="s">
        <v>0</v>
      </c>
      <c r="B177" s="185"/>
      <c r="C177" s="185"/>
      <c r="D177" s="185"/>
      <c r="E177" s="185"/>
      <c r="F177" s="185"/>
      <c r="G177" s="185"/>
      <c r="H177" s="185"/>
      <c r="I177" s="185"/>
      <c r="J177" s="186"/>
    </row>
    <row r="178" spans="1:10" ht="13.5" customHeight="1">
      <c r="A178" s="187" t="s">
        <v>1</v>
      </c>
      <c r="B178" s="188"/>
      <c r="C178" s="188"/>
      <c r="D178" s="188"/>
      <c r="E178" s="188"/>
      <c r="F178" s="188"/>
      <c r="G178" s="188"/>
      <c r="H178" s="188"/>
      <c r="I178" s="188"/>
      <c r="J178" s="189"/>
    </row>
    <row r="179" spans="1:10" ht="13.5" customHeight="1">
      <c r="A179" s="1" t="s">
        <v>2</v>
      </c>
      <c r="B179" s="1"/>
      <c r="C179" s="209" t="s">
        <v>413</v>
      </c>
      <c r="D179" s="209"/>
      <c r="E179" s="2"/>
      <c r="F179" s="3"/>
      <c r="G179" s="1" t="s">
        <v>4</v>
      </c>
      <c r="H179" s="209" t="s">
        <v>182</v>
      </c>
      <c r="I179" s="209"/>
      <c r="J179" s="209"/>
    </row>
    <row r="180" spans="1:10" ht="13.5" customHeight="1">
      <c r="A180" s="1" t="s">
        <v>6</v>
      </c>
      <c r="B180" s="1"/>
      <c r="C180" s="25" t="s">
        <v>414</v>
      </c>
      <c r="D180" s="25"/>
      <c r="E180" s="2"/>
      <c r="F180" s="3"/>
      <c r="G180" s="1" t="s">
        <v>8</v>
      </c>
      <c r="H180" s="193" t="s">
        <v>9</v>
      </c>
      <c r="I180" s="193"/>
      <c r="J180" s="193"/>
    </row>
    <row r="181" spans="1:10" ht="13.5" customHeight="1">
      <c r="A181" s="6" t="s">
        <v>10</v>
      </c>
      <c r="B181" s="6"/>
      <c r="C181" s="209" t="s">
        <v>369</v>
      </c>
      <c r="D181" s="209"/>
      <c r="E181" s="2"/>
      <c r="F181" s="3"/>
      <c r="G181" s="1" t="s">
        <v>12</v>
      </c>
      <c r="H181" s="195" t="s">
        <v>13</v>
      </c>
      <c r="I181" s="195"/>
      <c r="J181" s="195"/>
    </row>
    <row r="182" spans="1:10" ht="13.5" customHeight="1">
      <c r="A182" s="2" t="s">
        <v>14</v>
      </c>
      <c r="B182" s="2"/>
      <c r="C182" s="2" t="s">
        <v>15</v>
      </c>
      <c r="D182" s="2"/>
      <c r="E182" s="2"/>
      <c r="F182" s="3"/>
      <c r="G182" s="1" t="s">
        <v>16</v>
      </c>
      <c r="H182" s="209" t="s">
        <v>55</v>
      </c>
      <c r="I182" s="209"/>
      <c r="J182" s="209"/>
    </row>
    <row r="183" spans="1:10" ht="13.5" customHeight="1">
      <c r="A183" s="2">
        <v>30</v>
      </c>
      <c r="B183" s="2"/>
      <c r="C183" s="2">
        <f>A183-H183</f>
        <v>0</v>
      </c>
      <c r="D183" s="2"/>
      <c r="E183" s="2"/>
      <c r="F183" s="3"/>
      <c r="G183" s="8" t="s">
        <v>18</v>
      </c>
      <c r="H183" s="197">
        <v>30</v>
      </c>
      <c r="I183" s="197"/>
      <c r="J183" s="197"/>
    </row>
    <row r="184" spans="1:10" ht="13.5" customHeight="1">
      <c r="A184" s="198" t="s">
        <v>19</v>
      </c>
      <c r="B184" s="199"/>
      <c r="C184" s="200"/>
      <c r="D184" s="13" t="s">
        <v>20</v>
      </c>
      <c r="E184" s="14" t="s">
        <v>21</v>
      </c>
      <c r="F184" s="15"/>
      <c r="G184" s="16" t="s">
        <v>20</v>
      </c>
      <c r="H184" s="201" t="s">
        <v>22</v>
      </c>
      <c r="I184" s="202"/>
      <c r="J184" s="203"/>
    </row>
    <row r="185" spans="1:10" ht="13.5" customHeight="1">
      <c r="A185" s="117" t="s">
        <v>23</v>
      </c>
      <c r="B185" s="118"/>
      <c r="C185" s="1"/>
      <c r="D185" s="2">
        <v>25000</v>
      </c>
      <c r="E185" s="17" t="s">
        <v>24</v>
      </c>
      <c r="F185" s="1"/>
      <c r="G185" s="2" t="s">
        <v>25</v>
      </c>
      <c r="H185" s="18" t="s">
        <v>26</v>
      </c>
      <c r="I185" s="23"/>
      <c r="J185" s="24"/>
    </row>
    <row r="186" spans="1:10" ht="13.5" customHeight="1">
      <c r="A186" s="17" t="s">
        <v>77</v>
      </c>
      <c r="B186" s="209" t="s">
        <v>355</v>
      </c>
      <c r="C186" s="209"/>
      <c r="D186" s="2">
        <v>3333</v>
      </c>
      <c r="E186" s="17" t="s">
        <v>376</v>
      </c>
      <c r="F186" s="1"/>
      <c r="G186" s="2" t="s">
        <v>25</v>
      </c>
      <c r="H186" s="18" t="s">
        <v>29</v>
      </c>
      <c r="I186" s="23"/>
      <c r="J186" s="24"/>
    </row>
    <row r="187" spans="1:10" ht="13.5" customHeight="1">
      <c r="A187" s="17" t="s">
        <v>30</v>
      </c>
      <c r="B187" s="1"/>
      <c r="C187" s="1"/>
      <c r="D187" s="2">
        <v>14185</v>
      </c>
      <c r="E187" s="17" t="s">
        <v>58</v>
      </c>
      <c r="F187" s="1"/>
      <c r="G187" s="2" t="s">
        <v>25</v>
      </c>
      <c r="H187" s="18" t="s">
        <v>32</v>
      </c>
      <c r="I187" s="23"/>
      <c r="J187" s="24"/>
    </row>
    <row r="188" spans="1:10" ht="13.5" customHeight="1">
      <c r="A188" s="17" t="s">
        <v>345</v>
      </c>
      <c r="B188" s="1"/>
      <c r="C188" s="1"/>
      <c r="D188" s="2">
        <v>5000</v>
      </c>
      <c r="E188" s="17" t="s">
        <v>35</v>
      </c>
      <c r="F188" s="1"/>
      <c r="G188" s="2" t="s">
        <v>25</v>
      </c>
      <c r="H188" s="18" t="s">
        <v>415</v>
      </c>
      <c r="I188" s="6"/>
      <c r="J188" s="19"/>
    </row>
    <row r="189" spans="1:10" ht="13.5" customHeight="1">
      <c r="A189" s="17" t="s">
        <v>416</v>
      </c>
      <c r="B189" s="1"/>
      <c r="C189" s="1"/>
      <c r="D189" s="2" t="s">
        <v>25</v>
      </c>
      <c r="E189" s="17" t="s">
        <v>61</v>
      </c>
      <c r="F189" s="1"/>
      <c r="G189" s="2">
        <v>2000</v>
      </c>
      <c r="H189" s="18" t="s">
        <v>417</v>
      </c>
      <c r="I189" s="6"/>
      <c r="J189" s="40"/>
    </row>
    <row r="190" spans="1:10" ht="13.5" customHeight="1">
      <c r="A190" s="17" t="s">
        <v>136</v>
      </c>
      <c r="B190" s="1"/>
      <c r="C190" s="1"/>
      <c r="D190" s="2" t="s">
        <v>25</v>
      </c>
      <c r="E190" s="17" t="s">
        <v>39</v>
      </c>
      <c r="F190" s="1"/>
      <c r="G190" s="2">
        <v>100</v>
      </c>
      <c r="H190" s="18" t="s">
        <v>410</v>
      </c>
      <c r="I190" s="6"/>
      <c r="J190" s="19"/>
    </row>
    <row r="191" spans="1:10" ht="13.5" customHeight="1">
      <c r="A191" s="176" t="s">
        <v>30</v>
      </c>
      <c r="B191" s="6"/>
      <c r="C191" s="6"/>
      <c r="D191" s="2">
        <v>5000</v>
      </c>
      <c r="E191" s="17" t="s">
        <v>41</v>
      </c>
      <c r="F191" s="1"/>
      <c r="G191" s="2" t="s">
        <v>25</v>
      </c>
      <c r="H191" s="18"/>
      <c r="I191" s="6"/>
      <c r="J191" s="19"/>
    </row>
    <row r="192" spans="1:10" ht="13.5" customHeight="1">
      <c r="A192" s="204" t="s">
        <v>63</v>
      </c>
      <c r="B192" s="205"/>
      <c r="C192" s="206"/>
      <c r="D192" s="229">
        <f>SUM(D185:D191)</f>
        <v>52518</v>
      </c>
      <c r="E192" s="1" t="s">
        <v>43</v>
      </c>
      <c r="F192" s="1"/>
      <c r="G192" s="2" t="s">
        <v>25</v>
      </c>
      <c r="H192" s="18"/>
      <c r="I192" s="6"/>
      <c r="J192" s="19"/>
    </row>
    <row r="193" spans="1:10" ht="13.5" customHeight="1">
      <c r="A193" s="207"/>
      <c r="B193" s="197"/>
      <c r="C193" s="208"/>
      <c r="D193" s="230"/>
      <c r="E193" s="21" t="s">
        <v>21</v>
      </c>
      <c r="F193" s="22"/>
      <c r="G193" s="13">
        <f>SUM(G185:G192)</f>
        <v>2100</v>
      </c>
      <c r="H193" s="21" t="s">
        <v>44</v>
      </c>
      <c r="I193" s="22"/>
      <c r="J193" s="13">
        <f>D192-G193</f>
        <v>50418</v>
      </c>
    </row>
    <row r="194" spans="1:10" ht="13.5" customHeight="1">
      <c r="A194" s="3" t="s">
        <v>45</v>
      </c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3.5" customHeight="1">
      <c r="A196" s="3"/>
      <c r="B196" s="3" t="s">
        <v>47</v>
      </c>
      <c r="C196" s="3"/>
      <c r="D196" s="3"/>
      <c r="E196" s="3" t="s">
        <v>48</v>
      </c>
      <c r="F196" s="3"/>
      <c r="G196" s="3"/>
      <c r="H196" s="3" t="s">
        <v>49</v>
      </c>
      <c r="I196" s="3"/>
      <c r="J196" s="3"/>
    </row>
    <row r="197" spans="1:10" ht="13.5" customHeight="1">
      <c r="A197" s="184" t="s">
        <v>0</v>
      </c>
      <c r="B197" s="185"/>
      <c r="C197" s="185"/>
      <c r="D197" s="185"/>
      <c r="E197" s="185"/>
      <c r="F197" s="185"/>
      <c r="G197" s="185"/>
      <c r="H197" s="185"/>
      <c r="I197" s="185"/>
      <c r="J197" s="186"/>
    </row>
    <row r="198" spans="1:10" ht="13.5" customHeight="1">
      <c r="A198" s="187" t="s">
        <v>1</v>
      </c>
      <c r="B198" s="188"/>
      <c r="C198" s="188"/>
      <c r="D198" s="188"/>
      <c r="E198" s="188"/>
      <c r="F198" s="188"/>
      <c r="G198" s="188"/>
      <c r="H198" s="188"/>
      <c r="I198" s="188"/>
      <c r="J198" s="189"/>
    </row>
    <row r="199" spans="1:10" ht="13.5" customHeight="1">
      <c r="A199" s="1" t="s">
        <v>2</v>
      </c>
      <c r="B199" s="1"/>
      <c r="C199" s="190" t="s">
        <v>418</v>
      </c>
      <c r="D199" s="190"/>
      <c r="E199" s="2"/>
      <c r="F199" s="3"/>
      <c r="G199" s="1" t="s">
        <v>4</v>
      </c>
      <c r="H199" s="191" t="s">
        <v>191</v>
      </c>
      <c r="I199" s="191"/>
      <c r="J199" s="191"/>
    </row>
    <row r="200" spans="1:10" ht="13.5" customHeight="1">
      <c r="A200" s="1" t="s">
        <v>6</v>
      </c>
      <c r="B200" s="1"/>
      <c r="C200" s="192" t="s">
        <v>419</v>
      </c>
      <c r="D200" s="192"/>
      <c r="E200" s="2"/>
      <c r="F200" s="3"/>
      <c r="G200" s="1" t="s">
        <v>8</v>
      </c>
      <c r="H200" s="193" t="s">
        <v>9</v>
      </c>
      <c r="I200" s="193"/>
      <c r="J200" s="193"/>
    </row>
    <row r="201" spans="1:10" ht="13.5" customHeight="1">
      <c r="A201" s="6" t="s">
        <v>10</v>
      </c>
      <c r="B201" s="6"/>
      <c r="C201" s="194" t="s">
        <v>369</v>
      </c>
      <c r="D201" s="194"/>
      <c r="E201" s="2"/>
      <c r="F201" s="3"/>
      <c r="G201" s="1" t="s">
        <v>12</v>
      </c>
      <c r="H201" s="195" t="s">
        <v>13</v>
      </c>
      <c r="I201" s="195"/>
      <c r="J201" s="195"/>
    </row>
    <row r="202" spans="1:10" ht="13.5" customHeight="1">
      <c r="A202" s="2" t="s">
        <v>14</v>
      </c>
      <c r="B202" s="2"/>
      <c r="C202" s="2" t="s">
        <v>15</v>
      </c>
      <c r="D202" s="2"/>
      <c r="E202" s="2"/>
      <c r="F202" s="3"/>
      <c r="G202" s="1" t="s">
        <v>16</v>
      </c>
      <c r="H202" s="196" t="s">
        <v>55</v>
      </c>
      <c r="I202" s="196"/>
      <c r="J202" s="196"/>
    </row>
    <row r="203" spans="1:10" ht="13.5" customHeight="1">
      <c r="A203" s="2">
        <v>30</v>
      </c>
      <c r="B203" s="2"/>
      <c r="C203" s="2">
        <f>A203-H203</f>
        <v>8</v>
      </c>
      <c r="D203" s="2"/>
      <c r="E203" s="2"/>
      <c r="F203" s="3"/>
      <c r="G203" s="8" t="s">
        <v>18</v>
      </c>
      <c r="H203" s="197">
        <v>22</v>
      </c>
      <c r="I203" s="197"/>
      <c r="J203" s="197"/>
    </row>
    <row r="204" spans="1:10" ht="13.5" customHeight="1">
      <c r="A204" s="198" t="s">
        <v>19</v>
      </c>
      <c r="B204" s="199"/>
      <c r="C204" s="200"/>
      <c r="D204" s="13" t="s">
        <v>20</v>
      </c>
      <c r="E204" s="14" t="s">
        <v>21</v>
      </c>
      <c r="F204" s="15"/>
      <c r="G204" s="16" t="s">
        <v>20</v>
      </c>
      <c r="H204" s="201" t="s">
        <v>22</v>
      </c>
      <c r="I204" s="202"/>
      <c r="J204" s="203"/>
    </row>
    <row r="205" spans="1:10" ht="13.5" customHeight="1">
      <c r="A205" s="17" t="s">
        <v>23</v>
      </c>
      <c r="B205" s="1"/>
      <c r="C205" s="1"/>
      <c r="D205" s="2">
        <v>30000</v>
      </c>
      <c r="E205" s="17" t="s">
        <v>24</v>
      </c>
      <c r="F205" s="1"/>
      <c r="G205" s="2" t="s">
        <v>25</v>
      </c>
      <c r="H205" s="18" t="s">
        <v>26</v>
      </c>
      <c r="I205" s="23"/>
      <c r="J205" s="24"/>
    </row>
    <row r="206" spans="1:10" ht="13.5" customHeight="1">
      <c r="A206" s="17" t="s">
        <v>57</v>
      </c>
      <c r="B206" s="209"/>
      <c r="C206" s="209"/>
      <c r="D206" s="2" t="s">
        <v>25</v>
      </c>
      <c r="E206" s="17" t="s">
        <v>420</v>
      </c>
      <c r="F206" s="1"/>
      <c r="G206" s="2" t="s">
        <v>25</v>
      </c>
      <c r="H206" s="18" t="s">
        <v>29</v>
      </c>
      <c r="I206" s="23"/>
      <c r="J206" s="24"/>
    </row>
    <row r="207" spans="1:10" ht="13.5" customHeight="1">
      <c r="A207" s="17" t="s">
        <v>30</v>
      </c>
      <c r="B207" s="1"/>
      <c r="C207" s="1"/>
      <c r="D207" s="2">
        <v>5100</v>
      </c>
      <c r="E207" s="17" t="s">
        <v>421</v>
      </c>
      <c r="F207" s="1"/>
      <c r="G207" s="2" t="s">
        <v>25</v>
      </c>
      <c r="H207" s="18" t="s">
        <v>32</v>
      </c>
      <c r="I207" s="23"/>
      <c r="J207" s="24"/>
    </row>
    <row r="208" spans="1:10" ht="13.5" customHeight="1">
      <c r="A208" s="17" t="s">
        <v>34</v>
      </c>
      <c r="B208" s="1"/>
      <c r="C208" s="1"/>
      <c r="D208" s="2" t="s">
        <v>25</v>
      </c>
      <c r="E208" s="17" t="s">
        <v>71</v>
      </c>
      <c r="F208" s="1"/>
      <c r="G208" s="2">
        <v>8000</v>
      </c>
      <c r="H208" s="42"/>
      <c r="I208" s="36"/>
      <c r="J208" s="19"/>
    </row>
    <row r="209" spans="1:10" ht="13.5" customHeight="1">
      <c r="A209" s="17" t="s">
        <v>345</v>
      </c>
      <c r="B209" s="1"/>
      <c r="C209" s="1"/>
      <c r="D209" s="2">
        <v>5000</v>
      </c>
      <c r="E209" s="17" t="s">
        <v>37</v>
      </c>
      <c r="F209" s="1"/>
      <c r="G209" s="2" t="s">
        <v>25</v>
      </c>
      <c r="H209" s="42"/>
      <c r="I209" s="36"/>
      <c r="J209" s="43"/>
    </row>
    <row r="210" spans="1:10" ht="13.5" customHeight="1">
      <c r="A210" s="17" t="s">
        <v>136</v>
      </c>
      <c r="B210" s="1"/>
      <c r="C210" s="1"/>
      <c r="D210" s="2" t="s">
        <v>25</v>
      </c>
      <c r="E210" s="17" t="s">
        <v>39</v>
      </c>
      <c r="F210" s="1"/>
      <c r="G210" s="2">
        <v>100</v>
      </c>
      <c r="H210" s="42"/>
      <c r="J210" s="43"/>
    </row>
    <row r="211" spans="1:10" ht="13.5" customHeight="1">
      <c r="A211" s="18" t="s">
        <v>40</v>
      </c>
      <c r="B211" s="6"/>
      <c r="C211" s="6"/>
      <c r="D211" s="2" t="s">
        <v>25</v>
      </c>
      <c r="E211" s="17" t="s">
        <v>62</v>
      </c>
      <c r="F211" s="1"/>
      <c r="G211" s="2" t="s">
        <v>25</v>
      </c>
      <c r="H211" s="42"/>
      <c r="I211" s="36"/>
      <c r="J211" s="43"/>
    </row>
    <row r="212" spans="1:10" ht="13.5" customHeight="1">
      <c r="A212" s="204" t="s">
        <v>63</v>
      </c>
      <c r="B212" s="205"/>
      <c r="C212" s="206"/>
      <c r="D212" s="229">
        <f>SUM(D205:D211)</f>
        <v>40100</v>
      </c>
      <c r="E212" s="1" t="s">
        <v>43</v>
      </c>
      <c r="F212" s="1"/>
      <c r="G212" s="2" t="s">
        <v>25</v>
      </c>
      <c r="H212" s="18"/>
      <c r="I212" s="6"/>
      <c r="J212" s="19"/>
    </row>
    <row r="213" spans="1:10" ht="13.5" customHeight="1">
      <c r="A213" s="207"/>
      <c r="B213" s="197"/>
      <c r="C213" s="208"/>
      <c r="D213" s="230"/>
      <c r="E213" s="21" t="s">
        <v>21</v>
      </c>
      <c r="F213" s="22"/>
      <c r="G213" s="13">
        <f>SUM(G205:G212)</f>
        <v>8100</v>
      </c>
      <c r="H213" s="21" t="s">
        <v>44</v>
      </c>
      <c r="I213" s="22"/>
      <c r="J213" s="13">
        <f>D212-G213</f>
        <v>32000</v>
      </c>
    </row>
    <row r="214" spans="1:10" ht="13.5" customHeight="1">
      <c r="A214" s="3" t="s">
        <v>45</v>
      </c>
      <c r="B214" s="3"/>
      <c r="C214" s="3"/>
      <c r="D214" s="3"/>
      <c r="E214" s="3"/>
      <c r="F214" s="3"/>
      <c r="G214" s="2"/>
      <c r="H214" s="1"/>
      <c r="I214" s="1"/>
      <c r="J214" s="2"/>
    </row>
    <row r="215" spans="1:10" ht="13.5" customHeight="1">
      <c r="A215" s="3"/>
      <c r="B215" s="3"/>
      <c r="C215" s="3"/>
      <c r="D215" s="3"/>
      <c r="E215" s="3"/>
      <c r="F215" s="3"/>
      <c r="G215" s="2"/>
      <c r="H215" s="1"/>
      <c r="I215" s="1"/>
      <c r="J215" s="2"/>
    </row>
    <row r="216" spans="1:10" ht="13.5" customHeight="1">
      <c r="A216" s="3"/>
      <c r="B216" s="3" t="s">
        <v>47</v>
      </c>
      <c r="C216" s="3"/>
      <c r="D216" s="3"/>
      <c r="E216" s="3" t="s">
        <v>48</v>
      </c>
      <c r="F216" s="3"/>
      <c r="G216" s="3"/>
      <c r="H216" s="3" t="s">
        <v>49</v>
      </c>
      <c r="I216" s="3"/>
      <c r="J216" s="2"/>
    </row>
    <row r="217" spans="1:10" ht="13.5" customHeight="1">
      <c r="A217" s="184" t="s">
        <v>0</v>
      </c>
      <c r="B217" s="185"/>
      <c r="C217" s="185"/>
      <c r="D217" s="185"/>
      <c r="E217" s="185"/>
      <c r="F217" s="185"/>
      <c r="G217" s="185"/>
      <c r="H217" s="185"/>
      <c r="I217" s="185"/>
      <c r="J217" s="186"/>
    </row>
    <row r="218" spans="1:10" ht="13.5" customHeight="1">
      <c r="A218" s="187" t="s">
        <v>1</v>
      </c>
      <c r="B218" s="188"/>
      <c r="C218" s="188"/>
      <c r="D218" s="188"/>
      <c r="E218" s="188"/>
      <c r="F218" s="188"/>
      <c r="G218" s="188"/>
      <c r="H218" s="188"/>
      <c r="I218" s="188"/>
      <c r="J218" s="189"/>
    </row>
    <row r="219" spans="1:10" ht="13.5" customHeight="1">
      <c r="A219" s="1" t="s">
        <v>2</v>
      </c>
      <c r="B219" s="1"/>
      <c r="C219" s="191" t="s">
        <v>422</v>
      </c>
      <c r="D219" s="191"/>
      <c r="E219" s="2"/>
      <c r="F219" s="3"/>
      <c r="G219" s="1" t="s">
        <v>4</v>
      </c>
      <c r="H219" s="191" t="s">
        <v>205</v>
      </c>
      <c r="I219" s="191"/>
      <c r="J219" s="191"/>
    </row>
    <row r="220" spans="1:10" ht="13.5" customHeight="1">
      <c r="A220" s="1" t="s">
        <v>6</v>
      </c>
      <c r="B220" s="1"/>
      <c r="C220" s="196" t="s">
        <v>423</v>
      </c>
      <c r="D220" s="196"/>
      <c r="E220" s="7"/>
      <c r="F220" s="3"/>
      <c r="G220" s="1" t="s">
        <v>8</v>
      </c>
      <c r="H220" s="193" t="s">
        <v>9</v>
      </c>
      <c r="I220" s="193"/>
      <c r="J220" s="193"/>
    </row>
    <row r="221" spans="1:10" ht="13.5" customHeight="1">
      <c r="A221" s="6" t="s">
        <v>10</v>
      </c>
      <c r="B221" s="6"/>
      <c r="C221" s="278" t="s">
        <v>369</v>
      </c>
      <c r="D221" s="278"/>
      <c r="E221" s="2"/>
      <c r="F221" s="3"/>
      <c r="G221" s="1" t="s">
        <v>12</v>
      </c>
      <c r="H221" s="195" t="s">
        <v>13</v>
      </c>
      <c r="I221" s="195"/>
      <c r="J221" s="195"/>
    </row>
    <row r="222" spans="1:10" ht="13.5" customHeight="1">
      <c r="A222" s="6" t="s">
        <v>14</v>
      </c>
      <c r="B222" s="6"/>
      <c r="C222" s="2" t="s">
        <v>15</v>
      </c>
      <c r="D222" s="2"/>
      <c r="E222" s="2"/>
      <c r="F222" s="3"/>
      <c r="G222" s="1" t="s">
        <v>16</v>
      </c>
      <c r="H222" s="196" t="s">
        <v>55</v>
      </c>
      <c r="I222" s="196"/>
      <c r="J222" s="196"/>
    </row>
    <row r="223" spans="1:10" ht="13.5" customHeight="1">
      <c r="A223" s="6">
        <v>30</v>
      </c>
      <c r="B223" s="6"/>
      <c r="C223" s="2">
        <f>A223-I223</f>
        <v>0</v>
      </c>
      <c r="D223" s="2"/>
      <c r="E223" s="2"/>
      <c r="F223" s="3"/>
      <c r="G223" s="8" t="s">
        <v>18</v>
      </c>
      <c r="H223" s="8"/>
      <c r="I223" s="9">
        <v>30</v>
      </c>
      <c r="J223" s="9"/>
    </row>
    <row r="224" spans="1:10" ht="13.5" customHeight="1">
      <c r="A224" s="198" t="s">
        <v>19</v>
      </c>
      <c r="B224" s="199"/>
      <c r="C224" s="200"/>
      <c r="D224" s="13" t="s">
        <v>20</v>
      </c>
      <c r="E224" s="14" t="s">
        <v>21</v>
      </c>
      <c r="F224" s="15"/>
      <c r="G224" s="16" t="s">
        <v>20</v>
      </c>
      <c r="H224" s="201" t="s">
        <v>22</v>
      </c>
      <c r="I224" s="202"/>
      <c r="J224" s="203"/>
    </row>
    <row r="225" spans="1:10" ht="13.5" customHeight="1">
      <c r="A225" s="17" t="s">
        <v>23</v>
      </c>
      <c r="B225" s="1"/>
      <c r="C225" s="1"/>
      <c r="D225" s="56">
        <v>22000</v>
      </c>
      <c r="E225" s="17" t="s">
        <v>24</v>
      </c>
      <c r="F225" s="1"/>
      <c r="G225" s="2" t="s">
        <v>25</v>
      </c>
      <c r="H225" s="18" t="s">
        <v>26</v>
      </c>
      <c r="I225" s="23"/>
      <c r="J225" s="24"/>
    </row>
    <row r="226" spans="1:10" ht="13.5" customHeight="1">
      <c r="A226" s="17" t="s">
        <v>77</v>
      </c>
      <c r="B226" s="228" t="s">
        <v>320</v>
      </c>
      <c r="C226" s="228"/>
      <c r="D226" s="2">
        <v>1467</v>
      </c>
      <c r="E226" s="17" t="s">
        <v>28</v>
      </c>
      <c r="F226" s="1"/>
      <c r="G226" s="2" t="s">
        <v>25</v>
      </c>
      <c r="H226" s="18" t="s">
        <v>29</v>
      </c>
      <c r="I226" s="23"/>
      <c r="J226" s="24"/>
    </row>
    <row r="227" spans="1:10" ht="13.5" customHeight="1">
      <c r="A227" s="17" t="s">
        <v>30</v>
      </c>
      <c r="B227" s="1"/>
      <c r="C227" s="1"/>
      <c r="D227" s="2" t="s">
        <v>25</v>
      </c>
      <c r="E227" s="17" t="s">
        <v>58</v>
      </c>
      <c r="F227" s="1"/>
      <c r="G227" s="2" t="s">
        <v>25</v>
      </c>
      <c r="H227" s="18" t="s">
        <v>32</v>
      </c>
      <c r="I227" s="23"/>
      <c r="J227" s="24"/>
    </row>
    <row r="228" spans="1:10" ht="13.5" customHeight="1">
      <c r="A228" s="17" t="s">
        <v>345</v>
      </c>
      <c r="B228" s="1"/>
      <c r="C228" s="1"/>
      <c r="D228" s="2">
        <v>5000</v>
      </c>
      <c r="E228" s="17" t="s">
        <v>71</v>
      </c>
      <c r="F228" s="1"/>
      <c r="G228" s="2" t="s">
        <v>25</v>
      </c>
      <c r="H228" s="18"/>
      <c r="I228" s="6"/>
      <c r="J228" s="19"/>
    </row>
    <row r="229" spans="1:10" ht="13.5" customHeight="1">
      <c r="A229" s="17" t="s">
        <v>60</v>
      </c>
      <c r="B229" s="1"/>
      <c r="C229" s="1"/>
      <c r="D229" s="2">
        <v>3500</v>
      </c>
      <c r="E229" s="17" t="s">
        <v>61</v>
      </c>
      <c r="F229" s="1"/>
      <c r="G229" s="2">
        <v>200</v>
      </c>
      <c r="H229" s="18" t="s">
        <v>104</v>
      </c>
      <c r="I229" s="6"/>
      <c r="J229" s="26"/>
    </row>
    <row r="230" spans="1:10" ht="13.5" customHeight="1">
      <c r="A230" s="17" t="s">
        <v>136</v>
      </c>
      <c r="B230" s="1"/>
      <c r="C230" s="1"/>
      <c r="D230" s="2" t="s">
        <v>25</v>
      </c>
      <c r="E230" s="17" t="s">
        <v>39</v>
      </c>
      <c r="F230" s="1"/>
      <c r="G230" s="2">
        <v>100</v>
      </c>
      <c r="H230" s="18" t="s">
        <v>424</v>
      </c>
      <c r="I230" s="6"/>
      <c r="J230" s="26"/>
    </row>
    <row r="231" spans="1:10" ht="13.5" customHeight="1">
      <c r="A231" s="18" t="s">
        <v>40</v>
      </c>
      <c r="B231" s="6"/>
      <c r="C231" s="6"/>
      <c r="D231" s="2" t="s">
        <v>25</v>
      </c>
      <c r="E231" s="17" t="s">
        <v>78</v>
      </c>
      <c r="F231" s="1"/>
      <c r="G231" s="2" t="s">
        <v>25</v>
      </c>
      <c r="H231" s="18"/>
      <c r="I231" s="6"/>
      <c r="J231" s="26"/>
    </row>
    <row r="232" spans="1:10" ht="13.5" customHeight="1">
      <c r="A232" s="204" t="s">
        <v>63</v>
      </c>
      <c r="B232" s="205"/>
      <c r="C232" s="206"/>
      <c r="D232" s="229">
        <f>SUM(D225:D231)</f>
        <v>31967</v>
      </c>
      <c r="E232" s="1" t="s">
        <v>43</v>
      </c>
      <c r="F232" s="1"/>
      <c r="G232" s="2" t="s">
        <v>25</v>
      </c>
      <c r="H232" s="18"/>
      <c r="I232" s="6"/>
      <c r="J232" s="19"/>
    </row>
    <row r="233" spans="1:10" ht="13.5" customHeight="1">
      <c r="A233" s="207"/>
      <c r="B233" s="197"/>
      <c r="C233" s="208"/>
      <c r="D233" s="230"/>
      <c r="E233" s="21" t="s">
        <v>21</v>
      </c>
      <c r="F233" s="22"/>
      <c r="G233" s="13">
        <f>SUM(G225:G232)</f>
        <v>300</v>
      </c>
      <c r="H233" s="21" t="s">
        <v>44</v>
      </c>
      <c r="I233" s="22"/>
      <c r="J233" s="13">
        <f>D232-G233</f>
        <v>31667</v>
      </c>
    </row>
    <row r="234" spans="1:10" ht="13.5" customHeight="1">
      <c r="A234" s="3" t="s">
        <v>45</v>
      </c>
      <c r="B234" s="3"/>
      <c r="C234" s="3"/>
      <c r="D234" s="3"/>
      <c r="E234" s="3"/>
      <c r="F234" s="3"/>
      <c r="G234" s="3"/>
      <c r="H234" s="3"/>
      <c r="I234" s="3"/>
      <c r="J234" s="92"/>
    </row>
    <row r="235" spans="1:10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92"/>
    </row>
    <row r="236" spans="1:10" ht="13.5" customHeight="1">
      <c r="A236" s="3"/>
      <c r="B236" s="3" t="s">
        <v>47</v>
      </c>
      <c r="C236" s="3"/>
      <c r="D236" s="3"/>
      <c r="E236" s="3" t="s">
        <v>48</v>
      </c>
      <c r="F236" s="3"/>
      <c r="G236" s="3"/>
      <c r="H236" s="3" t="s">
        <v>49</v>
      </c>
      <c r="I236" s="3"/>
      <c r="J236" s="92"/>
    </row>
    <row r="237" spans="1:10" ht="13.5" customHeight="1">
      <c r="A237" s="184" t="s">
        <v>0</v>
      </c>
      <c r="B237" s="185"/>
      <c r="C237" s="185"/>
      <c r="D237" s="185"/>
      <c r="E237" s="185"/>
      <c r="F237" s="185"/>
      <c r="G237" s="185"/>
      <c r="H237" s="185"/>
      <c r="I237" s="185"/>
      <c r="J237" s="186"/>
    </row>
    <row r="238" spans="1:10" ht="13.5" customHeight="1">
      <c r="A238" s="187" t="s">
        <v>1</v>
      </c>
      <c r="B238" s="188"/>
      <c r="C238" s="188"/>
      <c r="D238" s="188"/>
      <c r="E238" s="188"/>
      <c r="F238" s="188"/>
      <c r="G238" s="188"/>
      <c r="H238" s="188"/>
      <c r="I238" s="188"/>
      <c r="J238" s="189"/>
    </row>
    <row r="239" spans="1:10" ht="13.5" customHeight="1">
      <c r="A239" s="1" t="s">
        <v>2</v>
      </c>
      <c r="B239" s="1"/>
      <c r="C239" s="209" t="s">
        <v>422</v>
      </c>
      <c r="D239" s="209"/>
      <c r="E239" s="2"/>
      <c r="F239" s="3"/>
      <c r="G239" s="1" t="s">
        <v>4</v>
      </c>
      <c r="H239" s="191" t="s">
        <v>205</v>
      </c>
      <c r="I239" s="191"/>
      <c r="J239" s="191"/>
    </row>
    <row r="240" spans="1:10" ht="13.5" customHeight="1">
      <c r="A240" s="1" t="s">
        <v>6</v>
      </c>
      <c r="B240" s="1"/>
      <c r="C240" s="196" t="s">
        <v>425</v>
      </c>
      <c r="D240" s="196"/>
      <c r="E240" s="7"/>
      <c r="F240" s="3"/>
      <c r="G240" s="1" t="s">
        <v>8</v>
      </c>
      <c r="H240" s="193" t="s">
        <v>9</v>
      </c>
      <c r="I240" s="193"/>
      <c r="J240" s="193"/>
    </row>
    <row r="241" spans="1:10" ht="13.5" customHeight="1">
      <c r="A241" s="6" t="s">
        <v>10</v>
      </c>
      <c r="B241" s="6"/>
      <c r="C241" s="278" t="s">
        <v>369</v>
      </c>
      <c r="D241" s="209"/>
      <c r="E241" s="2"/>
      <c r="F241" s="3"/>
      <c r="G241" s="1" t="s">
        <v>12</v>
      </c>
      <c r="H241" s="195" t="s">
        <v>13</v>
      </c>
      <c r="I241" s="195"/>
      <c r="J241" s="195"/>
    </row>
    <row r="242" spans="1:10" ht="13.5" customHeight="1">
      <c r="A242" s="6" t="s">
        <v>14</v>
      </c>
      <c r="B242" s="6"/>
      <c r="C242" s="2" t="s">
        <v>15</v>
      </c>
      <c r="D242" s="2"/>
      <c r="E242" s="2"/>
      <c r="F242" s="3"/>
      <c r="G242" s="1" t="s">
        <v>16</v>
      </c>
      <c r="H242" s="196" t="s">
        <v>55</v>
      </c>
      <c r="I242" s="196"/>
      <c r="J242" s="196"/>
    </row>
    <row r="243" spans="1:10" ht="13.5" customHeight="1">
      <c r="A243" s="6">
        <v>30</v>
      </c>
      <c r="B243" s="6"/>
      <c r="C243" s="2">
        <f>A243-I243</f>
        <v>0</v>
      </c>
      <c r="D243" s="2"/>
      <c r="E243" s="2"/>
      <c r="F243" s="3"/>
      <c r="G243" s="8" t="s">
        <v>18</v>
      </c>
      <c r="H243" s="8"/>
      <c r="I243" s="9">
        <v>30</v>
      </c>
      <c r="J243" s="9"/>
    </row>
    <row r="244" spans="1:10" ht="13.5" customHeight="1">
      <c r="A244" s="198" t="s">
        <v>19</v>
      </c>
      <c r="B244" s="199"/>
      <c r="C244" s="200"/>
      <c r="D244" s="13" t="s">
        <v>20</v>
      </c>
      <c r="E244" s="14" t="s">
        <v>21</v>
      </c>
      <c r="F244" s="15"/>
      <c r="G244" s="16" t="s">
        <v>20</v>
      </c>
      <c r="H244" s="201" t="s">
        <v>22</v>
      </c>
      <c r="I244" s="202"/>
      <c r="J244" s="203"/>
    </row>
    <row r="245" spans="1:10" ht="13.5" customHeight="1">
      <c r="A245" s="17" t="s">
        <v>23</v>
      </c>
      <c r="B245" s="1"/>
      <c r="C245" s="1"/>
      <c r="D245" s="56">
        <v>20000</v>
      </c>
      <c r="E245" s="17" t="s">
        <v>24</v>
      </c>
      <c r="F245" s="1"/>
      <c r="G245" s="2" t="s">
        <v>25</v>
      </c>
      <c r="H245" s="18" t="s">
        <v>26</v>
      </c>
      <c r="I245" s="23"/>
      <c r="J245" s="24"/>
    </row>
    <row r="246" spans="1:10" ht="13.5" customHeight="1">
      <c r="A246" s="17" t="s">
        <v>77</v>
      </c>
      <c r="B246" s="228" t="s">
        <v>320</v>
      </c>
      <c r="C246" s="228"/>
      <c r="D246" s="2">
        <v>1333</v>
      </c>
      <c r="E246" s="17" t="s">
        <v>28</v>
      </c>
      <c r="F246" s="1"/>
      <c r="G246" s="2" t="s">
        <v>25</v>
      </c>
      <c r="H246" s="18" t="s">
        <v>29</v>
      </c>
      <c r="I246" s="23"/>
      <c r="J246" s="24"/>
    </row>
    <row r="247" spans="1:10" ht="13.5" customHeight="1">
      <c r="A247" s="17" t="s">
        <v>30</v>
      </c>
      <c r="B247" s="1"/>
      <c r="C247" s="1"/>
      <c r="D247" s="2" t="s">
        <v>25</v>
      </c>
      <c r="E247" s="17" t="s">
        <v>58</v>
      </c>
      <c r="F247" s="1"/>
      <c r="G247" s="2" t="s">
        <v>25</v>
      </c>
      <c r="H247" s="18" t="s">
        <v>32</v>
      </c>
      <c r="I247" s="23"/>
      <c r="J247" s="24"/>
    </row>
    <row r="248" spans="1:10" ht="13.5" customHeight="1">
      <c r="A248" s="17" t="s">
        <v>345</v>
      </c>
      <c r="B248" s="1"/>
      <c r="C248" s="1"/>
      <c r="D248" s="2">
        <v>5000</v>
      </c>
      <c r="E248" s="17" t="s">
        <v>71</v>
      </c>
      <c r="F248" s="1"/>
      <c r="G248" s="2" t="s">
        <v>25</v>
      </c>
      <c r="H248" s="18"/>
      <c r="I248" s="6"/>
      <c r="J248" s="19"/>
    </row>
    <row r="249" spans="1:10" ht="13.5" customHeight="1">
      <c r="A249" s="17" t="s">
        <v>426</v>
      </c>
      <c r="B249" s="1"/>
      <c r="C249" s="1"/>
      <c r="D249" s="2" t="s">
        <v>25</v>
      </c>
      <c r="E249" s="17" t="s">
        <v>61</v>
      </c>
      <c r="F249" s="1"/>
      <c r="G249" s="2" t="s">
        <v>25</v>
      </c>
      <c r="H249" s="18" t="s">
        <v>104</v>
      </c>
      <c r="I249" s="6"/>
      <c r="J249" s="26"/>
    </row>
    <row r="250" spans="1:10" ht="13.5" customHeight="1">
      <c r="A250" s="17" t="s">
        <v>136</v>
      </c>
      <c r="B250" s="1"/>
      <c r="C250" s="1"/>
      <c r="D250" s="2" t="s">
        <v>25</v>
      </c>
      <c r="E250" s="17" t="s">
        <v>39</v>
      </c>
      <c r="F250" s="1"/>
      <c r="G250" s="2">
        <v>100</v>
      </c>
      <c r="H250" s="18" t="s">
        <v>423</v>
      </c>
      <c r="I250" s="6"/>
      <c r="J250" s="26"/>
    </row>
    <row r="251" spans="1:10" ht="13.5" customHeight="1">
      <c r="A251" s="18" t="s">
        <v>40</v>
      </c>
      <c r="B251" s="6"/>
      <c r="C251" s="6"/>
      <c r="D251" s="2" t="s">
        <v>25</v>
      </c>
      <c r="E251" s="17" t="s">
        <v>78</v>
      </c>
      <c r="F251" s="1"/>
      <c r="G251" s="2" t="s">
        <v>25</v>
      </c>
      <c r="H251" s="18"/>
      <c r="I251" s="6"/>
      <c r="J251" s="26"/>
    </row>
    <row r="252" spans="1:10" ht="13.5" customHeight="1">
      <c r="A252" s="204" t="s">
        <v>63</v>
      </c>
      <c r="B252" s="205"/>
      <c r="C252" s="206"/>
      <c r="D252" s="229">
        <f>SUM(D245:D251)</f>
        <v>26333</v>
      </c>
      <c r="E252" s="1" t="s">
        <v>43</v>
      </c>
      <c r="F252" s="1"/>
      <c r="G252" s="2" t="s">
        <v>25</v>
      </c>
      <c r="H252" s="18"/>
      <c r="I252" s="6"/>
      <c r="J252" s="19"/>
    </row>
    <row r="253" spans="1:10" ht="13.5" customHeight="1">
      <c r="A253" s="207"/>
      <c r="B253" s="197"/>
      <c r="C253" s="208"/>
      <c r="D253" s="230"/>
      <c r="E253" s="21" t="s">
        <v>21</v>
      </c>
      <c r="F253" s="22"/>
      <c r="G253" s="13">
        <f>SUM(G245:G252)</f>
        <v>100</v>
      </c>
      <c r="H253" s="21" t="s">
        <v>44</v>
      </c>
      <c r="I253" s="22"/>
      <c r="J253" s="13">
        <f>D252-G253</f>
        <v>26233</v>
      </c>
    </row>
    <row r="254" spans="1:10" ht="13.5" customHeight="1">
      <c r="A254" s="3" t="s">
        <v>45</v>
      </c>
      <c r="B254" s="3"/>
      <c r="C254" s="3"/>
      <c r="D254" s="3"/>
      <c r="E254" s="3"/>
      <c r="F254" s="3"/>
      <c r="G254" s="3"/>
      <c r="H254" s="3"/>
      <c r="I254" s="3"/>
      <c r="J254" s="92"/>
    </row>
    <row r="255" spans="1:10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92"/>
    </row>
    <row r="256" spans="1:10" ht="13.5" customHeight="1">
      <c r="A256" s="3"/>
      <c r="B256" s="3" t="s">
        <v>47</v>
      </c>
      <c r="C256" s="3"/>
      <c r="D256" s="3"/>
      <c r="E256" s="3" t="s">
        <v>48</v>
      </c>
      <c r="F256" s="3"/>
      <c r="G256" s="3"/>
      <c r="H256" s="3" t="s">
        <v>49</v>
      </c>
      <c r="I256" s="3"/>
      <c r="J256" s="92"/>
    </row>
    <row r="257" spans="1:10" ht="13.5" customHeight="1">
      <c r="A257" s="184" t="s">
        <v>0</v>
      </c>
      <c r="B257" s="185"/>
      <c r="C257" s="185"/>
      <c r="D257" s="185"/>
      <c r="E257" s="185"/>
      <c r="F257" s="185"/>
      <c r="G257" s="185"/>
      <c r="H257" s="185"/>
      <c r="I257" s="185"/>
      <c r="J257" s="186"/>
    </row>
    <row r="258" spans="1:10" ht="13.5" customHeight="1">
      <c r="A258" s="187" t="s">
        <v>1</v>
      </c>
      <c r="B258" s="188"/>
      <c r="C258" s="188"/>
      <c r="D258" s="188"/>
      <c r="E258" s="188"/>
      <c r="F258" s="188"/>
      <c r="G258" s="188"/>
      <c r="H258" s="188"/>
      <c r="I258" s="188"/>
      <c r="J258" s="189"/>
    </row>
    <row r="259" spans="1:10" ht="13.5" customHeight="1">
      <c r="A259" s="1" t="s">
        <v>2</v>
      </c>
      <c r="B259" s="1"/>
      <c r="C259" s="209" t="s">
        <v>427</v>
      </c>
      <c r="D259" s="209"/>
      <c r="E259" s="2"/>
      <c r="F259" s="3"/>
      <c r="G259" s="1" t="s">
        <v>4</v>
      </c>
      <c r="H259" s="193" t="s">
        <v>211</v>
      </c>
      <c r="I259" s="193"/>
      <c r="J259" s="193"/>
    </row>
    <row r="260" spans="1:10" ht="13.5" customHeight="1">
      <c r="A260" s="1" t="s">
        <v>6</v>
      </c>
      <c r="B260" s="1"/>
      <c r="C260" s="196" t="s">
        <v>428</v>
      </c>
      <c r="D260" s="196"/>
      <c r="E260" s="2"/>
      <c r="F260" s="3"/>
      <c r="G260" s="1" t="s">
        <v>8</v>
      </c>
      <c r="H260" s="193" t="s">
        <v>9</v>
      </c>
      <c r="I260" s="193"/>
      <c r="J260" s="193"/>
    </row>
    <row r="261" spans="1:10" ht="13.5" customHeight="1">
      <c r="A261" s="6" t="s">
        <v>10</v>
      </c>
      <c r="B261" s="6"/>
      <c r="C261" s="209" t="s">
        <v>369</v>
      </c>
      <c r="D261" s="209"/>
      <c r="E261" s="2"/>
      <c r="F261" s="3"/>
      <c r="G261" s="1" t="s">
        <v>12</v>
      </c>
      <c r="H261" s="195" t="s">
        <v>13</v>
      </c>
      <c r="I261" s="195"/>
      <c r="J261" s="195"/>
    </row>
    <row r="262" spans="1:10" ht="13.5" customHeight="1">
      <c r="A262" s="6" t="s">
        <v>14</v>
      </c>
      <c r="B262" s="6"/>
      <c r="C262" s="2" t="s">
        <v>15</v>
      </c>
      <c r="D262" s="2"/>
      <c r="E262" s="36"/>
      <c r="F262" s="3"/>
      <c r="G262" s="1" t="s">
        <v>16</v>
      </c>
      <c r="H262" s="196" t="s">
        <v>429</v>
      </c>
      <c r="I262" s="196"/>
      <c r="J262" s="196"/>
    </row>
    <row r="263" spans="1:10" ht="13.5" customHeight="1">
      <c r="A263" s="6">
        <v>30</v>
      </c>
      <c r="B263" s="6"/>
      <c r="C263" s="2">
        <f>A263-I263</f>
        <v>0</v>
      </c>
      <c r="D263" s="2"/>
      <c r="E263" s="2"/>
      <c r="F263" s="3"/>
      <c r="G263" s="8" t="s">
        <v>18</v>
      </c>
      <c r="H263" s="8"/>
      <c r="I263" s="9">
        <v>30</v>
      </c>
      <c r="J263" s="9"/>
    </row>
    <row r="264" spans="1:10" ht="13.5" customHeight="1">
      <c r="A264" s="198" t="s">
        <v>19</v>
      </c>
      <c r="B264" s="199"/>
      <c r="C264" s="200"/>
      <c r="D264" s="13" t="s">
        <v>20</v>
      </c>
      <c r="E264" s="14" t="s">
        <v>21</v>
      </c>
      <c r="F264" s="15"/>
      <c r="G264" s="16" t="s">
        <v>20</v>
      </c>
      <c r="H264" s="201"/>
      <c r="I264" s="202"/>
      <c r="J264" s="203"/>
    </row>
    <row r="265" spans="1:10" ht="13.5" customHeight="1">
      <c r="A265" s="17" t="s">
        <v>23</v>
      </c>
      <c r="B265" s="1"/>
      <c r="C265" s="1"/>
      <c r="D265" s="2">
        <v>25000</v>
      </c>
      <c r="E265" s="17" t="s">
        <v>28</v>
      </c>
      <c r="F265" s="1"/>
      <c r="G265" s="2" t="s">
        <v>25</v>
      </c>
      <c r="H265" s="18" t="s">
        <v>26</v>
      </c>
      <c r="I265" s="23"/>
      <c r="J265" s="24"/>
    </row>
    <row r="266" spans="1:10" ht="13.5" customHeight="1">
      <c r="A266" s="17" t="s">
        <v>77</v>
      </c>
      <c r="B266" s="209" t="s">
        <v>430</v>
      </c>
      <c r="C266" s="209"/>
      <c r="D266" s="2">
        <v>9444</v>
      </c>
      <c r="E266" s="17" t="s">
        <v>141</v>
      </c>
      <c r="F266" s="1"/>
      <c r="G266" s="2">
        <v>800</v>
      </c>
      <c r="H266" s="18" t="s">
        <v>29</v>
      </c>
      <c r="I266" s="23"/>
      <c r="J266" s="24"/>
    </row>
    <row r="267" spans="1:10" ht="13.5" customHeight="1">
      <c r="A267" s="17" t="s">
        <v>30</v>
      </c>
      <c r="B267" s="1"/>
      <c r="C267" s="1"/>
      <c r="D267" s="2">
        <v>2000</v>
      </c>
      <c r="E267" s="17" t="s">
        <v>89</v>
      </c>
      <c r="F267" s="1"/>
      <c r="G267" s="2" t="s">
        <v>25</v>
      </c>
      <c r="H267" s="18" t="s">
        <v>32</v>
      </c>
      <c r="I267" s="23"/>
      <c r="J267" s="24"/>
    </row>
    <row r="268" spans="1:10" ht="13.5" customHeight="1">
      <c r="A268" s="17" t="s">
        <v>345</v>
      </c>
      <c r="B268" s="1"/>
      <c r="C268" s="1"/>
      <c r="D268" s="2" t="s">
        <v>25</v>
      </c>
      <c r="E268" s="17" t="s">
        <v>35</v>
      </c>
      <c r="F268" s="1"/>
      <c r="G268" s="2" t="s">
        <v>25</v>
      </c>
      <c r="H268" s="18"/>
      <c r="I268" s="6"/>
      <c r="J268" s="19"/>
    </row>
    <row r="269" spans="1:10" ht="13.5" customHeight="1">
      <c r="A269" s="17" t="s">
        <v>72</v>
      </c>
      <c r="B269" s="1"/>
      <c r="C269" s="1"/>
      <c r="D269" s="2" t="s">
        <v>25</v>
      </c>
      <c r="E269" s="17" t="s">
        <v>61</v>
      </c>
      <c r="F269" s="1"/>
      <c r="G269" s="2" t="s">
        <v>25</v>
      </c>
      <c r="H269" s="94" t="s">
        <v>431</v>
      </c>
      <c r="I269" s="6"/>
      <c r="J269" s="26"/>
    </row>
    <row r="270" spans="1:10" ht="13.5" customHeight="1">
      <c r="A270" s="17" t="s">
        <v>78</v>
      </c>
      <c r="B270" s="1"/>
      <c r="C270" s="1"/>
      <c r="D270" s="2" t="s">
        <v>25</v>
      </c>
      <c r="E270" s="17" t="s">
        <v>39</v>
      </c>
      <c r="F270" s="1"/>
      <c r="G270" s="2">
        <v>100</v>
      </c>
      <c r="H270" s="18" t="s">
        <v>432</v>
      </c>
      <c r="I270" s="6"/>
      <c r="J270" s="26"/>
    </row>
    <row r="271" spans="1:10" ht="13.5" customHeight="1">
      <c r="A271" s="18" t="s">
        <v>40</v>
      </c>
      <c r="B271" s="6"/>
      <c r="C271" s="6"/>
      <c r="D271" s="2" t="s">
        <v>25</v>
      </c>
      <c r="E271" s="17" t="s">
        <v>333</v>
      </c>
      <c r="F271" s="1"/>
      <c r="G271" s="2" t="s">
        <v>25</v>
      </c>
      <c r="H271" s="18"/>
      <c r="I271" s="6"/>
      <c r="J271" s="19"/>
    </row>
    <row r="272" spans="1:10" ht="13.5" customHeight="1">
      <c r="A272" s="204" t="s">
        <v>63</v>
      </c>
      <c r="B272" s="205"/>
      <c r="C272" s="206"/>
      <c r="D272" s="229">
        <f>SUM(D265:D271)</f>
        <v>36444</v>
      </c>
      <c r="E272" s="1" t="s">
        <v>78</v>
      </c>
      <c r="F272" s="1"/>
      <c r="G272" s="2" t="s">
        <v>25</v>
      </c>
      <c r="H272" s="18"/>
      <c r="I272" s="6"/>
      <c r="J272" s="19"/>
    </row>
    <row r="273" spans="1:10" ht="13.5" customHeight="1">
      <c r="A273" s="207"/>
      <c r="B273" s="197"/>
      <c r="C273" s="208"/>
      <c r="D273" s="230"/>
      <c r="E273" s="21" t="s">
        <v>21</v>
      </c>
      <c r="F273" s="22"/>
      <c r="G273" s="13">
        <f>SUM(G265:G272)</f>
        <v>900</v>
      </c>
      <c r="H273" s="21" t="s">
        <v>44</v>
      </c>
      <c r="I273" s="22"/>
      <c r="J273" s="13">
        <f>D272-G273</f>
        <v>35544</v>
      </c>
    </row>
    <row r="274" spans="1:10" ht="13.5" customHeight="1">
      <c r="A274" s="3" t="s">
        <v>45</v>
      </c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3.5" customHeight="1"/>
    <row r="276" spans="1:10" ht="13.5" customHeight="1">
      <c r="B276" s="3" t="s">
        <v>47</v>
      </c>
      <c r="C276" s="3"/>
      <c r="D276" s="3"/>
      <c r="E276" s="3" t="s">
        <v>48</v>
      </c>
      <c r="F276" s="3"/>
      <c r="G276" s="3"/>
      <c r="H276" s="3" t="s">
        <v>49</v>
      </c>
      <c r="I276" s="3"/>
      <c r="J276" s="3"/>
    </row>
    <row r="277" spans="1:10" ht="13.5" customHeight="1">
      <c r="A277" s="184" t="s">
        <v>0</v>
      </c>
      <c r="B277" s="185"/>
      <c r="C277" s="185"/>
      <c r="D277" s="185"/>
      <c r="E277" s="185"/>
      <c r="F277" s="185"/>
      <c r="G277" s="185"/>
      <c r="H277" s="185"/>
      <c r="I277" s="185"/>
      <c r="J277" s="186"/>
    </row>
    <row r="278" spans="1:10" ht="13.5" customHeight="1">
      <c r="A278" s="187" t="s">
        <v>1</v>
      </c>
      <c r="B278" s="188"/>
      <c r="C278" s="188"/>
      <c r="D278" s="188"/>
      <c r="E278" s="188"/>
      <c r="F278" s="188"/>
      <c r="G278" s="188"/>
      <c r="H278" s="188"/>
      <c r="I278" s="188"/>
      <c r="J278" s="189"/>
    </row>
    <row r="279" spans="1:10" ht="13.5" customHeight="1">
      <c r="A279" s="1" t="s">
        <v>2</v>
      </c>
      <c r="B279" s="1"/>
      <c r="C279" s="194" t="s">
        <v>433</v>
      </c>
      <c r="D279" s="194"/>
      <c r="E279" s="2"/>
      <c r="F279" s="3"/>
      <c r="G279" s="1" t="s">
        <v>4</v>
      </c>
      <c r="H279" s="191" t="s">
        <v>227</v>
      </c>
      <c r="I279" s="191"/>
      <c r="J279" s="191"/>
    </row>
    <row r="280" spans="1:10" ht="13.5" customHeight="1">
      <c r="A280" s="1" t="s">
        <v>6</v>
      </c>
      <c r="B280" s="1"/>
      <c r="C280" s="25" t="s">
        <v>434</v>
      </c>
      <c r="D280" s="25"/>
      <c r="E280" s="25"/>
      <c r="F280" s="3"/>
      <c r="G280" s="1" t="s">
        <v>8</v>
      </c>
      <c r="H280" s="193" t="s">
        <v>9</v>
      </c>
      <c r="I280" s="193"/>
      <c r="J280" s="193"/>
    </row>
    <row r="281" spans="1:10" ht="13.5" customHeight="1">
      <c r="A281" s="6" t="s">
        <v>10</v>
      </c>
      <c r="B281" s="6"/>
      <c r="C281" s="194" t="s">
        <v>369</v>
      </c>
      <c r="D281" s="194"/>
      <c r="E281" s="2"/>
      <c r="F281" s="3"/>
      <c r="G281" s="1" t="s">
        <v>12</v>
      </c>
      <c r="H281" s="195" t="s">
        <v>13</v>
      </c>
      <c r="I281" s="195"/>
      <c r="J281" s="195"/>
    </row>
    <row r="282" spans="1:10" ht="13.5" customHeight="1">
      <c r="A282" s="2" t="s">
        <v>14</v>
      </c>
      <c r="B282" s="2"/>
      <c r="C282" s="2" t="s">
        <v>15</v>
      </c>
      <c r="D282" s="2"/>
      <c r="E282" s="2"/>
      <c r="F282" s="3"/>
      <c r="G282" s="1" t="s">
        <v>16</v>
      </c>
      <c r="H282" s="196" t="s">
        <v>386</v>
      </c>
      <c r="I282" s="196"/>
      <c r="J282" s="196"/>
    </row>
    <row r="283" spans="1:10" ht="13.5" customHeight="1">
      <c r="A283" s="2">
        <v>30</v>
      </c>
      <c r="B283" s="2"/>
      <c r="C283" s="2">
        <f>A283-H283</f>
        <v>0</v>
      </c>
      <c r="D283" s="2"/>
      <c r="E283" s="2"/>
      <c r="F283" s="3"/>
      <c r="G283" s="8" t="s">
        <v>18</v>
      </c>
      <c r="H283" s="282">
        <v>30</v>
      </c>
      <c r="I283" s="282"/>
      <c r="J283" s="282"/>
    </row>
    <row r="284" spans="1:10" ht="13.5" customHeight="1">
      <c r="A284" s="198" t="s">
        <v>19</v>
      </c>
      <c r="B284" s="199"/>
      <c r="C284" s="200"/>
      <c r="D284" s="13" t="s">
        <v>20</v>
      </c>
      <c r="E284" s="14" t="s">
        <v>21</v>
      </c>
      <c r="F284" s="15"/>
      <c r="G284" s="16" t="s">
        <v>20</v>
      </c>
      <c r="H284" s="201" t="s">
        <v>22</v>
      </c>
      <c r="I284" s="202"/>
      <c r="J284" s="203"/>
    </row>
    <row r="285" spans="1:10" ht="13.5" customHeight="1">
      <c r="A285" s="17" t="s">
        <v>23</v>
      </c>
      <c r="B285" s="1"/>
      <c r="C285" s="1"/>
      <c r="D285" s="2">
        <v>25000</v>
      </c>
      <c r="E285" s="17" t="s">
        <v>24</v>
      </c>
      <c r="F285" s="1"/>
      <c r="G285" s="2" t="s">
        <v>25</v>
      </c>
      <c r="H285" s="18" t="s">
        <v>26</v>
      </c>
      <c r="I285" s="23"/>
      <c r="J285" s="24"/>
    </row>
    <row r="286" spans="1:10" ht="13.5" customHeight="1">
      <c r="A286" s="17" t="s">
        <v>77</v>
      </c>
      <c r="B286" s="283"/>
      <c r="C286" s="283"/>
      <c r="D286" s="2" t="s">
        <v>25</v>
      </c>
      <c r="E286" s="17" t="s">
        <v>28</v>
      </c>
      <c r="F286" s="1"/>
      <c r="G286" s="2" t="s">
        <v>25</v>
      </c>
      <c r="H286" s="18" t="s">
        <v>29</v>
      </c>
      <c r="I286" s="23"/>
      <c r="J286" s="24"/>
    </row>
    <row r="287" spans="1:10" ht="13.5" customHeight="1">
      <c r="A287" s="17" t="s">
        <v>30</v>
      </c>
      <c r="B287" s="1"/>
      <c r="C287" s="1"/>
      <c r="D287" s="2" t="s">
        <v>25</v>
      </c>
      <c r="E287" s="17" t="s">
        <v>146</v>
      </c>
      <c r="F287" s="1"/>
      <c r="G287" s="2" t="s">
        <v>25</v>
      </c>
      <c r="H287" s="18" t="s">
        <v>32</v>
      </c>
      <c r="I287" s="23"/>
      <c r="J287" s="24"/>
    </row>
    <row r="288" spans="1:10" ht="13.5" customHeight="1">
      <c r="A288" s="17" t="s">
        <v>435</v>
      </c>
      <c r="B288" s="1"/>
      <c r="C288" s="1"/>
      <c r="D288" s="2" t="s">
        <v>25</v>
      </c>
      <c r="E288" s="17" t="s">
        <v>35</v>
      </c>
      <c r="F288" s="1"/>
      <c r="G288" s="2" t="s">
        <v>25</v>
      </c>
      <c r="H288" s="18"/>
      <c r="I288" s="6"/>
      <c r="J288" s="19"/>
    </row>
    <row r="289" spans="1:10" ht="13.5" customHeight="1">
      <c r="A289" s="17" t="s">
        <v>436</v>
      </c>
      <c r="B289" s="1"/>
      <c r="C289" s="1"/>
      <c r="D289" s="2">
        <v>5000</v>
      </c>
      <c r="E289" s="17" t="s">
        <v>79</v>
      </c>
      <c r="F289" s="2"/>
      <c r="G289" s="2" t="s">
        <v>25</v>
      </c>
      <c r="H289" s="148" t="s">
        <v>437</v>
      </c>
      <c r="I289" s="149"/>
      <c r="J289" s="150"/>
    </row>
    <row r="290" spans="1:10" ht="13.5" customHeight="1">
      <c r="A290" s="17" t="s">
        <v>147</v>
      </c>
      <c r="B290" s="1"/>
      <c r="C290" s="1"/>
      <c r="D290" s="2" t="s">
        <v>25</v>
      </c>
      <c r="E290" s="17" t="s">
        <v>39</v>
      </c>
      <c r="F290" s="1"/>
      <c r="G290" s="2">
        <v>100</v>
      </c>
      <c r="H290" s="42"/>
      <c r="I290" s="36"/>
      <c r="J290" s="43"/>
    </row>
    <row r="291" spans="1:10" ht="13.5" customHeight="1">
      <c r="A291" s="18" t="s">
        <v>40</v>
      </c>
      <c r="B291" s="6"/>
      <c r="C291" s="6"/>
      <c r="D291" s="2" t="s">
        <v>25</v>
      </c>
      <c r="E291" s="17" t="s">
        <v>61</v>
      </c>
      <c r="F291" s="1"/>
      <c r="G291" s="2" t="s">
        <v>25</v>
      </c>
      <c r="H291" s="18"/>
      <c r="I291" s="6"/>
      <c r="J291" s="19"/>
    </row>
    <row r="292" spans="1:10" ht="13.5" customHeight="1">
      <c r="A292" s="204" t="s">
        <v>63</v>
      </c>
      <c r="B292" s="205"/>
      <c r="C292" s="206"/>
      <c r="D292" s="229">
        <f>SUM(D285:D291)</f>
        <v>30000</v>
      </c>
      <c r="E292" s="1" t="s">
        <v>43</v>
      </c>
      <c r="F292" s="1"/>
      <c r="G292" s="2" t="s">
        <v>25</v>
      </c>
      <c r="H292" s="18"/>
      <c r="I292" s="6"/>
      <c r="J292" s="19"/>
    </row>
    <row r="293" spans="1:10" ht="13.5" customHeight="1">
      <c r="A293" s="207"/>
      <c r="B293" s="197"/>
      <c r="C293" s="208"/>
      <c r="D293" s="230"/>
      <c r="E293" s="21" t="s">
        <v>21</v>
      </c>
      <c r="F293" s="22"/>
      <c r="G293" s="13">
        <f>SUM(G285:G292)</f>
        <v>100</v>
      </c>
      <c r="H293" s="21" t="s">
        <v>44</v>
      </c>
      <c r="I293" s="22"/>
      <c r="J293" s="13">
        <f>D292-G293</f>
        <v>29900</v>
      </c>
    </row>
    <row r="294" spans="1:10" ht="13.5" customHeight="1">
      <c r="A294" s="3" t="s">
        <v>45</v>
      </c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3.5" customHeight="1">
      <c r="A296" s="3"/>
      <c r="B296" s="3" t="s">
        <v>47</v>
      </c>
      <c r="C296" s="3"/>
      <c r="D296" s="3"/>
      <c r="E296" s="3" t="s">
        <v>48</v>
      </c>
      <c r="F296" s="3"/>
      <c r="G296" s="3"/>
      <c r="H296" s="3" t="s">
        <v>49</v>
      </c>
      <c r="I296" s="3"/>
      <c r="J296" s="3"/>
    </row>
    <row r="297" spans="1:10" ht="13.5" customHeight="1">
      <c r="A297" s="184" t="s">
        <v>0</v>
      </c>
      <c r="B297" s="185"/>
      <c r="C297" s="185"/>
      <c r="D297" s="185"/>
      <c r="E297" s="185"/>
      <c r="F297" s="185"/>
      <c r="G297" s="185"/>
      <c r="H297" s="185"/>
      <c r="I297" s="185"/>
      <c r="J297" s="186"/>
    </row>
    <row r="298" spans="1:10" ht="13.5" customHeight="1">
      <c r="A298" s="187" t="s">
        <v>1</v>
      </c>
      <c r="B298" s="188"/>
      <c r="C298" s="188"/>
      <c r="D298" s="188"/>
      <c r="E298" s="188"/>
      <c r="F298" s="188"/>
      <c r="G298" s="188"/>
      <c r="H298" s="188"/>
      <c r="I298" s="188"/>
      <c r="J298" s="189"/>
    </row>
    <row r="299" spans="1:10" ht="13.5" customHeight="1">
      <c r="A299" s="1" t="s">
        <v>2</v>
      </c>
      <c r="B299" s="1"/>
      <c r="C299" s="194" t="s">
        <v>438</v>
      </c>
      <c r="D299" s="194"/>
      <c r="E299" s="2"/>
      <c r="F299" s="3"/>
      <c r="G299" s="1" t="s">
        <v>4</v>
      </c>
      <c r="H299" s="284" t="s">
        <v>227</v>
      </c>
      <c r="I299" s="284"/>
      <c r="J299" s="284"/>
    </row>
    <row r="300" spans="1:10" ht="13.5" customHeight="1">
      <c r="A300" s="1" t="s">
        <v>6</v>
      </c>
      <c r="B300" s="1"/>
      <c r="C300" s="192" t="s">
        <v>439</v>
      </c>
      <c r="D300" s="192"/>
      <c r="E300" s="2"/>
      <c r="F300" s="3"/>
      <c r="G300" s="1" t="s">
        <v>8</v>
      </c>
      <c r="H300" s="193" t="s">
        <v>9</v>
      </c>
      <c r="I300" s="193"/>
      <c r="J300" s="193"/>
    </row>
    <row r="301" spans="1:10" ht="13.5" customHeight="1">
      <c r="A301" s="6" t="s">
        <v>10</v>
      </c>
      <c r="B301" s="6"/>
      <c r="C301" s="6" t="s">
        <v>440</v>
      </c>
      <c r="D301" s="6"/>
      <c r="E301" s="2"/>
      <c r="F301" s="3"/>
      <c r="G301" s="1" t="s">
        <v>12</v>
      </c>
      <c r="H301" s="195" t="s">
        <v>13</v>
      </c>
      <c r="I301" s="195"/>
      <c r="J301" s="195"/>
    </row>
    <row r="302" spans="1:10" ht="13.5" customHeight="1">
      <c r="A302" s="2" t="s">
        <v>14</v>
      </c>
      <c r="B302" s="2"/>
      <c r="C302" s="2" t="s">
        <v>15</v>
      </c>
      <c r="D302" s="2"/>
      <c r="E302" s="2"/>
      <c r="F302" s="3"/>
      <c r="G302" s="1" t="s">
        <v>16</v>
      </c>
      <c r="H302" s="196" t="s">
        <v>140</v>
      </c>
      <c r="I302" s="196"/>
      <c r="J302" s="196"/>
    </row>
    <row r="303" spans="1:10" ht="13.5" customHeight="1">
      <c r="A303" s="2">
        <v>30</v>
      </c>
      <c r="B303" s="2"/>
      <c r="C303" s="2">
        <f>A303-H303</f>
        <v>1</v>
      </c>
      <c r="D303" s="2"/>
      <c r="E303" s="2"/>
      <c r="F303" s="3"/>
      <c r="G303" s="8" t="s">
        <v>18</v>
      </c>
      <c r="H303" s="197">
        <v>29</v>
      </c>
      <c r="I303" s="197"/>
      <c r="J303" s="197"/>
    </row>
    <row r="304" spans="1:10" ht="13.5" customHeight="1">
      <c r="A304" s="198" t="s">
        <v>19</v>
      </c>
      <c r="B304" s="199"/>
      <c r="C304" s="200"/>
      <c r="D304" s="13" t="s">
        <v>20</v>
      </c>
      <c r="E304" s="14" t="s">
        <v>21</v>
      </c>
      <c r="F304" s="15"/>
      <c r="G304" s="16" t="s">
        <v>20</v>
      </c>
      <c r="H304" s="201" t="s">
        <v>22</v>
      </c>
      <c r="I304" s="202"/>
      <c r="J304" s="203"/>
    </row>
    <row r="305" spans="1:10" ht="13.5" customHeight="1">
      <c r="A305" s="17" t="s">
        <v>23</v>
      </c>
      <c r="B305" s="1"/>
      <c r="C305" s="1"/>
      <c r="D305" s="2">
        <v>20000</v>
      </c>
      <c r="E305" s="17" t="s">
        <v>24</v>
      </c>
      <c r="F305" s="1"/>
      <c r="G305" s="2" t="s">
        <v>25</v>
      </c>
      <c r="H305" s="18" t="s">
        <v>26</v>
      </c>
      <c r="I305" s="23"/>
      <c r="J305" s="24"/>
    </row>
    <row r="306" spans="1:10" ht="13.5" customHeight="1">
      <c r="A306" s="17" t="s">
        <v>57</v>
      </c>
      <c r="B306" s="209" t="s">
        <v>393</v>
      </c>
      <c r="C306" s="209"/>
      <c r="D306" s="2">
        <v>3333</v>
      </c>
      <c r="E306" s="17" t="s">
        <v>420</v>
      </c>
      <c r="F306" s="1"/>
      <c r="G306" s="2" t="s">
        <v>25</v>
      </c>
      <c r="H306" s="18" t="s">
        <v>29</v>
      </c>
      <c r="I306" s="23"/>
      <c r="J306" s="24"/>
    </row>
    <row r="307" spans="1:10" ht="13.5" customHeight="1">
      <c r="A307" s="17" t="s">
        <v>30</v>
      </c>
      <c r="B307" s="1"/>
      <c r="C307" s="1"/>
      <c r="D307" s="2" t="s">
        <v>25</v>
      </c>
      <c r="E307" s="17" t="s">
        <v>141</v>
      </c>
      <c r="F307" s="1"/>
      <c r="G307" s="2" t="s">
        <v>25</v>
      </c>
      <c r="H307" s="18" t="s">
        <v>32</v>
      </c>
      <c r="I307" s="23"/>
      <c r="J307" s="24"/>
    </row>
    <row r="308" spans="1:10" ht="13.5" customHeight="1">
      <c r="A308" s="17" t="s">
        <v>72</v>
      </c>
      <c r="B308" s="1"/>
      <c r="C308" s="1"/>
      <c r="D308" s="2" t="s">
        <v>25</v>
      </c>
      <c r="E308" s="17" t="s">
        <v>35</v>
      </c>
      <c r="F308" s="1"/>
      <c r="G308" s="2">
        <v>667</v>
      </c>
      <c r="H308" s="18"/>
      <c r="I308" s="6"/>
      <c r="J308" s="19"/>
    </row>
    <row r="309" spans="1:10" ht="13.5" customHeight="1">
      <c r="A309" s="17" t="s">
        <v>345</v>
      </c>
      <c r="B309" s="1"/>
      <c r="C309" s="1"/>
      <c r="D309" s="2">
        <v>5000</v>
      </c>
      <c r="E309" s="17" t="s">
        <v>39</v>
      </c>
      <c r="F309" s="1"/>
      <c r="G309" s="2">
        <v>100</v>
      </c>
      <c r="H309" s="18" t="s">
        <v>441</v>
      </c>
      <c r="I309" s="6"/>
      <c r="J309" s="40"/>
    </row>
    <row r="310" spans="1:10" ht="13.5" customHeight="1">
      <c r="A310" s="17" t="s">
        <v>136</v>
      </c>
      <c r="B310" s="1"/>
      <c r="C310" s="1"/>
      <c r="D310" s="2" t="s">
        <v>25</v>
      </c>
      <c r="E310" s="17" t="s">
        <v>61</v>
      </c>
      <c r="F310" s="1"/>
      <c r="G310" s="2" t="s">
        <v>25</v>
      </c>
      <c r="H310" s="18" t="s">
        <v>442</v>
      </c>
      <c r="I310" s="6"/>
      <c r="J310" s="40"/>
    </row>
    <row r="311" spans="1:10" ht="13.5" customHeight="1">
      <c r="A311" s="18" t="s">
        <v>40</v>
      </c>
      <c r="B311" s="6"/>
      <c r="C311" s="6"/>
      <c r="D311" s="2" t="s">
        <v>25</v>
      </c>
      <c r="E311" s="17" t="s">
        <v>41</v>
      </c>
      <c r="F311" s="1"/>
      <c r="G311" s="2" t="s">
        <v>25</v>
      </c>
      <c r="H311" s="18" t="s">
        <v>443</v>
      </c>
      <c r="I311" s="6"/>
      <c r="J311" s="19"/>
    </row>
    <row r="312" spans="1:10" ht="13.5" customHeight="1">
      <c r="A312" s="204" t="s">
        <v>63</v>
      </c>
      <c r="B312" s="205"/>
      <c r="C312" s="206"/>
      <c r="D312" s="229">
        <f>SUM(D305:D311)</f>
        <v>28333</v>
      </c>
      <c r="E312" s="1" t="s">
        <v>43</v>
      </c>
      <c r="F312" s="1"/>
      <c r="G312" s="2" t="s">
        <v>25</v>
      </c>
      <c r="H312" s="18"/>
      <c r="I312" s="6"/>
      <c r="J312" s="19"/>
    </row>
    <row r="313" spans="1:10" ht="13.5" customHeight="1">
      <c r="A313" s="207"/>
      <c r="B313" s="197"/>
      <c r="C313" s="208"/>
      <c r="D313" s="230"/>
      <c r="E313" s="21" t="s">
        <v>21</v>
      </c>
      <c r="F313" s="22"/>
      <c r="G313" s="13">
        <f>SUM(G305:G312)</f>
        <v>767</v>
      </c>
      <c r="H313" s="21" t="s">
        <v>44</v>
      </c>
      <c r="I313" s="22"/>
      <c r="J313" s="13">
        <f>D312-G313</f>
        <v>27566</v>
      </c>
    </row>
    <row r="314" spans="1:10" ht="13.5" customHeight="1">
      <c r="A314" s="3" t="s">
        <v>45</v>
      </c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3.5" customHeight="1"/>
    <row r="316" spans="1:10" ht="13.5" customHeight="1">
      <c r="A316" s="3"/>
      <c r="B316" s="3" t="s">
        <v>47</v>
      </c>
      <c r="C316" s="3"/>
      <c r="D316" s="3"/>
      <c r="E316" s="3" t="s">
        <v>48</v>
      </c>
      <c r="F316" s="3"/>
      <c r="G316" s="3"/>
      <c r="H316" s="3" t="s">
        <v>49</v>
      </c>
      <c r="I316" s="3"/>
      <c r="J316" s="3"/>
    </row>
    <row r="317" spans="1:10" ht="13.5" customHeight="1">
      <c r="A317" s="184" t="s">
        <v>0</v>
      </c>
      <c r="B317" s="185"/>
      <c r="C317" s="185"/>
      <c r="D317" s="185"/>
      <c r="E317" s="185"/>
      <c r="F317" s="185"/>
      <c r="G317" s="185"/>
      <c r="H317" s="185"/>
      <c r="I317" s="185"/>
      <c r="J317" s="186"/>
    </row>
    <row r="318" spans="1:10" ht="13.5" customHeight="1">
      <c r="A318" s="187" t="s">
        <v>1</v>
      </c>
      <c r="B318" s="188"/>
      <c r="C318" s="188"/>
      <c r="D318" s="188"/>
      <c r="E318" s="188"/>
      <c r="F318" s="188"/>
      <c r="G318" s="188"/>
      <c r="H318" s="188"/>
      <c r="I318" s="188"/>
      <c r="J318" s="189"/>
    </row>
    <row r="319" spans="1:10" ht="13.5" customHeight="1">
      <c r="A319" s="1" t="s">
        <v>2</v>
      </c>
      <c r="B319" s="1"/>
      <c r="C319" s="194"/>
      <c r="D319" s="194"/>
      <c r="E319" s="2"/>
      <c r="F319" s="3"/>
      <c r="G319" s="1" t="s">
        <v>4</v>
      </c>
      <c r="H319" s="209" t="s">
        <v>236</v>
      </c>
      <c r="I319" s="209"/>
      <c r="J319" s="209"/>
    </row>
    <row r="320" spans="1:10" ht="13.5" customHeight="1">
      <c r="A320" s="1" t="s">
        <v>6</v>
      </c>
      <c r="B320" s="1"/>
      <c r="C320" s="25" t="s">
        <v>444</v>
      </c>
      <c r="D320" s="25"/>
      <c r="E320" s="6"/>
      <c r="F320" s="3"/>
      <c r="G320" s="1" t="s">
        <v>8</v>
      </c>
      <c r="H320" s="193" t="s">
        <v>9</v>
      </c>
      <c r="I320" s="193"/>
      <c r="J320" s="193"/>
    </row>
    <row r="321" spans="1:10" ht="13.5" customHeight="1">
      <c r="A321" s="6" t="s">
        <v>10</v>
      </c>
      <c r="B321" s="6"/>
      <c r="C321" s="194" t="s">
        <v>445</v>
      </c>
      <c r="D321" s="194"/>
      <c r="E321" s="2"/>
      <c r="F321" s="3"/>
      <c r="G321" s="1" t="s">
        <v>12</v>
      </c>
      <c r="H321" s="195" t="s">
        <v>13</v>
      </c>
      <c r="I321" s="195"/>
      <c r="J321" s="195"/>
    </row>
    <row r="322" spans="1:10" ht="13.5" customHeight="1">
      <c r="A322" s="2"/>
      <c r="B322" s="2"/>
      <c r="C322" s="2" t="s">
        <v>15</v>
      </c>
      <c r="D322" s="2"/>
      <c r="E322" s="2"/>
      <c r="F322" s="3"/>
      <c r="G322" s="1" t="s">
        <v>16</v>
      </c>
      <c r="H322" s="196" t="s">
        <v>446</v>
      </c>
      <c r="I322" s="196"/>
      <c r="J322" s="196"/>
    </row>
    <row r="323" spans="1:10" ht="13.5" customHeight="1">
      <c r="A323" s="2">
        <v>30</v>
      </c>
      <c r="B323" s="2"/>
      <c r="C323" s="2">
        <f>A323-I323</f>
        <v>0</v>
      </c>
      <c r="D323" s="2"/>
      <c r="E323" s="2"/>
      <c r="F323" s="3"/>
      <c r="G323" s="8" t="s">
        <v>18</v>
      </c>
      <c r="H323" s="8"/>
      <c r="I323" s="9">
        <v>30</v>
      </c>
      <c r="J323" s="9"/>
    </row>
    <row r="324" spans="1:10" ht="13.5" customHeight="1">
      <c r="A324" s="198" t="s">
        <v>19</v>
      </c>
      <c r="B324" s="199"/>
      <c r="C324" s="200"/>
      <c r="D324" s="13" t="s">
        <v>20</v>
      </c>
      <c r="E324" s="14" t="s">
        <v>21</v>
      </c>
      <c r="F324" s="15"/>
      <c r="G324" s="16" t="s">
        <v>20</v>
      </c>
      <c r="H324" s="201" t="s">
        <v>22</v>
      </c>
      <c r="I324" s="202"/>
      <c r="J324" s="203"/>
    </row>
    <row r="325" spans="1:10" ht="13.5" customHeight="1">
      <c r="A325" s="17" t="s">
        <v>23</v>
      </c>
      <c r="B325" s="1"/>
      <c r="C325" s="1"/>
      <c r="D325" s="56">
        <v>40000</v>
      </c>
      <c r="E325" s="17" t="s">
        <v>24</v>
      </c>
      <c r="F325" s="1"/>
      <c r="G325" s="2" t="s">
        <v>25</v>
      </c>
      <c r="H325" s="18" t="s">
        <v>26</v>
      </c>
      <c r="I325" s="23"/>
      <c r="J325" s="24"/>
    </row>
    <row r="326" spans="1:10" ht="13.5" customHeight="1">
      <c r="A326" s="17" t="s">
        <v>57</v>
      </c>
      <c r="B326" s="209"/>
      <c r="C326" s="209"/>
      <c r="D326" s="2" t="s">
        <v>25</v>
      </c>
      <c r="E326" s="17" t="s">
        <v>447</v>
      </c>
      <c r="F326" s="1"/>
      <c r="G326" s="2">
        <v>5000</v>
      </c>
      <c r="H326" s="18" t="s">
        <v>29</v>
      </c>
      <c r="I326" s="23"/>
      <c r="J326" s="24"/>
    </row>
    <row r="327" spans="1:10" ht="13.5" customHeight="1">
      <c r="A327" s="17" t="s">
        <v>30</v>
      </c>
      <c r="B327" s="1"/>
      <c r="C327" s="1"/>
      <c r="D327" s="2">
        <v>2100</v>
      </c>
      <c r="E327" s="17" t="s">
        <v>89</v>
      </c>
      <c r="F327" s="1"/>
      <c r="G327" s="2" t="s">
        <v>25</v>
      </c>
      <c r="H327" s="18" t="s">
        <v>32</v>
      </c>
      <c r="I327" s="23"/>
      <c r="J327" s="24"/>
    </row>
    <row r="328" spans="1:10" ht="13.5" customHeight="1">
      <c r="A328" s="17" t="s">
        <v>34</v>
      </c>
      <c r="B328" s="1"/>
      <c r="C328" s="1"/>
      <c r="D328" s="2" t="s">
        <v>25</v>
      </c>
      <c r="E328" s="17" t="s">
        <v>71</v>
      </c>
      <c r="F328" s="1"/>
      <c r="G328" s="2" t="s">
        <v>25</v>
      </c>
      <c r="H328" s="18"/>
      <c r="I328" s="6"/>
      <c r="J328" s="40"/>
    </row>
    <row r="329" spans="1:10" ht="13.5" customHeight="1">
      <c r="A329" s="17" t="s">
        <v>36</v>
      </c>
      <c r="B329" s="1"/>
      <c r="C329" s="1"/>
      <c r="D329" s="2" t="s">
        <v>25</v>
      </c>
      <c r="E329" s="17" t="s">
        <v>61</v>
      </c>
      <c r="F329" s="1"/>
      <c r="G329" s="2">
        <v>5000</v>
      </c>
      <c r="H329" s="18" t="s">
        <v>448</v>
      </c>
      <c r="I329" s="6"/>
      <c r="J329" s="40">
        <v>30000</v>
      </c>
    </row>
    <row r="330" spans="1:10" ht="13.5" customHeight="1">
      <c r="A330" s="17" t="s">
        <v>136</v>
      </c>
      <c r="B330" s="1"/>
      <c r="C330" s="1"/>
      <c r="D330" s="2" t="s">
        <v>25</v>
      </c>
      <c r="E330" s="17" t="s">
        <v>39</v>
      </c>
      <c r="F330" s="1"/>
      <c r="G330" s="2">
        <v>100</v>
      </c>
      <c r="H330" s="18" t="s">
        <v>449</v>
      </c>
      <c r="I330" s="6"/>
      <c r="J330" s="40">
        <v>5000</v>
      </c>
    </row>
    <row r="331" spans="1:10" ht="13.5" customHeight="1">
      <c r="A331" s="18" t="s">
        <v>40</v>
      </c>
      <c r="B331" s="6"/>
      <c r="C331" s="6"/>
      <c r="D331" s="2" t="s">
        <v>25</v>
      </c>
      <c r="E331" s="17" t="s">
        <v>62</v>
      </c>
      <c r="F331" s="1"/>
      <c r="G331" s="2" t="s">
        <v>25</v>
      </c>
      <c r="H331" s="18" t="s">
        <v>450</v>
      </c>
      <c r="I331" s="6"/>
      <c r="J331" s="40">
        <v>5000</v>
      </c>
    </row>
    <row r="332" spans="1:10" ht="13.5" customHeight="1">
      <c r="A332" s="204" t="s">
        <v>63</v>
      </c>
      <c r="B332" s="205"/>
      <c r="C332" s="206"/>
      <c r="D332" s="229">
        <f>SUM(D325:D331)</f>
        <v>42100</v>
      </c>
      <c r="E332" s="1" t="s">
        <v>43</v>
      </c>
      <c r="F332" s="1"/>
      <c r="G332" s="2" t="s">
        <v>25</v>
      </c>
      <c r="H332" s="18" t="s">
        <v>451</v>
      </c>
      <c r="I332" s="6"/>
      <c r="J332" s="40">
        <v>20000</v>
      </c>
    </row>
    <row r="333" spans="1:10" ht="13.5" customHeight="1">
      <c r="A333" s="207"/>
      <c r="B333" s="197"/>
      <c r="C333" s="208"/>
      <c r="D333" s="230"/>
      <c r="E333" s="21" t="s">
        <v>21</v>
      </c>
      <c r="F333" s="22"/>
      <c r="G333" s="13">
        <f>SUM(G325:G332)</f>
        <v>10100</v>
      </c>
      <c r="H333" s="21" t="s">
        <v>44</v>
      </c>
      <c r="I333" s="22"/>
      <c r="J333" s="13">
        <f>D332-G333</f>
        <v>32000</v>
      </c>
    </row>
    <row r="334" spans="1:10" ht="13.5" customHeight="1">
      <c r="A334" s="3" t="s">
        <v>45</v>
      </c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3.5" customHeight="1">
      <c r="A336" s="3"/>
      <c r="B336" s="3" t="s">
        <v>47</v>
      </c>
      <c r="C336" s="3"/>
      <c r="D336" s="3" t="s">
        <v>73</v>
      </c>
      <c r="E336" s="3" t="s">
        <v>48</v>
      </c>
      <c r="F336" s="3"/>
      <c r="G336" s="3"/>
      <c r="H336" s="3" t="s">
        <v>49</v>
      </c>
      <c r="I336" s="3"/>
      <c r="J336" s="3"/>
    </row>
    <row r="337" spans="1:10" ht="13.5" customHeight="1">
      <c r="A337" s="184" t="s">
        <v>0</v>
      </c>
      <c r="B337" s="185"/>
      <c r="C337" s="185"/>
      <c r="D337" s="185"/>
      <c r="E337" s="185"/>
      <c r="F337" s="185"/>
      <c r="G337" s="185"/>
      <c r="H337" s="185"/>
      <c r="I337" s="185"/>
      <c r="J337" s="186"/>
    </row>
    <row r="338" spans="1:10" ht="13.5" customHeight="1">
      <c r="A338" s="187" t="s">
        <v>1</v>
      </c>
      <c r="B338" s="188"/>
      <c r="C338" s="188"/>
      <c r="D338" s="188"/>
      <c r="E338" s="188"/>
      <c r="F338" s="188"/>
      <c r="G338" s="188"/>
      <c r="H338" s="188"/>
      <c r="I338" s="188"/>
      <c r="J338" s="189"/>
    </row>
    <row r="339" spans="1:10" ht="13.5" customHeight="1">
      <c r="A339" s="1" t="s">
        <v>2</v>
      </c>
      <c r="B339" s="1"/>
      <c r="C339" s="190"/>
      <c r="D339" s="190"/>
      <c r="E339" s="2"/>
      <c r="F339" s="3"/>
      <c r="G339" s="1" t="s">
        <v>4</v>
      </c>
      <c r="H339" s="209" t="s">
        <v>240</v>
      </c>
      <c r="I339" s="209"/>
      <c r="J339" s="209"/>
    </row>
    <row r="340" spans="1:10" ht="13.5" customHeight="1">
      <c r="A340" s="1" t="s">
        <v>6</v>
      </c>
      <c r="B340" s="1"/>
      <c r="C340" s="192" t="s">
        <v>452</v>
      </c>
      <c r="D340" s="192"/>
      <c r="E340" s="2"/>
      <c r="F340" s="3"/>
      <c r="G340" s="1" t="s">
        <v>8</v>
      </c>
      <c r="H340" s="193" t="s">
        <v>9</v>
      </c>
      <c r="I340" s="193"/>
      <c r="J340" s="193"/>
    </row>
    <row r="341" spans="1:10" ht="13.5" customHeight="1">
      <c r="A341" s="6" t="s">
        <v>10</v>
      </c>
      <c r="B341" s="6"/>
      <c r="C341" s="194" t="s">
        <v>453</v>
      </c>
      <c r="D341" s="194"/>
      <c r="E341" s="2"/>
      <c r="F341" s="3"/>
      <c r="G341" s="1" t="s">
        <v>12</v>
      </c>
      <c r="H341" s="195" t="s">
        <v>13</v>
      </c>
      <c r="I341" s="195"/>
      <c r="J341" s="195"/>
    </row>
    <row r="342" spans="1:10" ht="13.5" customHeight="1">
      <c r="A342" s="2" t="s">
        <v>14</v>
      </c>
      <c r="B342" s="2"/>
      <c r="C342" s="2" t="s">
        <v>15</v>
      </c>
      <c r="D342" s="2"/>
      <c r="E342" s="2"/>
      <c r="F342" s="3"/>
      <c r="G342" s="1" t="s">
        <v>16</v>
      </c>
      <c r="H342" s="196" t="s">
        <v>402</v>
      </c>
      <c r="I342" s="196"/>
      <c r="J342" s="196"/>
    </row>
    <row r="343" spans="1:10" ht="13.5" customHeight="1">
      <c r="A343" s="2">
        <v>30</v>
      </c>
      <c r="B343" s="2"/>
      <c r="C343" s="2">
        <f>A343-H343</f>
        <v>0</v>
      </c>
      <c r="D343" s="2"/>
      <c r="E343" s="2"/>
      <c r="F343" s="3"/>
      <c r="G343" s="8" t="s">
        <v>18</v>
      </c>
      <c r="H343" s="197">
        <v>30</v>
      </c>
      <c r="I343" s="197"/>
      <c r="J343" s="197"/>
    </row>
    <row r="344" spans="1:10" ht="13.5" customHeight="1">
      <c r="A344" s="198" t="s">
        <v>19</v>
      </c>
      <c r="B344" s="199"/>
      <c r="C344" s="200"/>
      <c r="D344" s="13" t="s">
        <v>20</v>
      </c>
      <c r="E344" s="14" t="s">
        <v>21</v>
      </c>
      <c r="F344" s="15"/>
      <c r="G344" s="16" t="s">
        <v>20</v>
      </c>
      <c r="H344" s="201" t="s">
        <v>22</v>
      </c>
      <c r="I344" s="202"/>
      <c r="J344" s="203"/>
    </row>
    <row r="345" spans="1:10" ht="13.5" customHeight="1">
      <c r="A345" s="17" t="s">
        <v>23</v>
      </c>
      <c r="B345" s="1"/>
      <c r="C345" s="1"/>
      <c r="D345" s="28">
        <v>20000</v>
      </c>
      <c r="E345" s="17" t="s">
        <v>24</v>
      </c>
      <c r="F345" s="1"/>
      <c r="G345" s="2" t="s">
        <v>25</v>
      </c>
      <c r="H345" s="18" t="s">
        <v>26</v>
      </c>
      <c r="I345" s="23"/>
      <c r="J345" s="24"/>
    </row>
    <row r="346" spans="1:10" ht="13.5" customHeight="1">
      <c r="A346" s="17" t="s">
        <v>77</v>
      </c>
      <c r="B346" s="209" t="s">
        <v>320</v>
      </c>
      <c r="C346" s="209"/>
      <c r="D346" s="2">
        <v>1333</v>
      </c>
      <c r="E346" s="17" t="s">
        <v>89</v>
      </c>
      <c r="F346" s="1"/>
      <c r="G346" s="2" t="s">
        <v>25</v>
      </c>
      <c r="H346" s="18" t="s">
        <v>29</v>
      </c>
      <c r="I346" s="23"/>
      <c r="J346" s="24"/>
    </row>
    <row r="347" spans="1:10" ht="13.5" customHeight="1">
      <c r="A347" s="17" t="s">
        <v>27</v>
      </c>
      <c r="B347" s="6"/>
      <c r="C347" s="6"/>
      <c r="D347" s="2" t="s">
        <v>25</v>
      </c>
      <c r="E347" s="17" t="s">
        <v>58</v>
      </c>
      <c r="F347" s="1"/>
      <c r="G347" s="2">
        <v>313</v>
      </c>
      <c r="H347" s="18" t="s">
        <v>32</v>
      </c>
      <c r="I347" s="23"/>
      <c r="J347" s="24"/>
    </row>
    <row r="348" spans="1:10" ht="13.5" customHeight="1">
      <c r="A348" s="17" t="s">
        <v>30</v>
      </c>
      <c r="B348" s="1"/>
      <c r="C348" s="1"/>
      <c r="D348" s="2" t="s">
        <v>25</v>
      </c>
      <c r="E348" s="17" t="s">
        <v>35</v>
      </c>
      <c r="F348" s="1"/>
      <c r="G348" s="2" t="s">
        <v>25</v>
      </c>
      <c r="H348" s="18"/>
      <c r="I348" s="6"/>
      <c r="J348" s="19"/>
    </row>
    <row r="349" spans="1:10" ht="13.5" customHeight="1">
      <c r="A349" s="17" t="s">
        <v>345</v>
      </c>
      <c r="B349" s="1"/>
      <c r="C349" s="1"/>
      <c r="D349" s="2">
        <v>5000</v>
      </c>
      <c r="E349" s="17" t="s">
        <v>37</v>
      </c>
      <c r="F349" s="1"/>
      <c r="G349" s="2" t="s">
        <v>25</v>
      </c>
      <c r="H349" s="18" t="s">
        <v>378</v>
      </c>
      <c r="I349" s="6"/>
      <c r="J349" s="19"/>
    </row>
    <row r="350" spans="1:10" ht="13.5" customHeight="1">
      <c r="A350" s="17" t="s">
        <v>454</v>
      </c>
      <c r="B350" s="1"/>
      <c r="C350" s="1"/>
      <c r="D350" s="2">
        <v>2000</v>
      </c>
      <c r="E350" s="17" t="s">
        <v>39</v>
      </c>
      <c r="F350" s="1"/>
      <c r="G350" s="2">
        <v>100</v>
      </c>
      <c r="H350" s="18"/>
      <c r="I350" s="6"/>
      <c r="J350" s="19"/>
    </row>
    <row r="351" spans="1:10" ht="13.5" customHeight="1">
      <c r="A351" s="18" t="s">
        <v>411</v>
      </c>
      <c r="B351" s="6"/>
      <c r="C351" s="6"/>
      <c r="D351" s="2">
        <v>10000</v>
      </c>
      <c r="E351" s="17" t="s">
        <v>78</v>
      </c>
      <c r="F351" s="1"/>
      <c r="G351" s="2" t="s">
        <v>25</v>
      </c>
      <c r="H351" s="18"/>
      <c r="I351" s="6"/>
      <c r="J351" s="19"/>
    </row>
    <row r="352" spans="1:10" ht="13.5" customHeight="1">
      <c r="A352" s="204" t="s">
        <v>63</v>
      </c>
      <c r="B352" s="205"/>
      <c r="C352" s="206"/>
      <c r="D352" s="229">
        <f>SUM(D345:D351)</f>
        <v>38333</v>
      </c>
      <c r="E352" s="1" t="s">
        <v>283</v>
      </c>
      <c r="F352" s="1"/>
      <c r="G352" s="2" t="s">
        <v>25</v>
      </c>
      <c r="H352" s="18"/>
      <c r="I352" s="6"/>
      <c r="J352" s="19"/>
    </row>
    <row r="353" spans="1:10" ht="13.5" customHeight="1">
      <c r="A353" s="207"/>
      <c r="B353" s="197"/>
      <c r="C353" s="208"/>
      <c r="D353" s="230"/>
      <c r="E353" s="21" t="s">
        <v>21</v>
      </c>
      <c r="F353" s="22"/>
      <c r="G353" s="13">
        <f>SUM(G345:G352)</f>
        <v>413</v>
      </c>
      <c r="H353" s="21" t="s">
        <v>44</v>
      </c>
      <c r="I353" s="22"/>
      <c r="J353" s="13">
        <f>D352-G353</f>
        <v>37920</v>
      </c>
    </row>
    <row r="354" spans="1:10" ht="13.5" customHeight="1">
      <c r="A354" s="3" t="s">
        <v>45</v>
      </c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3.5" customHeight="1">
      <c r="A356" s="3"/>
      <c r="B356" s="3" t="s">
        <v>47</v>
      </c>
      <c r="C356" s="3"/>
      <c r="D356" s="3"/>
      <c r="E356" s="3" t="s">
        <v>48</v>
      </c>
      <c r="F356" s="3"/>
      <c r="G356" s="3"/>
      <c r="H356" s="3" t="s">
        <v>49</v>
      </c>
      <c r="I356" s="3"/>
      <c r="J356" s="3"/>
    </row>
    <row r="357" spans="1:10" ht="13.5" customHeight="1">
      <c r="A357" s="184" t="s">
        <v>0</v>
      </c>
      <c r="B357" s="185"/>
      <c r="C357" s="185"/>
      <c r="D357" s="185"/>
      <c r="E357" s="185"/>
      <c r="F357" s="185"/>
      <c r="G357" s="185"/>
      <c r="H357" s="185"/>
      <c r="I357" s="185"/>
      <c r="J357" s="186"/>
    </row>
    <row r="358" spans="1:10" ht="13.5" customHeight="1">
      <c r="A358" s="187" t="s">
        <v>1</v>
      </c>
      <c r="B358" s="188"/>
      <c r="C358" s="188"/>
      <c r="D358" s="188"/>
      <c r="E358" s="188"/>
      <c r="F358" s="188"/>
      <c r="G358" s="188"/>
      <c r="H358" s="188"/>
      <c r="I358" s="188"/>
      <c r="J358" s="189"/>
    </row>
    <row r="359" spans="1:10" ht="13.5" customHeight="1">
      <c r="A359" s="1" t="s">
        <v>2</v>
      </c>
      <c r="B359" s="1"/>
      <c r="C359" s="190"/>
      <c r="D359" s="190"/>
      <c r="E359" s="2"/>
      <c r="F359" s="3"/>
      <c r="G359" s="1" t="s">
        <v>4</v>
      </c>
      <c r="H359" s="209" t="s">
        <v>240</v>
      </c>
      <c r="I359" s="209"/>
      <c r="J359" s="209"/>
    </row>
    <row r="360" spans="1:10" ht="13.5" customHeight="1">
      <c r="A360" s="1" t="s">
        <v>6</v>
      </c>
      <c r="B360" s="1"/>
      <c r="C360" s="25" t="s">
        <v>455</v>
      </c>
      <c r="D360" s="25"/>
      <c r="E360" s="2"/>
      <c r="F360" s="3"/>
      <c r="G360" s="1" t="s">
        <v>8</v>
      </c>
      <c r="H360" s="193" t="s">
        <v>9</v>
      </c>
      <c r="I360" s="193"/>
      <c r="J360" s="193"/>
    </row>
    <row r="361" spans="1:10" ht="13.5" customHeight="1">
      <c r="A361" s="6" t="s">
        <v>10</v>
      </c>
      <c r="B361" s="6"/>
      <c r="C361" s="194" t="s">
        <v>369</v>
      </c>
      <c r="D361" s="194"/>
      <c r="E361" s="2"/>
      <c r="F361" s="3"/>
      <c r="G361" s="1" t="s">
        <v>12</v>
      </c>
      <c r="H361" s="195" t="s">
        <v>13</v>
      </c>
      <c r="I361" s="195"/>
      <c r="J361" s="195"/>
    </row>
    <row r="362" spans="1:10" ht="13.5" customHeight="1">
      <c r="A362" s="2" t="s">
        <v>14</v>
      </c>
      <c r="B362" s="2"/>
      <c r="C362" s="2" t="s">
        <v>15</v>
      </c>
      <c r="D362" s="2"/>
      <c r="E362" s="2"/>
      <c r="F362" s="3"/>
      <c r="G362" s="1" t="s">
        <v>16</v>
      </c>
      <c r="H362" s="196" t="s">
        <v>402</v>
      </c>
      <c r="I362" s="196"/>
      <c r="J362" s="196"/>
    </row>
    <row r="363" spans="1:10" ht="13.5" customHeight="1">
      <c r="A363" s="2">
        <v>30</v>
      </c>
      <c r="B363" s="2"/>
      <c r="C363" s="2">
        <f>A363-H363</f>
        <v>1</v>
      </c>
      <c r="D363" s="2"/>
      <c r="E363" s="2"/>
      <c r="F363" s="3"/>
      <c r="G363" s="8" t="s">
        <v>18</v>
      </c>
      <c r="H363" s="197">
        <v>29</v>
      </c>
      <c r="I363" s="197"/>
      <c r="J363" s="197"/>
    </row>
    <row r="364" spans="1:10" ht="13.5" customHeight="1">
      <c r="A364" s="198" t="s">
        <v>19</v>
      </c>
      <c r="B364" s="199"/>
      <c r="C364" s="200"/>
      <c r="D364" s="13" t="s">
        <v>20</v>
      </c>
      <c r="E364" s="14" t="s">
        <v>21</v>
      </c>
      <c r="F364" s="15"/>
      <c r="G364" s="16" t="s">
        <v>20</v>
      </c>
      <c r="H364" s="201" t="s">
        <v>22</v>
      </c>
      <c r="I364" s="202"/>
      <c r="J364" s="203"/>
    </row>
    <row r="365" spans="1:10" ht="13.5" customHeight="1">
      <c r="A365" s="17" t="s">
        <v>23</v>
      </c>
      <c r="B365" s="1"/>
      <c r="C365" s="1"/>
      <c r="D365" s="28">
        <v>25000</v>
      </c>
      <c r="E365" s="17" t="s">
        <v>24</v>
      </c>
      <c r="F365" s="1"/>
      <c r="G365" s="2" t="s">
        <v>25</v>
      </c>
      <c r="H365" s="18" t="s">
        <v>26</v>
      </c>
      <c r="I365" s="23"/>
      <c r="J365" s="24"/>
    </row>
    <row r="366" spans="1:10" ht="13.5" customHeight="1">
      <c r="A366" s="17" t="s">
        <v>77</v>
      </c>
      <c r="B366" s="209"/>
      <c r="C366" s="209"/>
      <c r="D366" s="2" t="s">
        <v>25</v>
      </c>
      <c r="E366" s="17" t="s">
        <v>89</v>
      </c>
      <c r="F366" s="1"/>
      <c r="G366" s="2" t="s">
        <v>25</v>
      </c>
      <c r="H366" s="18" t="s">
        <v>29</v>
      </c>
      <c r="I366" s="23"/>
      <c r="J366" s="24"/>
    </row>
    <row r="367" spans="1:10" ht="13.5" customHeight="1">
      <c r="A367" s="17" t="s">
        <v>27</v>
      </c>
      <c r="B367" s="6"/>
      <c r="C367" s="6"/>
      <c r="D367" s="2" t="s">
        <v>25</v>
      </c>
      <c r="E367" s="17" t="s">
        <v>58</v>
      </c>
      <c r="F367" s="1"/>
      <c r="G367" s="2" t="s">
        <v>25</v>
      </c>
      <c r="H367" s="18" t="s">
        <v>32</v>
      </c>
      <c r="I367" s="23"/>
      <c r="J367" s="24"/>
    </row>
    <row r="368" spans="1:10" ht="13.5" customHeight="1">
      <c r="A368" s="17" t="s">
        <v>30</v>
      </c>
      <c r="B368" s="1"/>
      <c r="C368" s="1"/>
      <c r="D368" s="2" t="s">
        <v>25</v>
      </c>
      <c r="E368" s="17" t="s">
        <v>35</v>
      </c>
      <c r="F368" s="1"/>
      <c r="G368" s="2">
        <v>833</v>
      </c>
      <c r="H368" s="18"/>
      <c r="I368" s="6"/>
      <c r="J368" s="19"/>
    </row>
    <row r="369" spans="1:10" ht="13.5" customHeight="1">
      <c r="A369" s="17" t="s">
        <v>345</v>
      </c>
      <c r="B369" s="1"/>
      <c r="C369" s="1"/>
      <c r="D369" s="2">
        <v>5000</v>
      </c>
      <c r="E369" s="17" t="s">
        <v>37</v>
      </c>
      <c r="F369" s="1"/>
      <c r="G369" s="2" t="s">
        <v>25</v>
      </c>
      <c r="H369" s="18"/>
      <c r="I369" s="6"/>
      <c r="J369" s="19"/>
    </row>
    <row r="370" spans="1:10" ht="13.5" customHeight="1">
      <c r="A370" s="17" t="s">
        <v>38</v>
      </c>
      <c r="B370" s="1"/>
      <c r="C370" s="1"/>
      <c r="D370" s="2" t="s">
        <v>25</v>
      </c>
      <c r="E370" s="17" t="s">
        <v>39</v>
      </c>
      <c r="F370" s="1"/>
      <c r="G370" s="2">
        <v>100</v>
      </c>
      <c r="H370" s="18"/>
      <c r="I370" s="6"/>
      <c r="J370" s="19"/>
    </row>
    <row r="371" spans="1:10" ht="13.5" customHeight="1">
      <c r="A371" s="18" t="s">
        <v>78</v>
      </c>
      <c r="B371" s="6"/>
      <c r="C371" s="6"/>
      <c r="D371" s="2" t="s">
        <v>25</v>
      </c>
      <c r="E371" s="17" t="s">
        <v>78</v>
      </c>
      <c r="F371" s="1"/>
      <c r="G371" s="2" t="s">
        <v>25</v>
      </c>
      <c r="H371" s="18"/>
      <c r="I371" s="6"/>
      <c r="J371" s="19"/>
    </row>
    <row r="372" spans="1:10" ht="13.5" customHeight="1">
      <c r="A372" s="204" t="s">
        <v>63</v>
      </c>
      <c r="B372" s="205"/>
      <c r="C372" s="206"/>
      <c r="D372" s="229">
        <f>SUM(D365:D371)</f>
        <v>30000</v>
      </c>
      <c r="E372" s="1" t="s">
        <v>283</v>
      </c>
      <c r="F372" s="1"/>
      <c r="G372" s="2" t="s">
        <v>25</v>
      </c>
      <c r="H372" s="18"/>
      <c r="I372" s="6"/>
      <c r="J372" s="19"/>
    </row>
    <row r="373" spans="1:10" ht="13.5" customHeight="1">
      <c r="A373" s="207"/>
      <c r="B373" s="197"/>
      <c r="C373" s="208"/>
      <c r="D373" s="230"/>
      <c r="E373" s="21" t="s">
        <v>21</v>
      </c>
      <c r="F373" s="22"/>
      <c r="G373" s="13">
        <f>SUM(G365:G372)</f>
        <v>933</v>
      </c>
      <c r="H373" s="21" t="s">
        <v>44</v>
      </c>
      <c r="I373" s="22"/>
      <c r="J373" s="13">
        <f>D372-G373</f>
        <v>29067</v>
      </c>
    </row>
    <row r="374" spans="1:10" ht="13.5" customHeight="1">
      <c r="A374" s="3" t="s">
        <v>45</v>
      </c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3.5" customHeight="1">
      <c r="A376" s="3"/>
      <c r="B376" s="3" t="s">
        <v>47</v>
      </c>
      <c r="C376" s="3"/>
      <c r="D376" s="3"/>
      <c r="E376" s="3" t="s">
        <v>48</v>
      </c>
      <c r="F376" s="3"/>
      <c r="G376" s="3"/>
      <c r="H376" s="3" t="s">
        <v>49</v>
      </c>
      <c r="I376" s="3"/>
      <c r="J376" s="3"/>
    </row>
    <row r="377" spans="1:10" ht="13.5" customHeight="1">
      <c r="A377" s="184" t="s">
        <v>0</v>
      </c>
      <c r="B377" s="185"/>
      <c r="C377" s="185"/>
      <c r="D377" s="185"/>
      <c r="E377" s="185"/>
      <c r="F377" s="185"/>
      <c r="G377" s="185"/>
      <c r="H377" s="185"/>
      <c r="I377" s="185"/>
      <c r="J377" s="186"/>
    </row>
    <row r="378" spans="1:10" ht="13.5" customHeight="1">
      <c r="A378" s="187" t="s">
        <v>1</v>
      </c>
      <c r="B378" s="188"/>
      <c r="C378" s="188"/>
      <c r="D378" s="188"/>
      <c r="E378" s="188"/>
      <c r="F378" s="188"/>
      <c r="G378" s="188"/>
      <c r="H378" s="188"/>
      <c r="I378" s="188"/>
      <c r="J378" s="189"/>
    </row>
    <row r="379" spans="1:10" ht="13.5" customHeight="1">
      <c r="A379" s="1" t="s">
        <v>2</v>
      </c>
      <c r="B379" s="1"/>
      <c r="C379" s="209" t="s">
        <v>456</v>
      </c>
      <c r="D379" s="209"/>
      <c r="E379" s="2"/>
      <c r="F379" s="3"/>
      <c r="G379" s="1" t="s">
        <v>4</v>
      </c>
      <c r="H379" s="191" t="s">
        <v>358</v>
      </c>
      <c r="I379" s="191"/>
      <c r="J379" s="191"/>
    </row>
    <row r="380" spans="1:10" ht="13.5" customHeight="1">
      <c r="A380" s="1" t="s">
        <v>6</v>
      </c>
      <c r="B380" s="1"/>
      <c r="C380" s="196" t="s">
        <v>457</v>
      </c>
      <c r="D380" s="196"/>
      <c r="E380" s="2"/>
      <c r="F380" s="3"/>
      <c r="G380" s="1" t="s">
        <v>8</v>
      </c>
      <c r="H380" s="193" t="s">
        <v>9</v>
      </c>
      <c r="I380" s="193"/>
      <c r="J380" s="193"/>
    </row>
    <row r="381" spans="1:10" ht="13.5" customHeight="1">
      <c r="A381" s="6" t="s">
        <v>10</v>
      </c>
      <c r="B381" s="6"/>
      <c r="C381" s="209" t="s">
        <v>369</v>
      </c>
      <c r="D381" s="209"/>
      <c r="E381" s="2"/>
      <c r="F381" s="3"/>
      <c r="G381" s="1" t="s">
        <v>12</v>
      </c>
      <c r="H381" s="195" t="s">
        <v>13</v>
      </c>
      <c r="I381" s="195"/>
      <c r="J381" s="195"/>
    </row>
    <row r="382" spans="1:10" ht="13.5" customHeight="1">
      <c r="A382" s="6" t="s">
        <v>14</v>
      </c>
      <c r="B382" s="6"/>
      <c r="C382" s="2" t="s">
        <v>15</v>
      </c>
      <c r="D382" s="2"/>
      <c r="E382" s="36"/>
      <c r="F382" s="3"/>
      <c r="G382" s="1" t="s">
        <v>16</v>
      </c>
      <c r="H382" s="196" t="s">
        <v>429</v>
      </c>
      <c r="I382" s="196"/>
      <c r="J382" s="196"/>
    </row>
    <row r="383" spans="1:10" ht="13.5" customHeight="1">
      <c r="A383" s="6">
        <v>30</v>
      </c>
      <c r="B383" s="6"/>
      <c r="C383" s="2">
        <f>A383-I383</f>
        <v>0</v>
      </c>
      <c r="D383" s="2"/>
      <c r="E383" s="2"/>
      <c r="F383" s="3"/>
      <c r="G383" s="8" t="s">
        <v>18</v>
      </c>
      <c r="H383" s="8"/>
      <c r="I383" s="9">
        <v>30</v>
      </c>
      <c r="J383" s="9"/>
    </row>
    <row r="384" spans="1:10" ht="13.5" customHeight="1">
      <c r="A384" s="198" t="s">
        <v>19</v>
      </c>
      <c r="B384" s="199"/>
      <c r="C384" s="200"/>
      <c r="D384" s="13" t="s">
        <v>20</v>
      </c>
      <c r="E384" s="14" t="s">
        <v>21</v>
      </c>
      <c r="F384" s="15"/>
      <c r="G384" s="16" t="s">
        <v>20</v>
      </c>
      <c r="H384" s="201"/>
      <c r="I384" s="202"/>
      <c r="J384" s="203"/>
    </row>
    <row r="385" spans="1:10" ht="13.5" customHeight="1">
      <c r="A385" s="17" t="s">
        <v>23</v>
      </c>
      <c r="B385" s="1"/>
      <c r="C385" s="1"/>
      <c r="D385" s="2">
        <v>25000</v>
      </c>
      <c r="E385" s="17" t="s">
        <v>24</v>
      </c>
      <c r="F385" s="1"/>
      <c r="G385" s="2" t="s">
        <v>25</v>
      </c>
      <c r="H385" s="18" t="s">
        <v>26</v>
      </c>
      <c r="I385" s="23"/>
      <c r="J385" s="24"/>
    </row>
    <row r="386" spans="1:10" ht="13.5" customHeight="1">
      <c r="A386" s="17" t="s">
        <v>77</v>
      </c>
      <c r="B386" s="209" t="s">
        <v>196</v>
      </c>
      <c r="C386" s="209"/>
      <c r="D386" s="2">
        <v>2500</v>
      </c>
      <c r="E386" s="17" t="s">
        <v>89</v>
      </c>
      <c r="F386" s="1"/>
      <c r="G386" s="2" t="s">
        <v>25</v>
      </c>
      <c r="H386" s="18" t="s">
        <v>29</v>
      </c>
      <c r="I386" s="23"/>
      <c r="J386" s="24"/>
    </row>
    <row r="387" spans="1:10" ht="13.5" customHeight="1">
      <c r="A387" s="17" t="s">
        <v>30</v>
      </c>
      <c r="B387" s="1"/>
      <c r="C387" s="1"/>
      <c r="D387" s="2" t="s">
        <v>25</v>
      </c>
      <c r="E387" s="17" t="s">
        <v>141</v>
      </c>
      <c r="F387" s="1"/>
      <c r="G387" s="2">
        <v>800</v>
      </c>
      <c r="H387" s="18" t="s">
        <v>32</v>
      </c>
      <c r="I387" s="23"/>
      <c r="J387" s="24"/>
    </row>
    <row r="388" spans="1:10" ht="13.5" customHeight="1">
      <c r="A388" s="17" t="s">
        <v>345</v>
      </c>
      <c r="B388" s="1"/>
      <c r="C388" s="1"/>
      <c r="D388" s="2" t="s">
        <v>25</v>
      </c>
      <c r="E388" s="17" t="s">
        <v>35</v>
      </c>
      <c r="F388" s="1"/>
      <c r="G388" s="2" t="s">
        <v>25</v>
      </c>
      <c r="H388" s="18"/>
      <c r="I388" s="6"/>
      <c r="J388" s="38"/>
    </row>
    <row r="389" spans="1:10" ht="13.5" customHeight="1">
      <c r="A389" s="17" t="s">
        <v>147</v>
      </c>
      <c r="B389" s="1"/>
      <c r="C389" s="1"/>
      <c r="D389" s="2" t="s">
        <v>25</v>
      </c>
      <c r="E389" s="17" t="s">
        <v>61</v>
      </c>
      <c r="F389" s="1"/>
      <c r="G389" s="2" t="s">
        <v>25</v>
      </c>
      <c r="H389" s="18"/>
      <c r="I389" s="6"/>
      <c r="J389" s="38"/>
    </row>
    <row r="390" spans="1:10" ht="13.5" customHeight="1">
      <c r="A390" s="17" t="s">
        <v>78</v>
      </c>
      <c r="B390" s="1"/>
      <c r="C390" s="1"/>
      <c r="D390" s="2" t="s">
        <v>25</v>
      </c>
      <c r="E390" s="17" t="s">
        <v>39</v>
      </c>
      <c r="F390" s="1"/>
      <c r="G390" s="2">
        <v>100</v>
      </c>
      <c r="H390" s="18" t="s">
        <v>458</v>
      </c>
      <c r="I390" s="6"/>
      <c r="J390" s="38"/>
    </row>
    <row r="391" spans="1:10" ht="13.5" customHeight="1">
      <c r="A391" s="18" t="s">
        <v>40</v>
      </c>
      <c r="B391" s="6"/>
      <c r="C391" s="6"/>
      <c r="D391" s="2" t="s">
        <v>25</v>
      </c>
      <c r="E391" s="17" t="s">
        <v>333</v>
      </c>
      <c r="F391" s="1"/>
      <c r="G391" s="2" t="s">
        <v>25</v>
      </c>
      <c r="H391" s="18"/>
      <c r="I391" s="6"/>
      <c r="J391" s="38"/>
    </row>
    <row r="392" spans="1:10" ht="13.5" customHeight="1">
      <c r="A392" s="204" t="s">
        <v>63</v>
      </c>
      <c r="B392" s="205"/>
      <c r="C392" s="206"/>
      <c r="D392" s="229">
        <f>SUM(D385:D391)</f>
        <v>27500</v>
      </c>
      <c r="E392" s="1" t="s">
        <v>78</v>
      </c>
      <c r="F392" s="1"/>
      <c r="G392" s="2" t="s">
        <v>25</v>
      </c>
      <c r="H392" s="18"/>
      <c r="I392" s="6"/>
      <c r="J392" s="19"/>
    </row>
    <row r="393" spans="1:10" ht="13.5" customHeight="1">
      <c r="A393" s="207"/>
      <c r="B393" s="197"/>
      <c r="C393" s="208"/>
      <c r="D393" s="230"/>
      <c r="E393" s="21" t="s">
        <v>21</v>
      </c>
      <c r="F393" s="22"/>
      <c r="G393" s="13">
        <f>SUM(G385:G392)</f>
        <v>900</v>
      </c>
      <c r="H393" s="21" t="s">
        <v>44</v>
      </c>
      <c r="I393" s="22"/>
      <c r="J393" s="13">
        <f>D392-G393</f>
        <v>26600</v>
      </c>
    </row>
    <row r="394" spans="1:10" ht="13.5" customHeight="1">
      <c r="A394" s="3" t="s">
        <v>45</v>
      </c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3.5" customHeight="1"/>
    <row r="396" spans="1:10" ht="13.5" customHeight="1">
      <c r="B396" s="3" t="s">
        <v>47</v>
      </c>
      <c r="C396" s="3"/>
      <c r="D396" s="3"/>
      <c r="E396" s="3" t="s">
        <v>48</v>
      </c>
      <c r="F396" s="3"/>
      <c r="G396" s="3"/>
      <c r="H396" s="3" t="s">
        <v>49</v>
      </c>
      <c r="I396" s="3"/>
      <c r="J396" s="3"/>
    </row>
    <row r="397" spans="1:10" ht="13.5" customHeight="1">
      <c r="A397" s="184" t="s">
        <v>0</v>
      </c>
      <c r="B397" s="185"/>
      <c r="C397" s="185"/>
      <c r="D397" s="185"/>
      <c r="E397" s="185"/>
      <c r="F397" s="185"/>
      <c r="G397" s="185"/>
      <c r="H397" s="185"/>
      <c r="I397" s="185"/>
      <c r="J397" s="186"/>
    </row>
    <row r="398" spans="1:10" ht="13.5" customHeight="1">
      <c r="A398" s="187" t="s">
        <v>1</v>
      </c>
      <c r="B398" s="188"/>
      <c r="C398" s="188"/>
      <c r="D398" s="188"/>
      <c r="E398" s="188"/>
      <c r="F398" s="188"/>
      <c r="G398" s="188"/>
      <c r="H398" s="188"/>
      <c r="I398" s="188"/>
      <c r="J398" s="189"/>
    </row>
    <row r="399" spans="1:10" ht="13.5" customHeight="1">
      <c r="A399" s="1" t="s">
        <v>2</v>
      </c>
      <c r="B399" s="1"/>
      <c r="C399" s="209" t="s">
        <v>459</v>
      </c>
      <c r="D399" s="209"/>
      <c r="E399" s="2"/>
      <c r="F399" s="3"/>
      <c r="G399" s="1" t="s">
        <v>4</v>
      </c>
      <c r="H399" s="191" t="s">
        <v>358</v>
      </c>
      <c r="I399" s="191"/>
      <c r="J399" s="191"/>
    </row>
    <row r="400" spans="1:10" ht="13.5" customHeight="1">
      <c r="A400" s="1" t="s">
        <v>6</v>
      </c>
      <c r="B400" s="1"/>
      <c r="C400" s="196" t="s">
        <v>460</v>
      </c>
      <c r="D400" s="196"/>
      <c r="E400" s="2"/>
      <c r="F400" s="3"/>
      <c r="G400" s="1" t="s">
        <v>8</v>
      </c>
      <c r="H400" s="193" t="s">
        <v>9</v>
      </c>
      <c r="I400" s="193"/>
      <c r="J400" s="193"/>
    </row>
    <row r="401" spans="1:10" ht="13.5" customHeight="1">
      <c r="A401" s="6" t="s">
        <v>10</v>
      </c>
      <c r="B401" s="6"/>
      <c r="C401" s="209" t="s">
        <v>369</v>
      </c>
      <c r="D401" s="209"/>
      <c r="E401" s="2"/>
      <c r="F401" s="3"/>
      <c r="G401" s="1" t="s">
        <v>12</v>
      </c>
      <c r="H401" s="195" t="s">
        <v>13</v>
      </c>
      <c r="I401" s="195"/>
      <c r="J401" s="195"/>
    </row>
    <row r="402" spans="1:10" ht="13.5" customHeight="1">
      <c r="A402" s="6" t="s">
        <v>14</v>
      </c>
      <c r="B402" s="6"/>
      <c r="C402" s="2" t="s">
        <v>15</v>
      </c>
      <c r="D402" s="2"/>
      <c r="E402" s="36"/>
      <c r="F402" s="3"/>
      <c r="G402" s="1" t="s">
        <v>16</v>
      </c>
      <c r="H402" s="196" t="s">
        <v>202</v>
      </c>
      <c r="I402" s="196"/>
      <c r="J402" s="196"/>
    </row>
    <row r="403" spans="1:10" ht="13.5" customHeight="1">
      <c r="A403" s="6">
        <v>30</v>
      </c>
      <c r="B403" s="6"/>
      <c r="C403" s="2">
        <f>A403-I403</f>
        <v>5</v>
      </c>
      <c r="D403" s="2"/>
      <c r="E403" s="2"/>
      <c r="F403" s="3"/>
      <c r="G403" s="8" t="s">
        <v>18</v>
      </c>
      <c r="H403" s="8"/>
      <c r="I403" s="9">
        <v>25</v>
      </c>
      <c r="J403" s="9"/>
    </row>
    <row r="404" spans="1:10" ht="13.5" customHeight="1">
      <c r="A404" s="198" t="s">
        <v>19</v>
      </c>
      <c r="B404" s="199"/>
      <c r="C404" s="200"/>
      <c r="D404" s="13" t="s">
        <v>20</v>
      </c>
      <c r="E404" s="14" t="s">
        <v>21</v>
      </c>
      <c r="F404" s="15"/>
      <c r="G404" s="16" t="s">
        <v>20</v>
      </c>
      <c r="H404" s="201"/>
      <c r="I404" s="202"/>
      <c r="J404" s="203"/>
    </row>
    <row r="405" spans="1:10" ht="13.5" customHeight="1">
      <c r="A405" s="17" t="s">
        <v>23</v>
      </c>
      <c r="B405" s="1"/>
      <c r="C405" s="1"/>
      <c r="D405" s="2">
        <v>25000</v>
      </c>
      <c r="E405" s="17" t="s">
        <v>24</v>
      </c>
      <c r="F405" s="1"/>
      <c r="G405" s="2" t="s">
        <v>25</v>
      </c>
      <c r="H405" s="18" t="s">
        <v>26</v>
      </c>
      <c r="I405" s="23"/>
      <c r="J405" s="24"/>
    </row>
    <row r="406" spans="1:10" ht="13.5" customHeight="1">
      <c r="A406" s="17" t="s">
        <v>77</v>
      </c>
      <c r="B406" s="209"/>
      <c r="C406" s="209"/>
      <c r="D406" s="2" t="s">
        <v>25</v>
      </c>
      <c r="E406" s="17" t="s">
        <v>89</v>
      </c>
      <c r="F406" s="1"/>
      <c r="G406" s="2" t="s">
        <v>25</v>
      </c>
      <c r="H406" s="18" t="s">
        <v>29</v>
      </c>
      <c r="I406" s="23"/>
      <c r="J406" s="24"/>
    </row>
    <row r="407" spans="1:10" ht="13.5" customHeight="1">
      <c r="A407" s="17" t="s">
        <v>30</v>
      </c>
      <c r="B407" s="1"/>
      <c r="C407" s="1"/>
      <c r="D407" s="2" t="s">
        <v>25</v>
      </c>
      <c r="E407" s="17" t="s">
        <v>141</v>
      </c>
      <c r="F407" s="1"/>
      <c r="G407" s="2">
        <v>800</v>
      </c>
      <c r="H407" s="18" t="s">
        <v>32</v>
      </c>
      <c r="I407" s="23"/>
      <c r="J407" s="24"/>
    </row>
    <row r="408" spans="1:10" ht="13.5" customHeight="1">
      <c r="A408" s="17" t="s">
        <v>345</v>
      </c>
      <c r="B408" s="1"/>
      <c r="C408" s="1"/>
      <c r="D408" s="2">
        <v>5000</v>
      </c>
      <c r="E408" s="17" t="s">
        <v>35</v>
      </c>
      <c r="F408" s="1"/>
      <c r="G408" s="2">
        <v>4167</v>
      </c>
      <c r="H408" s="18"/>
      <c r="I408" s="6"/>
      <c r="J408" s="38"/>
    </row>
    <row r="409" spans="1:10" ht="13.5" customHeight="1">
      <c r="A409" s="17" t="s">
        <v>27</v>
      </c>
      <c r="B409" s="1"/>
      <c r="C409" s="1"/>
      <c r="D409" s="2" t="s">
        <v>25</v>
      </c>
      <c r="E409" s="17" t="s">
        <v>61</v>
      </c>
      <c r="F409" s="1"/>
      <c r="G409" s="2" t="s">
        <v>25</v>
      </c>
      <c r="H409" s="18"/>
      <c r="I409" s="6"/>
      <c r="J409" s="38"/>
    </row>
    <row r="410" spans="1:10" ht="13.5" customHeight="1">
      <c r="A410" s="17" t="s">
        <v>78</v>
      </c>
      <c r="B410" s="1"/>
      <c r="C410" s="1"/>
      <c r="D410" s="2" t="s">
        <v>25</v>
      </c>
      <c r="E410" s="17" t="s">
        <v>39</v>
      </c>
      <c r="F410" s="1"/>
      <c r="G410" s="2">
        <v>100</v>
      </c>
      <c r="H410" s="18"/>
      <c r="I410" s="6"/>
      <c r="J410" s="38"/>
    </row>
    <row r="411" spans="1:10" ht="13.5" customHeight="1">
      <c r="A411" s="18" t="s">
        <v>40</v>
      </c>
      <c r="B411" s="6"/>
      <c r="C411" s="6"/>
      <c r="D411" s="2" t="s">
        <v>25</v>
      </c>
      <c r="E411" s="17" t="s">
        <v>333</v>
      </c>
      <c r="F411" s="1"/>
      <c r="G411" s="2" t="s">
        <v>25</v>
      </c>
      <c r="H411" s="18"/>
      <c r="I411" s="6"/>
      <c r="J411" s="38"/>
    </row>
    <row r="412" spans="1:10" ht="13.5" customHeight="1">
      <c r="A412" s="204" t="s">
        <v>63</v>
      </c>
      <c r="B412" s="205"/>
      <c r="C412" s="206"/>
      <c r="D412" s="229">
        <f>SUM(D405:D411)</f>
        <v>30000</v>
      </c>
      <c r="E412" s="1" t="s">
        <v>78</v>
      </c>
      <c r="F412" s="1"/>
      <c r="G412" s="2" t="s">
        <v>25</v>
      </c>
      <c r="H412" s="18"/>
      <c r="I412" s="6"/>
      <c r="J412" s="19"/>
    </row>
    <row r="413" spans="1:10" ht="13.5" customHeight="1">
      <c r="A413" s="207"/>
      <c r="B413" s="197"/>
      <c r="C413" s="208"/>
      <c r="D413" s="230"/>
      <c r="E413" s="21" t="s">
        <v>21</v>
      </c>
      <c r="F413" s="22"/>
      <c r="G413" s="13">
        <f>SUM(G405:G412)</f>
        <v>5067</v>
      </c>
      <c r="H413" s="21" t="s">
        <v>44</v>
      </c>
      <c r="I413" s="22"/>
      <c r="J413" s="13">
        <f>D412-G413</f>
        <v>24933</v>
      </c>
    </row>
    <row r="414" spans="1:10" ht="13.5" customHeight="1">
      <c r="A414" s="3" t="s">
        <v>45</v>
      </c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3.5" customHeight="1"/>
    <row r="416" spans="1:10" ht="13.5" customHeight="1">
      <c r="B416" s="3" t="s">
        <v>47</v>
      </c>
      <c r="C416" s="3"/>
      <c r="D416" s="3"/>
      <c r="E416" s="3" t="s">
        <v>48</v>
      </c>
      <c r="F416" s="3"/>
      <c r="G416" s="3"/>
      <c r="H416" s="3" t="s">
        <v>49</v>
      </c>
      <c r="I416" s="3"/>
      <c r="J416" s="3"/>
    </row>
    <row r="417" spans="1:10" ht="32.25" customHeight="1">
      <c r="A417" s="249" t="s">
        <v>264</v>
      </c>
      <c r="B417" s="250"/>
      <c r="C417" s="250"/>
      <c r="D417" s="250"/>
      <c r="E417" s="251"/>
      <c r="F417" s="249">
        <f>J413+J393+J373+J353+J333+J313+J293+J273+J253+J233+J213+J193+J174+J155+J135+J115+J95+J75+J56+J36+J17</f>
        <v>701171</v>
      </c>
      <c r="G417" s="250"/>
      <c r="H417" s="250"/>
      <c r="I417" s="250"/>
      <c r="J417" s="251"/>
    </row>
    <row r="418" spans="1:10">
      <c r="A418" s="3"/>
      <c r="B418" s="3"/>
      <c r="C418" s="3"/>
      <c r="D418" s="3"/>
      <c r="E418" s="3"/>
      <c r="F418" s="3"/>
      <c r="G418" s="3"/>
      <c r="H418" s="3"/>
      <c r="I418" s="3"/>
    </row>
    <row r="419" spans="1:10">
      <c r="A419" s="3"/>
      <c r="B419" s="3"/>
      <c r="C419" s="3"/>
      <c r="D419" s="3"/>
      <c r="E419" s="3"/>
      <c r="F419" s="3"/>
      <c r="G419" s="3"/>
      <c r="H419" s="3"/>
      <c r="I419" s="3"/>
    </row>
    <row r="420" spans="1:10">
      <c r="A420" s="3"/>
      <c r="B420" s="3"/>
      <c r="C420" s="3"/>
      <c r="D420" s="3"/>
      <c r="E420" s="3"/>
      <c r="F420" s="3"/>
      <c r="G420" s="3"/>
      <c r="H420" s="3"/>
      <c r="I420" s="3"/>
    </row>
    <row r="421" spans="1:10">
      <c r="A421" s="3"/>
      <c r="B421" s="3"/>
      <c r="C421" s="3"/>
      <c r="D421" s="3"/>
      <c r="E421" s="3"/>
      <c r="F421" s="3"/>
      <c r="G421" s="3"/>
      <c r="H421" s="3"/>
      <c r="I421" s="3"/>
    </row>
    <row r="422" spans="1:10">
      <c r="A422" s="29"/>
      <c r="B422" s="29"/>
      <c r="C422" s="29"/>
      <c r="D422" s="29"/>
      <c r="E422" s="29"/>
      <c r="F422" s="30"/>
      <c r="G422" s="30"/>
      <c r="H422" s="30"/>
      <c r="I422" s="30"/>
    </row>
    <row r="423" spans="1:10">
      <c r="A423" s="31"/>
      <c r="B423" s="252" t="s">
        <v>265</v>
      </c>
      <c r="C423" s="252"/>
      <c r="D423" s="252"/>
      <c r="E423" s="33"/>
      <c r="F423" s="253" t="s">
        <v>266</v>
      </c>
      <c r="G423" s="253"/>
      <c r="H423" s="253"/>
      <c r="I423" s="253"/>
    </row>
    <row r="424" spans="1:10">
      <c r="A424" s="31"/>
      <c r="B424" s="34"/>
      <c r="C424" s="34"/>
      <c r="D424" s="34"/>
      <c r="E424" s="33"/>
      <c r="F424" s="35"/>
      <c r="G424" s="35"/>
      <c r="H424" s="35"/>
      <c r="I424" s="35"/>
    </row>
    <row r="425" spans="1:10">
      <c r="A425" s="31"/>
      <c r="B425" s="34"/>
      <c r="C425" s="34"/>
      <c r="D425" s="34"/>
      <c r="E425" s="33"/>
      <c r="F425" s="35"/>
      <c r="G425" s="35"/>
      <c r="H425" s="35"/>
      <c r="I425" s="35"/>
    </row>
    <row r="426" spans="1:10">
      <c r="A426" s="31"/>
      <c r="B426" s="34"/>
      <c r="C426" s="34"/>
      <c r="D426" s="34"/>
      <c r="E426" s="33"/>
      <c r="F426" s="35"/>
      <c r="G426" s="35"/>
      <c r="H426" s="35"/>
      <c r="I426" s="35"/>
    </row>
    <row r="427" spans="1:10">
      <c r="A427" s="31"/>
      <c r="B427" s="34"/>
      <c r="C427" s="34"/>
      <c r="D427" s="34"/>
      <c r="E427" s="33"/>
      <c r="F427" s="35"/>
      <c r="G427" s="35"/>
      <c r="H427" s="35"/>
      <c r="I427" s="35"/>
    </row>
    <row r="428" spans="1:10">
      <c r="A428" s="31"/>
      <c r="B428" s="31"/>
      <c r="C428" s="31"/>
      <c r="D428" s="31"/>
      <c r="E428" s="31"/>
      <c r="F428" s="36"/>
      <c r="G428" s="36"/>
      <c r="H428" s="36"/>
      <c r="I428" s="36"/>
    </row>
    <row r="429" spans="1:10">
      <c r="A429" s="31"/>
      <c r="B429" s="37"/>
      <c r="C429" s="32" t="s">
        <v>267</v>
      </c>
      <c r="D429" s="32"/>
      <c r="E429" s="31"/>
      <c r="F429" s="253" t="s">
        <v>268</v>
      </c>
      <c r="G429" s="253"/>
      <c r="H429" s="253"/>
      <c r="I429" s="253"/>
    </row>
    <row r="430" spans="1:10">
      <c r="A430" s="31"/>
      <c r="B430" s="79"/>
      <c r="C430" s="34"/>
      <c r="D430" s="34"/>
      <c r="E430" s="31"/>
      <c r="F430" s="35"/>
      <c r="G430" s="35"/>
      <c r="H430" s="35"/>
      <c r="I430" s="35"/>
    </row>
  </sheetData>
  <mergeCells count="307">
    <mergeCell ref="F429:I429"/>
    <mergeCell ref="D16:D17"/>
    <mergeCell ref="D35:D36"/>
    <mergeCell ref="D55:D56"/>
    <mergeCell ref="D74:D75"/>
    <mergeCell ref="D94:D95"/>
    <mergeCell ref="D114:D115"/>
    <mergeCell ref="D134:D135"/>
    <mergeCell ref="D154:D155"/>
    <mergeCell ref="D173:D174"/>
    <mergeCell ref="D192:D193"/>
    <mergeCell ref="D212:D213"/>
    <mergeCell ref="D232:D233"/>
    <mergeCell ref="D252:D253"/>
    <mergeCell ref="D272:D273"/>
    <mergeCell ref="D292:D293"/>
    <mergeCell ref="D312:D313"/>
    <mergeCell ref="D332:D333"/>
    <mergeCell ref="D352:D353"/>
    <mergeCell ref="D372:D373"/>
    <mergeCell ref="D392:D393"/>
    <mergeCell ref="D412:D413"/>
    <mergeCell ref="C401:D401"/>
    <mergeCell ref="H401:J401"/>
    <mergeCell ref="H402:J402"/>
    <mergeCell ref="A404:C404"/>
    <mergeCell ref="H404:J404"/>
    <mergeCell ref="B406:C406"/>
    <mergeCell ref="A417:E417"/>
    <mergeCell ref="F417:J417"/>
    <mergeCell ref="B423:D423"/>
    <mergeCell ref="F423:I423"/>
    <mergeCell ref="A412:C413"/>
    <mergeCell ref="H382:J382"/>
    <mergeCell ref="A384:C384"/>
    <mergeCell ref="H384:J384"/>
    <mergeCell ref="B386:C386"/>
    <mergeCell ref="A397:J397"/>
    <mergeCell ref="A398:J398"/>
    <mergeCell ref="C399:D399"/>
    <mergeCell ref="H399:J399"/>
    <mergeCell ref="C400:D400"/>
    <mergeCell ref="H400:J400"/>
    <mergeCell ref="A392:C393"/>
    <mergeCell ref="B366:C366"/>
    <mergeCell ref="A377:J377"/>
    <mergeCell ref="A378:J378"/>
    <mergeCell ref="C379:D379"/>
    <mergeCell ref="H379:J379"/>
    <mergeCell ref="C380:D380"/>
    <mergeCell ref="H380:J380"/>
    <mergeCell ref="C381:D381"/>
    <mergeCell ref="H381:J381"/>
    <mergeCell ref="A372:C373"/>
    <mergeCell ref="C359:D359"/>
    <mergeCell ref="H359:J359"/>
    <mergeCell ref="H360:J360"/>
    <mergeCell ref="C361:D361"/>
    <mergeCell ref="H361:J361"/>
    <mergeCell ref="H362:J362"/>
    <mergeCell ref="H363:J363"/>
    <mergeCell ref="A364:C364"/>
    <mergeCell ref="H364:J364"/>
    <mergeCell ref="C341:D341"/>
    <mergeCell ref="H341:J341"/>
    <mergeCell ref="H342:J342"/>
    <mergeCell ref="H343:J343"/>
    <mergeCell ref="A344:C344"/>
    <mergeCell ref="H344:J344"/>
    <mergeCell ref="B346:C346"/>
    <mergeCell ref="A357:J357"/>
    <mergeCell ref="A358:J358"/>
    <mergeCell ref="A352:C353"/>
    <mergeCell ref="A324:C324"/>
    <mergeCell ref="H324:J324"/>
    <mergeCell ref="B326:C326"/>
    <mergeCell ref="A337:J337"/>
    <mergeCell ref="A338:J338"/>
    <mergeCell ref="C339:D339"/>
    <mergeCell ref="H339:J339"/>
    <mergeCell ref="C340:D340"/>
    <mergeCell ref="H340:J340"/>
    <mergeCell ref="A332:C333"/>
    <mergeCell ref="B306:C306"/>
    <mergeCell ref="A317:J317"/>
    <mergeCell ref="A318:J318"/>
    <mergeCell ref="C319:D319"/>
    <mergeCell ref="H319:J319"/>
    <mergeCell ref="H320:J320"/>
    <mergeCell ref="C321:D321"/>
    <mergeCell ref="H321:J321"/>
    <mergeCell ref="H322:J322"/>
    <mergeCell ref="A312:C313"/>
    <mergeCell ref="A298:J298"/>
    <mergeCell ref="C299:D299"/>
    <mergeCell ref="H299:J299"/>
    <mergeCell ref="C300:D300"/>
    <mergeCell ref="H300:J300"/>
    <mergeCell ref="H301:J301"/>
    <mergeCell ref="H302:J302"/>
    <mergeCell ref="H303:J303"/>
    <mergeCell ref="A304:C304"/>
    <mergeCell ref="H304:J304"/>
    <mergeCell ref="H280:J280"/>
    <mergeCell ref="C281:D281"/>
    <mergeCell ref="H281:J281"/>
    <mergeCell ref="H282:J282"/>
    <mergeCell ref="H283:J283"/>
    <mergeCell ref="A284:C284"/>
    <mergeCell ref="H284:J284"/>
    <mergeCell ref="B286:C286"/>
    <mergeCell ref="A297:J297"/>
    <mergeCell ref="A292:C293"/>
    <mergeCell ref="C261:D261"/>
    <mergeCell ref="H261:J261"/>
    <mergeCell ref="H262:J262"/>
    <mergeCell ref="A264:C264"/>
    <mergeCell ref="H264:J264"/>
    <mergeCell ref="B266:C266"/>
    <mergeCell ref="A277:J277"/>
    <mergeCell ref="A278:J278"/>
    <mergeCell ref="C279:D279"/>
    <mergeCell ref="H279:J279"/>
    <mergeCell ref="A272:C273"/>
    <mergeCell ref="H242:J242"/>
    <mergeCell ref="A244:C244"/>
    <mergeCell ref="H244:J244"/>
    <mergeCell ref="B246:C246"/>
    <mergeCell ref="A257:J257"/>
    <mergeCell ref="A258:J258"/>
    <mergeCell ref="C259:D259"/>
    <mergeCell ref="H259:J259"/>
    <mergeCell ref="C260:D260"/>
    <mergeCell ref="H260:J260"/>
    <mergeCell ref="A252:C253"/>
    <mergeCell ref="B226:C226"/>
    <mergeCell ref="A237:J237"/>
    <mergeCell ref="A238:J238"/>
    <mergeCell ref="C239:D239"/>
    <mergeCell ref="H239:J239"/>
    <mergeCell ref="C240:D240"/>
    <mergeCell ref="H240:J240"/>
    <mergeCell ref="C241:D241"/>
    <mergeCell ref="H241:J241"/>
    <mergeCell ref="A232:C233"/>
    <mergeCell ref="C219:D219"/>
    <mergeCell ref="H219:J219"/>
    <mergeCell ref="C220:D220"/>
    <mergeCell ref="H220:J220"/>
    <mergeCell ref="C221:D221"/>
    <mergeCell ref="H221:J221"/>
    <mergeCell ref="H222:J222"/>
    <mergeCell ref="A224:C224"/>
    <mergeCell ref="H224:J224"/>
    <mergeCell ref="C201:D201"/>
    <mergeCell ref="H201:J201"/>
    <mergeCell ref="H202:J202"/>
    <mergeCell ref="H203:J203"/>
    <mergeCell ref="A204:C204"/>
    <mergeCell ref="H204:J204"/>
    <mergeCell ref="B206:C206"/>
    <mergeCell ref="A217:J217"/>
    <mergeCell ref="A218:J218"/>
    <mergeCell ref="A212:C213"/>
    <mergeCell ref="H183:J183"/>
    <mergeCell ref="A184:C184"/>
    <mergeCell ref="H184:J184"/>
    <mergeCell ref="B186:C186"/>
    <mergeCell ref="A197:J197"/>
    <mergeCell ref="A198:J198"/>
    <mergeCell ref="C199:D199"/>
    <mergeCell ref="H199:J199"/>
    <mergeCell ref="C200:D200"/>
    <mergeCell ref="H200:J200"/>
    <mergeCell ref="A192:C193"/>
    <mergeCell ref="B167:C167"/>
    <mergeCell ref="A177:J177"/>
    <mergeCell ref="A178:J178"/>
    <mergeCell ref="C179:D179"/>
    <mergeCell ref="H179:J179"/>
    <mergeCell ref="H180:J180"/>
    <mergeCell ref="C181:D181"/>
    <mergeCell ref="H181:J181"/>
    <mergeCell ref="H182:J182"/>
    <mergeCell ref="A173:C174"/>
    <mergeCell ref="C160:D160"/>
    <mergeCell ref="H160:J160"/>
    <mergeCell ref="C161:D161"/>
    <mergeCell ref="H161:J161"/>
    <mergeCell ref="C162:D162"/>
    <mergeCell ref="H162:J162"/>
    <mergeCell ref="H163:J163"/>
    <mergeCell ref="H164:J164"/>
    <mergeCell ref="A165:C165"/>
    <mergeCell ref="H165:J165"/>
    <mergeCell ref="C143:D143"/>
    <mergeCell ref="H143:J143"/>
    <mergeCell ref="H144:J144"/>
    <mergeCell ref="A146:C146"/>
    <mergeCell ref="H146:J146"/>
    <mergeCell ref="B148:C148"/>
    <mergeCell ref="H150:J150"/>
    <mergeCell ref="A158:J158"/>
    <mergeCell ref="A159:J159"/>
    <mergeCell ref="A154:C155"/>
    <mergeCell ref="H124:J124"/>
    <mergeCell ref="A126:C126"/>
    <mergeCell ref="H126:J126"/>
    <mergeCell ref="B128:C128"/>
    <mergeCell ref="A139:J139"/>
    <mergeCell ref="A140:J140"/>
    <mergeCell ref="C141:D141"/>
    <mergeCell ref="H141:J141"/>
    <mergeCell ref="C142:D142"/>
    <mergeCell ref="H142:J142"/>
    <mergeCell ref="A134:C135"/>
    <mergeCell ref="B109:C109"/>
    <mergeCell ref="A119:J119"/>
    <mergeCell ref="A120:J120"/>
    <mergeCell ref="C121:D121"/>
    <mergeCell ref="H121:J121"/>
    <mergeCell ref="C122:D122"/>
    <mergeCell ref="H122:J122"/>
    <mergeCell ref="C123:D123"/>
    <mergeCell ref="H123:J123"/>
    <mergeCell ref="A114:C115"/>
    <mergeCell ref="C102:D102"/>
    <mergeCell ref="H102:J102"/>
    <mergeCell ref="C103:D103"/>
    <mergeCell ref="H103:J103"/>
    <mergeCell ref="H104:J104"/>
    <mergeCell ref="H105:J105"/>
    <mergeCell ref="A106:C106"/>
    <mergeCell ref="H106:J106"/>
    <mergeCell ref="B108:C108"/>
    <mergeCell ref="H84:J84"/>
    <mergeCell ref="H85:J85"/>
    <mergeCell ref="A86:C86"/>
    <mergeCell ref="H86:J86"/>
    <mergeCell ref="B88:C88"/>
    <mergeCell ref="B89:C89"/>
    <mergeCell ref="A99:J99"/>
    <mergeCell ref="A100:J100"/>
    <mergeCell ref="C101:D101"/>
    <mergeCell ref="H101:J101"/>
    <mergeCell ref="A94:C95"/>
    <mergeCell ref="B69:C69"/>
    <mergeCell ref="A79:J79"/>
    <mergeCell ref="A80:J80"/>
    <mergeCell ref="C81:D81"/>
    <mergeCell ref="H81:J81"/>
    <mergeCell ref="C82:D82"/>
    <mergeCell ref="H82:J82"/>
    <mergeCell ref="C83:D83"/>
    <mergeCell ref="H83:J83"/>
    <mergeCell ref="A74:C75"/>
    <mergeCell ref="C62:D62"/>
    <mergeCell ref="H62:J62"/>
    <mergeCell ref="C63:D63"/>
    <mergeCell ref="H63:J63"/>
    <mergeCell ref="H64:J64"/>
    <mergeCell ref="H65:J65"/>
    <mergeCell ref="A66:C66"/>
    <mergeCell ref="H66:J66"/>
    <mergeCell ref="B68:C68"/>
    <mergeCell ref="C44:D44"/>
    <mergeCell ref="H44:J44"/>
    <mergeCell ref="H45:J45"/>
    <mergeCell ref="A47:C47"/>
    <mergeCell ref="H47:J47"/>
    <mergeCell ref="B49:C49"/>
    <mergeCell ref="A59:J59"/>
    <mergeCell ref="A60:J60"/>
    <mergeCell ref="C61:D61"/>
    <mergeCell ref="H61:J61"/>
    <mergeCell ref="A55:C56"/>
    <mergeCell ref="H25:J25"/>
    <mergeCell ref="A27:C27"/>
    <mergeCell ref="H27:J27"/>
    <mergeCell ref="B29:C29"/>
    <mergeCell ref="A40:J40"/>
    <mergeCell ref="A41:J41"/>
    <mergeCell ref="C42:D42"/>
    <mergeCell ref="H42:J42"/>
    <mergeCell ref="C43:D43"/>
    <mergeCell ref="H43:J43"/>
    <mergeCell ref="A35:C36"/>
    <mergeCell ref="B10:C10"/>
    <mergeCell ref="A20:J20"/>
    <mergeCell ref="A21:J21"/>
    <mergeCell ref="C22:D22"/>
    <mergeCell ref="H22:J22"/>
    <mergeCell ref="C23:D23"/>
    <mergeCell ref="H23:J23"/>
    <mergeCell ref="C24:D24"/>
    <mergeCell ref="H24:J24"/>
    <mergeCell ref="A16:C17"/>
    <mergeCell ref="A1:J1"/>
    <mergeCell ref="A2:J2"/>
    <mergeCell ref="C3:D3"/>
    <mergeCell ref="H3:J3"/>
    <mergeCell ref="H4:J4"/>
    <mergeCell ref="C5:D5"/>
    <mergeCell ref="H5:J5"/>
    <mergeCell ref="H6:J6"/>
    <mergeCell ref="A8:C8"/>
    <mergeCell ref="H8:J8"/>
  </mergeCells>
  <pageMargins left="0.7" right="0.7" top="0.52" bottom="0.33" header="0.3" footer="0.3"/>
  <pageSetup scale="91" orientation="portrait" r:id="rId1"/>
  <rowBreaks count="7" manualBreakCount="7">
    <brk id="58" max="16383" man="1"/>
    <brk id="118" max="16383" man="1"/>
    <brk id="176" max="16383" man="1"/>
    <brk id="236" max="16383" man="1"/>
    <brk id="296" max="16383" man="1"/>
    <brk id="356" max="16383" man="1"/>
    <brk id="39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533"/>
  <sheetViews>
    <sheetView tabSelected="1" topLeftCell="A176" zoomScaleNormal="100" workbookViewId="0">
      <selection activeCell="G188" sqref="G188"/>
    </sheetView>
  </sheetViews>
  <sheetFormatPr defaultColWidth="9" defaultRowHeight="15"/>
  <sheetData>
    <row r="1" spans="1:10" ht="12.7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.7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.75" customHeight="1">
      <c r="A3" s="1" t="s">
        <v>2</v>
      </c>
      <c r="B3" s="1"/>
      <c r="C3" s="194" t="s">
        <v>461</v>
      </c>
      <c r="D3" s="194"/>
      <c r="E3" s="2"/>
      <c r="F3" s="3"/>
      <c r="G3" s="1" t="s">
        <v>4</v>
      </c>
      <c r="H3" s="191" t="s">
        <v>5</v>
      </c>
      <c r="I3" s="191"/>
      <c r="J3" s="191"/>
    </row>
    <row r="4" spans="1:10" ht="12.75" customHeight="1">
      <c r="A4" s="1" t="s">
        <v>6</v>
      </c>
      <c r="B4" s="1"/>
      <c r="C4" s="192" t="s">
        <v>462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2.75" customHeight="1">
      <c r="A5" s="6" t="s">
        <v>10</v>
      </c>
      <c r="B5" s="6"/>
      <c r="C5" s="6" t="s">
        <v>463</v>
      </c>
      <c r="D5" s="6"/>
      <c r="E5" s="2"/>
      <c r="F5" s="3"/>
      <c r="G5" s="1" t="s">
        <v>12</v>
      </c>
      <c r="H5" s="195" t="s">
        <v>13</v>
      </c>
      <c r="I5" s="195"/>
      <c r="J5" s="195"/>
    </row>
    <row r="6" spans="1:10" ht="12.75" customHeight="1">
      <c r="A6" s="2" t="s">
        <v>14</v>
      </c>
      <c r="B6" s="2"/>
      <c r="C6" s="1" t="s">
        <v>15</v>
      </c>
      <c r="D6" s="1"/>
      <c r="E6" s="2"/>
      <c r="F6" s="3"/>
      <c r="G6" s="1" t="s">
        <v>16</v>
      </c>
      <c r="H6" s="209" t="s">
        <v>464</v>
      </c>
      <c r="I6" s="209"/>
      <c r="J6" s="209"/>
    </row>
    <row r="7" spans="1:10" ht="12.75" customHeight="1">
      <c r="A7" s="2">
        <v>30</v>
      </c>
      <c r="B7" s="2"/>
      <c r="C7" s="2">
        <f>A7-H7</f>
        <v>0</v>
      </c>
      <c r="D7" s="2"/>
      <c r="E7" s="2"/>
      <c r="F7" s="3"/>
      <c r="G7" s="8" t="s">
        <v>18</v>
      </c>
      <c r="H7" s="197">
        <v>30</v>
      </c>
      <c r="I7" s="197"/>
      <c r="J7" s="197"/>
    </row>
    <row r="8" spans="1:10" ht="12.7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2.75" customHeight="1">
      <c r="A9" s="17" t="s">
        <v>56</v>
      </c>
      <c r="B9" s="1"/>
      <c r="C9" s="1"/>
      <c r="D9" s="2">
        <v>34000</v>
      </c>
      <c r="E9" s="17" t="s">
        <v>28</v>
      </c>
      <c r="F9" s="1"/>
      <c r="G9" s="2">
        <v>5000</v>
      </c>
      <c r="H9" s="18" t="s">
        <v>26</v>
      </c>
      <c r="I9" s="23"/>
      <c r="J9" s="24"/>
    </row>
    <row r="10" spans="1:10" ht="12.75" customHeight="1">
      <c r="A10" s="17" t="s">
        <v>57</v>
      </c>
      <c r="B10" s="283"/>
      <c r="C10" s="283"/>
      <c r="D10" s="2">
        <v>2000</v>
      </c>
      <c r="E10" s="17" t="s">
        <v>52</v>
      </c>
      <c r="F10" s="1"/>
      <c r="G10" s="2" t="s">
        <v>25</v>
      </c>
      <c r="H10" s="18" t="s">
        <v>29</v>
      </c>
      <c r="I10" s="23"/>
      <c r="J10" s="24"/>
    </row>
    <row r="11" spans="1:10" ht="12.75" customHeight="1">
      <c r="A11" s="17" t="s">
        <v>30</v>
      </c>
      <c r="B11" s="1"/>
      <c r="C11" s="1"/>
      <c r="D11" s="2" t="s">
        <v>25</v>
      </c>
      <c r="E11" s="17" t="s">
        <v>58</v>
      </c>
      <c r="F11" s="1"/>
      <c r="G11" s="2" t="s">
        <v>25</v>
      </c>
      <c r="H11" s="18" t="s">
        <v>32</v>
      </c>
      <c r="I11" s="23"/>
      <c r="J11" s="24"/>
    </row>
    <row r="12" spans="1:10" ht="12.75" customHeight="1">
      <c r="A12" s="17" t="s">
        <v>34</v>
      </c>
      <c r="B12" s="1"/>
      <c r="C12" s="1"/>
      <c r="D12" s="2" t="s">
        <v>25</v>
      </c>
      <c r="E12" s="17" t="s">
        <v>35</v>
      </c>
      <c r="F12" s="1"/>
      <c r="G12" s="2" t="s">
        <v>25</v>
      </c>
      <c r="H12" s="18"/>
      <c r="I12" s="6"/>
      <c r="J12" s="19"/>
    </row>
    <row r="13" spans="1:10" ht="12.75" customHeight="1">
      <c r="A13" s="17" t="s">
        <v>60</v>
      </c>
      <c r="B13" s="1"/>
      <c r="C13" s="1"/>
      <c r="D13" s="2">
        <v>3000</v>
      </c>
      <c r="E13" s="17" t="s">
        <v>1109</v>
      </c>
      <c r="F13" s="1"/>
      <c r="G13" s="2">
        <v>1333</v>
      </c>
      <c r="H13" s="18"/>
      <c r="I13" s="6"/>
      <c r="J13" s="19"/>
    </row>
    <row r="14" spans="1:10" ht="12.7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19"/>
    </row>
    <row r="15" spans="1:10" ht="12.75" customHeight="1">
      <c r="A15" s="18" t="s">
        <v>40</v>
      </c>
      <c r="B15" s="6"/>
      <c r="C15" s="6"/>
      <c r="D15" s="2" t="s">
        <v>25</v>
      </c>
      <c r="E15" s="17" t="s">
        <v>62</v>
      </c>
      <c r="F15" s="1">
        <v>24</v>
      </c>
      <c r="G15" s="2">
        <v>2267</v>
      </c>
      <c r="H15" s="18"/>
      <c r="I15" s="6"/>
      <c r="J15" s="19"/>
    </row>
    <row r="16" spans="1:10" ht="12.75" customHeight="1">
      <c r="A16" s="204" t="s">
        <v>63</v>
      </c>
      <c r="B16" s="205"/>
      <c r="C16" s="206"/>
      <c r="D16" s="229">
        <f>SUM(D9:D15)</f>
        <v>39000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2.75" customHeight="1">
      <c r="A17" s="207"/>
      <c r="B17" s="197"/>
      <c r="C17" s="208"/>
      <c r="D17" s="230"/>
      <c r="E17" s="21" t="s">
        <v>21</v>
      </c>
      <c r="F17" s="22"/>
      <c r="G17" s="13">
        <f>SUM(G9:G16)</f>
        <v>8700</v>
      </c>
      <c r="H17" s="21" t="s">
        <v>44</v>
      </c>
      <c r="I17" s="22"/>
      <c r="J17" s="13">
        <f>D16-G17</f>
        <v>30300</v>
      </c>
    </row>
    <row r="18" spans="1:10" ht="12.7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.7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2.7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.7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.75" customHeight="1">
      <c r="A23" s="1" t="s">
        <v>2</v>
      </c>
      <c r="B23" s="1"/>
      <c r="C23" s="190" t="s">
        <v>353</v>
      </c>
      <c r="D23" s="190"/>
      <c r="E23" s="2"/>
      <c r="F23" s="3"/>
      <c r="G23" s="1" t="s">
        <v>4</v>
      </c>
      <c r="H23" s="191" t="s">
        <v>5</v>
      </c>
      <c r="I23" s="191"/>
      <c r="J23" s="191"/>
    </row>
    <row r="24" spans="1:10" ht="12.75" customHeight="1">
      <c r="A24" s="1" t="s">
        <v>6</v>
      </c>
      <c r="B24" s="1"/>
      <c r="C24" s="25" t="s">
        <v>465</v>
      </c>
      <c r="D24" s="25"/>
      <c r="E24" s="2"/>
      <c r="F24" s="3"/>
      <c r="G24" s="1" t="s">
        <v>8</v>
      </c>
      <c r="H24" s="193" t="s">
        <v>9</v>
      </c>
      <c r="I24" s="193"/>
      <c r="J24" s="193"/>
    </row>
    <row r="25" spans="1:10" ht="12.75" customHeight="1">
      <c r="A25" s="6" t="s">
        <v>10</v>
      </c>
      <c r="B25" s="6"/>
      <c r="C25" s="194" t="s">
        <v>466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2.7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196" t="s">
        <v>386</v>
      </c>
      <c r="I26" s="196"/>
      <c r="J26" s="196"/>
    </row>
    <row r="27" spans="1:10" ht="12.75" customHeight="1">
      <c r="A27" s="2">
        <v>30</v>
      </c>
      <c r="B27" s="2"/>
      <c r="C27" s="2">
        <f>A27-H27</f>
        <v>0</v>
      </c>
      <c r="D27" s="2"/>
      <c r="E27" s="2"/>
      <c r="F27" s="3"/>
      <c r="G27" s="8" t="s">
        <v>18</v>
      </c>
      <c r="H27" s="197">
        <v>30</v>
      </c>
      <c r="I27" s="197"/>
      <c r="J27" s="197"/>
    </row>
    <row r="28" spans="1:10" ht="12.7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243</v>
      </c>
      <c r="I28" s="202"/>
      <c r="J28" s="203"/>
    </row>
    <row r="29" spans="1:10" ht="12.75" customHeight="1">
      <c r="A29" s="17" t="s">
        <v>23</v>
      </c>
      <c r="B29" s="1"/>
      <c r="C29" s="1"/>
      <c r="D29" s="2">
        <v>33000</v>
      </c>
      <c r="E29" s="17" t="s">
        <v>24</v>
      </c>
      <c r="F29" s="1"/>
      <c r="G29" s="2" t="s">
        <v>25</v>
      </c>
      <c r="H29" s="18" t="s">
        <v>26</v>
      </c>
      <c r="I29" s="23"/>
      <c r="J29" s="24"/>
    </row>
    <row r="30" spans="1:10" ht="12.75" customHeight="1">
      <c r="A30" s="17" t="s">
        <v>77</v>
      </c>
      <c r="B30" s="209" t="s">
        <v>320</v>
      </c>
      <c r="C30" s="209"/>
      <c r="D30" s="2">
        <v>2200</v>
      </c>
      <c r="E30" s="17" t="s">
        <v>58</v>
      </c>
      <c r="F30" s="1"/>
      <c r="G30" s="2">
        <v>1790</v>
      </c>
      <c r="H30" s="18" t="s">
        <v>29</v>
      </c>
      <c r="I30" s="23"/>
      <c r="J30" s="24"/>
    </row>
    <row r="31" spans="1:10" ht="12.75" customHeight="1">
      <c r="A31" s="17" t="s">
        <v>30</v>
      </c>
      <c r="B31" s="1"/>
      <c r="C31" s="1"/>
      <c r="D31" s="2">
        <v>1000</v>
      </c>
      <c r="E31" s="17" t="s">
        <v>52</v>
      </c>
      <c r="F31" s="1"/>
      <c r="G31" s="2">
        <v>1980</v>
      </c>
      <c r="H31" s="18" t="s">
        <v>32</v>
      </c>
      <c r="I31" s="23"/>
      <c r="J31" s="24"/>
    </row>
    <row r="32" spans="1:10" ht="12.75" customHeight="1">
      <c r="A32" s="17" t="s">
        <v>34</v>
      </c>
      <c r="B32" s="1"/>
      <c r="C32" s="1"/>
      <c r="D32" s="2" t="s">
        <v>25</v>
      </c>
      <c r="E32" s="17" t="s">
        <v>71</v>
      </c>
      <c r="F32" s="1"/>
      <c r="G32" s="2" t="s">
        <v>25</v>
      </c>
      <c r="H32" s="18"/>
      <c r="I32" s="6"/>
      <c r="J32" s="40"/>
    </row>
    <row r="33" spans="1:10" ht="12.75" customHeight="1">
      <c r="A33" s="17" t="s">
        <v>36</v>
      </c>
      <c r="B33" s="1"/>
      <c r="C33" s="1"/>
      <c r="D33" s="2" t="s">
        <v>25</v>
      </c>
      <c r="E33" s="17" t="s">
        <v>61</v>
      </c>
      <c r="F33" s="1"/>
      <c r="G33" s="2">
        <v>1200</v>
      </c>
      <c r="H33" s="18"/>
      <c r="I33" s="6"/>
      <c r="J33" s="40"/>
    </row>
    <row r="34" spans="1:10" ht="12.7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 t="s">
        <v>467</v>
      </c>
      <c r="I34" s="6"/>
      <c r="J34" s="38"/>
    </row>
    <row r="35" spans="1:10" ht="12.75" customHeight="1">
      <c r="A35" s="18" t="s">
        <v>40</v>
      </c>
      <c r="B35" s="6"/>
      <c r="C35" s="6"/>
      <c r="D35" s="2" t="s">
        <v>25</v>
      </c>
      <c r="E35" s="17" t="s">
        <v>62</v>
      </c>
      <c r="F35" s="2"/>
      <c r="G35" s="2" t="s">
        <v>25</v>
      </c>
      <c r="H35" s="18"/>
      <c r="I35" s="6"/>
      <c r="J35" s="40"/>
    </row>
    <row r="36" spans="1:10" ht="12.75" customHeight="1">
      <c r="A36" s="204" t="s">
        <v>63</v>
      </c>
      <c r="B36" s="205"/>
      <c r="C36" s="206"/>
      <c r="D36" s="229">
        <f>SUM(D29:D35)</f>
        <v>36200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2.75" customHeight="1">
      <c r="A37" s="207"/>
      <c r="B37" s="197"/>
      <c r="C37" s="208"/>
      <c r="D37" s="230"/>
      <c r="E37" s="21" t="s">
        <v>21</v>
      </c>
      <c r="F37" s="22"/>
      <c r="G37" s="13">
        <f>SUM(G29:G36)</f>
        <v>5070</v>
      </c>
      <c r="H37" s="21" t="s">
        <v>44</v>
      </c>
      <c r="I37" s="22"/>
      <c r="J37" s="13">
        <f>D36-G37</f>
        <v>31130</v>
      </c>
    </row>
    <row r="38" spans="1:10" ht="12.7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.7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194"/>
      <c r="D43" s="194"/>
      <c r="E43" s="2"/>
      <c r="F43" s="3"/>
      <c r="G43" s="1" t="s">
        <v>4</v>
      </c>
      <c r="H43" s="191" t="s">
        <v>468</v>
      </c>
      <c r="I43" s="191"/>
      <c r="J43" s="191"/>
    </row>
    <row r="44" spans="1:10" ht="12.75" customHeight="1">
      <c r="A44" s="1" t="s">
        <v>6</v>
      </c>
      <c r="B44" s="1"/>
      <c r="C44" s="192" t="s">
        <v>469</v>
      </c>
      <c r="D44" s="192"/>
      <c r="E44" s="19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194" t="s">
        <v>466</v>
      </c>
      <c r="D45" s="194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2" t="s">
        <v>14</v>
      </c>
      <c r="B46" s="2"/>
      <c r="C46" s="1" t="s">
        <v>15</v>
      </c>
      <c r="D46" s="1"/>
      <c r="E46" s="2"/>
      <c r="F46" s="3"/>
      <c r="G46" s="1" t="s">
        <v>16</v>
      </c>
      <c r="H46" s="209" t="s">
        <v>68</v>
      </c>
      <c r="I46" s="209"/>
      <c r="J46" s="209"/>
    </row>
    <row r="47" spans="1:10" ht="12.75" customHeight="1">
      <c r="A47" s="2">
        <v>30</v>
      </c>
      <c r="B47" s="2"/>
      <c r="C47" s="2">
        <f>A47-H47</f>
        <v>0</v>
      </c>
      <c r="D47" s="2"/>
      <c r="E47" s="2"/>
      <c r="F47" s="3"/>
      <c r="G47" s="8" t="s">
        <v>18</v>
      </c>
      <c r="H47" s="197">
        <v>30</v>
      </c>
      <c r="I47" s="197"/>
      <c r="J47" s="197"/>
    </row>
    <row r="48" spans="1:10" ht="12.7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2.75" customHeight="1">
      <c r="A49" s="17" t="s">
        <v>56</v>
      </c>
      <c r="B49" s="1"/>
      <c r="C49" s="1"/>
      <c r="D49" s="2">
        <v>16000</v>
      </c>
      <c r="E49" s="17" t="s">
        <v>24</v>
      </c>
      <c r="F49" s="1"/>
      <c r="G49" s="2" t="s">
        <v>25</v>
      </c>
      <c r="H49" s="18" t="s">
        <v>26</v>
      </c>
      <c r="I49" s="23"/>
      <c r="J49" s="24"/>
    </row>
    <row r="50" spans="1:10" ht="12.75" customHeight="1">
      <c r="A50" s="17" t="s">
        <v>57</v>
      </c>
      <c r="B50" s="283" t="s">
        <v>320</v>
      </c>
      <c r="C50" s="283"/>
      <c r="D50" s="2">
        <v>1067</v>
      </c>
      <c r="E50" s="17" t="s">
        <v>58</v>
      </c>
      <c r="F50" s="1"/>
      <c r="G50" s="2" t="s">
        <v>25</v>
      </c>
      <c r="H50" s="18" t="s">
        <v>29</v>
      </c>
      <c r="I50" s="23"/>
      <c r="J50" s="24"/>
    </row>
    <row r="51" spans="1:10" ht="12.75" customHeight="1">
      <c r="A51" s="17" t="s">
        <v>57</v>
      </c>
      <c r="B51" s="283"/>
      <c r="C51" s="283"/>
      <c r="D51" s="2">
        <v>1000</v>
      </c>
      <c r="E51" s="17" t="s">
        <v>40</v>
      </c>
      <c r="F51" s="1"/>
      <c r="G51" s="2" t="s">
        <v>25</v>
      </c>
      <c r="H51" s="18" t="s">
        <v>32</v>
      </c>
      <c r="I51" s="23"/>
      <c r="J51" s="24"/>
    </row>
    <row r="52" spans="1:10" ht="12.75" customHeight="1">
      <c r="A52" s="17" t="s">
        <v>72</v>
      </c>
      <c r="B52" s="1"/>
      <c r="C52" s="1"/>
      <c r="D52" s="2" t="s">
        <v>25</v>
      </c>
      <c r="E52" s="17" t="s">
        <v>35</v>
      </c>
      <c r="F52" s="1"/>
      <c r="G52" s="2" t="s">
        <v>25</v>
      </c>
      <c r="H52" s="18"/>
      <c r="I52" s="6"/>
      <c r="J52" s="40"/>
    </row>
    <row r="53" spans="1:10" ht="12.75" customHeight="1">
      <c r="A53" s="17" t="s">
        <v>78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 t="s">
        <v>470</v>
      </c>
      <c r="I53" s="6"/>
      <c r="J53" s="40"/>
    </row>
    <row r="54" spans="1:10" ht="12.7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40"/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62</v>
      </c>
      <c r="F55" s="2"/>
      <c r="G55" s="2" t="s">
        <v>25</v>
      </c>
      <c r="H55" s="18"/>
      <c r="I55" s="6"/>
      <c r="J55" s="40"/>
    </row>
    <row r="56" spans="1:10" ht="12.75" customHeight="1">
      <c r="A56" s="204" t="s">
        <v>63</v>
      </c>
      <c r="B56" s="205"/>
      <c r="C56" s="206"/>
      <c r="D56" s="229">
        <f>SUM(D49:D55)</f>
        <v>18067</v>
      </c>
      <c r="E56" s="1" t="s">
        <v>43</v>
      </c>
      <c r="F56" s="1"/>
      <c r="G56" s="2" t="s">
        <v>25</v>
      </c>
      <c r="H56" s="18"/>
      <c r="I56" s="6"/>
      <c r="J56" s="40"/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100</v>
      </c>
      <c r="H57" s="21" t="s">
        <v>44</v>
      </c>
      <c r="I57" s="22"/>
      <c r="J57" s="13">
        <f>D56-G57</f>
        <v>17967</v>
      </c>
    </row>
    <row r="58" spans="1:10" ht="12.7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2.7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2.7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.7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.75" customHeight="1">
      <c r="A63" s="1" t="s">
        <v>2</v>
      </c>
      <c r="B63" s="1"/>
      <c r="C63" s="191" t="s">
        <v>471</v>
      </c>
      <c r="D63" s="191"/>
      <c r="E63" s="2"/>
      <c r="F63" s="3"/>
      <c r="G63" s="1" t="s">
        <v>4</v>
      </c>
      <c r="H63" s="191" t="s">
        <v>468</v>
      </c>
      <c r="I63" s="191"/>
      <c r="J63" s="191"/>
    </row>
    <row r="64" spans="1:10" ht="12.75" customHeight="1">
      <c r="A64" s="1" t="s">
        <v>6</v>
      </c>
      <c r="B64" s="1"/>
      <c r="C64" s="196" t="s">
        <v>472</v>
      </c>
      <c r="D64" s="196"/>
      <c r="E64" s="2"/>
      <c r="F64" s="3"/>
      <c r="G64" s="1" t="s">
        <v>8</v>
      </c>
      <c r="H64" s="193" t="s">
        <v>9</v>
      </c>
      <c r="I64" s="193"/>
      <c r="J64" s="193"/>
    </row>
    <row r="65" spans="1:10" ht="12.75" customHeight="1">
      <c r="A65" s="6" t="s">
        <v>10</v>
      </c>
      <c r="B65" s="6"/>
      <c r="C65" s="209" t="s">
        <v>466</v>
      </c>
      <c r="D65" s="209"/>
      <c r="E65" s="2"/>
      <c r="F65" s="3"/>
      <c r="G65" s="1" t="s">
        <v>12</v>
      </c>
      <c r="H65" s="195" t="s">
        <v>13</v>
      </c>
      <c r="I65" s="195"/>
      <c r="J65" s="195"/>
    </row>
    <row r="66" spans="1:10" ht="12.75" customHeight="1">
      <c r="A66" s="6" t="s">
        <v>14</v>
      </c>
      <c r="B66" s="6"/>
      <c r="C66" s="2" t="s">
        <v>15</v>
      </c>
      <c r="D66" s="2"/>
      <c r="E66" s="2"/>
      <c r="F66" s="3"/>
      <c r="G66" s="1" t="s">
        <v>16</v>
      </c>
      <c r="H66" s="196" t="s">
        <v>140</v>
      </c>
      <c r="I66" s="196"/>
      <c r="J66" s="196"/>
    </row>
    <row r="67" spans="1:10" ht="12.75" customHeight="1">
      <c r="A67" s="6">
        <v>30</v>
      </c>
      <c r="B67" s="6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2.7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2.75" customHeight="1">
      <c r="A69" s="17" t="s">
        <v>23</v>
      </c>
      <c r="B69" s="1"/>
      <c r="C69" s="1"/>
      <c r="D69" s="2">
        <v>27000</v>
      </c>
      <c r="E69" s="17" t="s">
        <v>24</v>
      </c>
      <c r="F69" s="1"/>
      <c r="G69" s="2" t="s">
        <v>25</v>
      </c>
      <c r="H69" s="18" t="s">
        <v>26</v>
      </c>
      <c r="I69" s="23"/>
      <c r="J69" s="24"/>
    </row>
    <row r="70" spans="1:10" ht="12.75" customHeight="1">
      <c r="A70" s="17" t="s">
        <v>77</v>
      </c>
      <c r="B70" s="209"/>
      <c r="C70" s="209"/>
      <c r="D70" s="2" t="s">
        <v>25</v>
      </c>
      <c r="E70" s="17" t="s">
        <v>58</v>
      </c>
      <c r="F70" s="1"/>
      <c r="G70" s="2" t="s">
        <v>25</v>
      </c>
      <c r="H70" s="18" t="s">
        <v>29</v>
      </c>
      <c r="I70" s="23"/>
      <c r="J70" s="24"/>
    </row>
    <row r="71" spans="1:10" ht="12.75" customHeight="1">
      <c r="A71" s="17" t="s">
        <v>30</v>
      </c>
      <c r="B71" s="1"/>
      <c r="C71" s="1"/>
      <c r="D71" s="2">
        <v>500</v>
      </c>
      <c r="E71" s="17" t="s">
        <v>52</v>
      </c>
      <c r="F71" s="1"/>
      <c r="G71" s="2" t="s">
        <v>25</v>
      </c>
      <c r="H71" s="18" t="s">
        <v>32</v>
      </c>
      <c r="I71" s="23"/>
      <c r="J71" s="24"/>
    </row>
    <row r="72" spans="1:10" ht="12.75" customHeight="1">
      <c r="A72" s="17" t="s">
        <v>38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2.75" customHeight="1">
      <c r="A73" s="17" t="s">
        <v>110</v>
      </c>
      <c r="B73" s="1"/>
      <c r="C73" s="1"/>
      <c r="D73" s="2" t="s">
        <v>25</v>
      </c>
      <c r="E73" s="17" t="s">
        <v>37</v>
      </c>
      <c r="F73" s="1"/>
      <c r="G73" s="2">
        <v>100</v>
      </c>
      <c r="H73" s="18"/>
      <c r="I73" s="6"/>
      <c r="J73" s="19"/>
    </row>
    <row r="74" spans="1:10" ht="12.7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 t="s">
        <v>25</v>
      </c>
      <c r="H74" s="18"/>
      <c r="I74" s="6"/>
      <c r="J74" s="19"/>
    </row>
    <row r="75" spans="1:10" ht="12.75" customHeight="1">
      <c r="A75" s="18" t="s">
        <v>40</v>
      </c>
      <c r="B75" s="6"/>
      <c r="C75" s="6"/>
      <c r="D75" s="2" t="s">
        <v>25</v>
      </c>
      <c r="E75" s="17" t="s">
        <v>62</v>
      </c>
      <c r="F75" s="2"/>
      <c r="G75" s="2" t="s">
        <v>25</v>
      </c>
      <c r="H75" s="18"/>
      <c r="I75" s="6"/>
      <c r="J75" s="19"/>
    </row>
    <row r="76" spans="1:10" ht="12.75" customHeight="1">
      <c r="A76" s="204" t="s">
        <v>63</v>
      </c>
      <c r="B76" s="205"/>
      <c r="C76" s="206"/>
      <c r="D76" s="229">
        <f>SUM(D69:D75)</f>
        <v>27500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2.7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27400</v>
      </c>
    </row>
    <row r="78" spans="1:10" ht="12.7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2.75" customHeight="1">
      <c r="A80" s="3"/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2.7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2.7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2.75" customHeight="1">
      <c r="A83" s="1" t="s">
        <v>2</v>
      </c>
      <c r="B83" s="1"/>
      <c r="C83" s="191" t="s">
        <v>473</v>
      </c>
      <c r="D83" s="191"/>
      <c r="E83" s="2"/>
      <c r="F83" s="3"/>
      <c r="G83" s="1" t="s">
        <v>4</v>
      </c>
      <c r="H83" s="191" t="s">
        <v>468</v>
      </c>
      <c r="I83" s="191"/>
      <c r="J83" s="191"/>
    </row>
    <row r="84" spans="1:10" ht="12.75" customHeight="1">
      <c r="A84" s="1" t="s">
        <v>6</v>
      </c>
      <c r="B84" s="1"/>
      <c r="C84" s="196" t="s">
        <v>474</v>
      </c>
      <c r="D84" s="196"/>
      <c r="E84" s="2"/>
      <c r="F84" s="3"/>
      <c r="G84" s="1" t="s">
        <v>8</v>
      </c>
      <c r="H84" s="193" t="s">
        <v>9</v>
      </c>
      <c r="I84" s="193"/>
      <c r="J84" s="193"/>
    </row>
    <row r="85" spans="1:10" ht="12.75" customHeight="1">
      <c r="A85" s="6" t="s">
        <v>10</v>
      </c>
      <c r="B85" s="6"/>
      <c r="C85" s="209" t="s">
        <v>466</v>
      </c>
      <c r="D85" s="209"/>
      <c r="E85" s="2"/>
      <c r="F85" s="3"/>
      <c r="G85" s="1" t="s">
        <v>12</v>
      </c>
      <c r="H85" s="195" t="s">
        <v>13</v>
      </c>
      <c r="I85" s="195"/>
      <c r="J85" s="195"/>
    </row>
    <row r="86" spans="1:10" ht="12.75" customHeight="1">
      <c r="A86" s="6" t="s">
        <v>14</v>
      </c>
      <c r="B86" s="6"/>
      <c r="C86" s="2" t="s">
        <v>15</v>
      </c>
      <c r="D86" s="2"/>
      <c r="E86" s="2"/>
      <c r="F86" s="3"/>
      <c r="G86" s="1" t="s">
        <v>16</v>
      </c>
      <c r="H86" s="196" t="s">
        <v>475</v>
      </c>
      <c r="I86" s="196"/>
      <c r="J86" s="196"/>
    </row>
    <row r="87" spans="1:10" ht="12.75" customHeight="1">
      <c r="A87" s="6">
        <v>30</v>
      </c>
      <c r="B87" s="6"/>
      <c r="C87" s="2">
        <f>A87-I87</f>
        <v>0</v>
      </c>
      <c r="D87" s="2"/>
      <c r="E87" s="2"/>
      <c r="F87" s="3"/>
      <c r="G87" s="8" t="s">
        <v>18</v>
      </c>
      <c r="H87" s="8"/>
      <c r="I87" s="9">
        <v>30</v>
      </c>
      <c r="J87" s="9"/>
    </row>
    <row r="88" spans="1:10" ht="12.7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2.75" customHeight="1">
      <c r="A89" s="17" t="s">
        <v>23</v>
      </c>
      <c r="B89" s="1"/>
      <c r="C89" s="1"/>
      <c r="D89" s="2">
        <v>23000</v>
      </c>
      <c r="E89" s="17" t="s">
        <v>24</v>
      </c>
      <c r="F89" s="1"/>
      <c r="G89" s="2" t="s">
        <v>25</v>
      </c>
      <c r="H89" s="18" t="s">
        <v>26</v>
      </c>
      <c r="I89" s="23"/>
      <c r="J89" s="24"/>
    </row>
    <row r="90" spans="1:10" ht="12.75" customHeight="1">
      <c r="A90" s="17" t="s">
        <v>77</v>
      </c>
      <c r="B90" s="209" t="s">
        <v>82</v>
      </c>
      <c r="C90" s="209"/>
      <c r="D90" s="2">
        <v>1022</v>
      </c>
      <c r="E90" s="17" t="s">
        <v>58</v>
      </c>
      <c r="F90" s="1"/>
      <c r="G90" s="2" t="s">
        <v>25</v>
      </c>
      <c r="H90" s="18" t="s">
        <v>29</v>
      </c>
      <c r="I90" s="23"/>
      <c r="J90" s="24"/>
    </row>
    <row r="91" spans="1:10" ht="12.75" customHeight="1">
      <c r="A91" s="17" t="s">
        <v>30</v>
      </c>
      <c r="B91" s="1"/>
      <c r="C91" s="1"/>
      <c r="D91" s="2">
        <v>1000</v>
      </c>
      <c r="E91" s="17" t="s">
        <v>52</v>
      </c>
      <c r="F91" s="1"/>
      <c r="G91" s="2" t="s">
        <v>25</v>
      </c>
      <c r="H91" s="18" t="s">
        <v>32</v>
      </c>
      <c r="I91" s="23"/>
      <c r="J91" s="24"/>
    </row>
    <row r="92" spans="1:10" ht="12.75" customHeight="1">
      <c r="A92" s="17" t="s">
        <v>38</v>
      </c>
      <c r="B92" s="1"/>
      <c r="C92" s="1"/>
      <c r="D92" s="2" t="s">
        <v>25</v>
      </c>
      <c r="E92" s="17" t="s">
        <v>35</v>
      </c>
      <c r="F92" s="1"/>
      <c r="G92" s="2" t="s">
        <v>25</v>
      </c>
      <c r="H92" s="18"/>
      <c r="I92" s="6"/>
      <c r="J92" s="19"/>
    </row>
    <row r="93" spans="1:10" ht="12.75" customHeight="1">
      <c r="A93" s="17" t="s">
        <v>110</v>
      </c>
      <c r="B93" s="1"/>
      <c r="C93" s="1"/>
      <c r="D93" s="2" t="s">
        <v>25</v>
      </c>
      <c r="E93" s="17" t="s">
        <v>37</v>
      </c>
      <c r="F93" s="1"/>
      <c r="G93" s="2">
        <v>100</v>
      </c>
      <c r="H93" s="18" t="s">
        <v>476</v>
      </c>
      <c r="I93" s="6"/>
      <c r="J93" s="19"/>
    </row>
    <row r="94" spans="1:10" ht="12.75" customHeight="1">
      <c r="A94" s="17" t="s">
        <v>136</v>
      </c>
      <c r="B94" s="1"/>
      <c r="C94" s="1"/>
      <c r="D94" s="2" t="s">
        <v>25</v>
      </c>
      <c r="E94" s="17" t="s">
        <v>39</v>
      </c>
      <c r="F94" s="1"/>
      <c r="G94" s="2" t="s">
        <v>25</v>
      </c>
      <c r="H94" s="18"/>
      <c r="I94" s="6"/>
      <c r="J94" s="19"/>
    </row>
    <row r="95" spans="1:10" ht="12.75" customHeight="1">
      <c r="A95" s="18" t="s">
        <v>40</v>
      </c>
      <c r="B95" s="6"/>
      <c r="C95" s="6"/>
      <c r="D95" s="2" t="s">
        <v>25</v>
      </c>
      <c r="E95" s="17" t="s">
        <v>62</v>
      </c>
      <c r="F95" s="2"/>
      <c r="G95" s="2" t="s">
        <v>25</v>
      </c>
      <c r="H95" s="18"/>
      <c r="I95" s="6"/>
      <c r="J95" s="19"/>
    </row>
    <row r="96" spans="1:10" ht="12.75" customHeight="1">
      <c r="A96" s="204" t="s">
        <v>63</v>
      </c>
      <c r="B96" s="205"/>
      <c r="C96" s="206"/>
      <c r="D96" s="229">
        <f>SUM(D89:D95)</f>
        <v>25022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2.7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24922</v>
      </c>
    </row>
    <row r="98" spans="1:10" ht="12.7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2.7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.7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.7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.75" customHeight="1">
      <c r="A103" s="1" t="s">
        <v>2</v>
      </c>
      <c r="B103" s="1"/>
      <c r="C103" s="191" t="s">
        <v>473</v>
      </c>
      <c r="D103" s="191"/>
      <c r="E103" s="2"/>
      <c r="F103" s="3"/>
      <c r="G103" s="1" t="s">
        <v>4</v>
      </c>
      <c r="H103" s="191" t="s">
        <v>468</v>
      </c>
      <c r="I103" s="191"/>
      <c r="J103" s="191"/>
    </row>
    <row r="104" spans="1:10" ht="12.75" customHeight="1">
      <c r="A104" s="1" t="s">
        <v>6</v>
      </c>
      <c r="B104" s="1"/>
      <c r="C104" s="196" t="s">
        <v>477</v>
      </c>
      <c r="D104" s="196"/>
      <c r="E104" s="2"/>
      <c r="F104" s="3"/>
      <c r="G104" s="1" t="s">
        <v>8</v>
      </c>
      <c r="H104" s="193" t="s">
        <v>9</v>
      </c>
      <c r="I104" s="193"/>
      <c r="J104" s="193"/>
    </row>
    <row r="105" spans="1:10" ht="12.75" customHeight="1">
      <c r="A105" s="6" t="s">
        <v>10</v>
      </c>
      <c r="B105" s="6"/>
      <c r="C105" s="209" t="s">
        <v>466</v>
      </c>
      <c r="D105" s="209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.75" customHeight="1">
      <c r="A106" s="6" t="s">
        <v>14</v>
      </c>
      <c r="B106" s="6"/>
      <c r="C106" s="2" t="s">
        <v>15</v>
      </c>
      <c r="D106" s="2"/>
      <c r="E106" s="2"/>
      <c r="F106" s="3"/>
      <c r="G106" s="1" t="s">
        <v>16</v>
      </c>
      <c r="H106" s="196" t="s">
        <v>140</v>
      </c>
      <c r="I106" s="196"/>
      <c r="J106" s="196"/>
    </row>
    <row r="107" spans="1:10" ht="12.75" customHeight="1">
      <c r="A107" s="6">
        <v>30</v>
      </c>
      <c r="B107" s="6"/>
      <c r="C107" s="2">
        <f>A107-I107</f>
        <v>16</v>
      </c>
      <c r="D107" s="2"/>
      <c r="E107" s="2"/>
      <c r="F107" s="3"/>
      <c r="G107" s="8" t="s">
        <v>18</v>
      </c>
      <c r="H107" s="8"/>
      <c r="I107" s="9">
        <v>14</v>
      </c>
      <c r="J107" s="9"/>
    </row>
    <row r="108" spans="1:10" ht="12.7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.75" customHeight="1">
      <c r="A109" s="17" t="s">
        <v>23</v>
      </c>
      <c r="B109" s="1"/>
      <c r="C109" s="1"/>
      <c r="D109" s="2">
        <v>22000</v>
      </c>
      <c r="E109" s="17" t="s">
        <v>24</v>
      </c>
      <c r="F109" s="1"/>
      <c r="G109" s="2" t="s">
        <v>25</v>
      </c>
      <c r="H109" s="18" t="s">
        <v>26</v>
      </c>
      <c r="I109" s="23"/>
      <c r="J109" s="24"/>
    </row>
    <row r="110" spans="1:10" ht="12.75" customHeight="1">
      <c r="A110" s="17" t="s">
        <v>77</v>
      </c>
      <c r="B110" s="209"/>
      <c r="C110" s="209"/>
      <c r="D110" s="2" t="s">
        <v>25</v>
      </c>
      <c r="E110" s="17" t="s">
        <v>58</v>
      </c>
      <c r="F110" s="1"/>
      <c r="G110" s="2" t="s">
        <v>25</v>
      </c>
      <c r="H110" s="18" t="s">
        <v>29</v>
      </c>
      <c r="I110" s="23"/>
      <c r="J110" s="24"/>
    </row>
    <row r="111" spans="1:10" ht="12.75" customHeight="1">
      <c r="A111" s="17" t="s">
        <v>30</v>
      </c>
      <c r="B111" s="1"/>
      <c r="C111" s="1"/>
      <c r="D111" s="2">
        <v>800</v>
      </c>
      <c r="E111" s="17" t="s">
        <v>52</v>
      </c>
      <c r="F111" s="1"/>
      <c r="G111" s="2" t="s">
        <v>25</v>
      </c>
      <c r="H111" s="18" t="s">
        <v>32</v>
      </c>
      <c r="I111" s="23"/>
      <c r="J111" s="24"/>
    </row>
    <row r="112" spans="1:10" ht="12.75" customHeight="1">
      <c r="A112" s="17" t="s">
        <v>38</v>
      </c>
      <c r="B112" s="1"/>
      <c r="C112" s="1"/>
      <c r="D112" s="2" t="s">
        <v>25</v>
      </c>
      <c r="E112" s="17" t="s">
        <v>35</v>
      </c>
      <c r="F112" s="1"/>
      <c r="G112" s="2">
        <v>11733</v>
      </c>
      <c r="H112" s="18"/>
      <c r="I112" s="6"/>
      <c r="J112" s="19"/>
    </row>
    <row r="113" spans="1:10" ht="12.75" customHeight="1">
      <c r="A113" s="17" t="s">
        <v>478</v>
      </c>
      <c r="B113" s="1"/>
      <c r="C113" s="1"/>
      <c r="D113" s="2">
        <v>3667</v>
      </c>
      <c r="E113" s="17" t="s">
        <v>37</v>
      </c>
      <c r="F113" s="1"/>
      <c r="G113" s="2">
        <v>100</v>
      </c>
      <c r="H113" s="18" t="s">
        <v>479</v>
      </c>
      <c r="I113" s="6"/>
      <c r="J113" s="19"/>
    </row>
    <row r="114" spans="1:10" ht="12.75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 t="s">
        <v>25</v>
      </c>
      <c r="H114" s="18" t="s">
        <v>480</v>
      </c>
      <c r="I114" s="6"/>
      <c r="J114" s="19"/>
    </row>
    <row r="115" spans="1:10" ht="12.75" customHeight="1">
      <c r="A115" s="18" t="s">
        <v>40</v>
      </c>
      <c r="B115" s="6"/>
      <c r="C115" s="6"/>
      <c r="D115" s="2" t="s">
        <v>25</v>
      </c>
      <c r="E115" s="17" t="s">
        <v>62</v>
      </c>
      <c r="F115" s="2"/>
      <c r="G115" s="2" t="s">
        <v>25</v>
      </c>
      <c r="H115" s="18"/>
      <c r="I115" s="6"/>
      <c r="J115" s="19"/>
    </row>
    <row r="116" spans="1:10" ht="12.75" customHeight="1">
      <c r="A116" s="204" t="s">
        <v>63</v>
      </c>
      <c r="B116" s="205"/>
      <c r="C116" s="206"/>
      <c r="D116" s="229">
        <f>SUM(D109:D115)</f>
        <v>26467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2.7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11833</v>
      </c>
      <c r="H117" s="21" t="s">
        <v>44</v>
      </c>
      <c r="I117" s="22"/>
      <c r="J117" s="13">
        <f>D116-G117</f>
        <v>14634</v>
      </c>
    </row>
    <row r="118" spans="1:10" ht="12.7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.7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2.7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2.7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2.75" customHeight="1">
      <c r="A123" s="1" t="s">
        <v>2</v>
      </c>
      <c r="B123" s="1"/>
      <c r="C123" s="194"/>
      <c r="D123" s="194"/>
      <c r="E123" s="2"/>
      <c r="F123" s="3"/>
      <c r="G123" s="1" t="s">
        <v>4</v>
      </c>
      <c r="H123" s="209" t="s">
        <v>143</v>
      </c>
      <c r="I123" s="209"/>
      <c r="J123" s="209"/>
    </row>
    <row r="124" spans="1:10" ht="12.75" customHeight="1">
      <c r="A124" s="1" t="s">
        <v>6</v>
      </c>
      <c r="B124" s="1"/>
      <c r="C124" s="192" t="s">
        <v>481</v>
      </c>
      <c r="D124" s="192"/>
      <c r="E124" s="2"/>
      <c r="F124" s="3"/>
      <c r="G124" s="1" t="s">
        <v>8</v>
      </c>
      <c r="H124" s="193" t="s">
        <v>9</v>
      </c>
      <c r="I124" s="193"/>
      <c r="J124" s="193"/>
    </row>
    <row r="125" spans="1:10" ht="12.75" customHeight="1">
      <c r="A125" s="6" t="s">
        <v>10</v>
      </c>
      <c r="B125" s="6"/>
      <c r="C125" s="194" t="s">
        <v>463</v>
      </c>
      <c r="D125" s="194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2.75" customHeight="1">
      <c r="A126" s="2" t="s">
        <v>14</v>
      </c>
      <c r="B126" s="2"/>
      <c r="C126" s="1" t="s">
        <v>15</v>
      </c>
      <c r="D126" s="1"/>
      <c r="E126" s="2"/>
      <c r="F126" s="3"/>
      <c r="G126" s="1" t="s">
        <v>16</v>
      </c>
      <c r="H126" s="209" t="s">
        <v>55</v>
      </c>
      <c r="I126" s="209"/>
      <c r="J126" s="209"/>
    </row>
    <row r="127" spans="1:10" ht="12.75" customHeight="1">
      <c r="A127" s="2">
        <v>30</v>
      </c>
      <c r="B127" s="2"/>
      <c r="C127" s="2">
        <f>A127-H127</f>
        <v>0</v>
      </c>
      <c r="D127" s="2"/>
      <c r="E127" s="2"/>
      <c r="F127" s="3"/>
      <c r="G127" s="8" t="s">
        <v>18</v>
      </c>
      <c r="H127" s="197">
        <v>30</v>
      </c>
      <c r="I127" s="197"/>
      <c r="J127" s="197"/>
    </row>
    <row r="128" spans="1:10" ht="12.7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2.75" customHeight="1">
      <c r="A129" s="17" t="s">
        <v>56</v>
      </c>
      <c r="B129" s="1"/>
      <c r="C129" s="1"/>
      <c r="D129" s="2">
        <v>32000</v>
      </c>
      <c r="E129" s="17" t="s">
        <v>24</v>
      </c>
      <c r="F129" s="1"/>
      <c r="G129" s="2" t="s">
        <v>25</v>
      </c>
      <c r="H129" s="18" t="s">
        <v>26</v>
      </c>
      <c r="I129" s="23"/>
      <c r="J129" s="24"/>
    </row>
    <row r="130" spans="1:10" ht="12.75" customHeight="1">
      <c r="A130" s="17" t="s">
        <v>57</v>
      </c>
      <c r="B130" s="283"/>
      <c r="C130" s="283"/>
      <c r="D130" s="2" t="s">
        <v>25</v>
      </c>
      <c r="E130" s="17" t="s">
        <v>28</v>
      </c>
      <c r="F130" s="1"/>
      <c r="G130" s="2" t="s">
        <v>25</v>
      </c>
      <c r="H130" s="18" t="s">
        <v>29</v>
      </c>
      <c r="I130" s="23"/>
      <c r="J130" s="24"/>
    </row>
    <row r="131" spans="1:10" ht="12.75" customHeight="1">
      <c r="A131" s="17" t="s">
        <v>30</v>
      </c>
      <c r="B131" s="1"/>
      <c r="C131" s="1"/>
      <c r="D131" s="2">
        <v>2000</v>
      </c>
      <c r="E131" s="17" t="s">
        <v>58</v>
      </c>
      <c r="F131" s="1"/>
      <c r="G131" s="2" t="s">
        <v>25</v>
      </c>
      <c r="H131" s="18" t="s">
        <v>32</v>
      </c>
      <c r="I131" s="23"/>
      <c r="J131" s="24"/>
    </row>
    <row r="132" spans="1:10" ht="12.75" customHeight="1">
      <c r="A132" s="17" t="s">
        <v>147</v>
      </c>
      <c r="B132" s="1"/>
      <c r="C132" s="1"/>
      <c r="D132" s="2" t="s">
        <v>25</v>
      </c>
      <c r="E132" s="17" t="s">
        <v>35</v>
      </c>
      <c r="F132" s="1"/>
      <c r="G132" s="2" t="s">
        <v>25</v>
      </c>
      <c r="H132" s="18"/>
      <c r="I132" s="6"/>
      <c r="J132" s="19"/>
    </row>
    <row r="133" spans="1:10" ht="12.75" customHeight="1">
      <c r="A133" s="17" t="s">
        <v>60</v>
      </c>
      <c r="B133" s="1"/>
      <c r="C133" s="1"/>
      <c r="D133" s="2">
        <v>5000</v>
      </c>
      <c r="E133" s="17" t="s">
        <v>61</v>
      </c>
      <c r="F133" s="1"/>
      <c r="G133" s="2" t="s">
        <v>25</v>
      </c>
      <c r="H133" s="18"/>
      <c r="I133" s="6"/>
      <c r="J133" s="19"/>
    </row>
    <row r="134" spans="1:10" ht="12.75" customHeight="1">
      <c r="A134" s="17" t="s">
        <v>136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8"/>
      <c r="I134" s="6"/>
      <c r="J134" s="19"/>
    </row>
    <row r="135" spans="1:10" ht="12.75" customHeight="1">
      <c r="A135" s="18" t="s">
        <v>40</v>
      </c>
      <c r="B135" s="6"/>
      <c r="C135" s="6"/>
      <c r="D135" s="2" t="s">
        <v>25</v>
      </c>
      <c r="E135" s="17" t="s">
        <v>78</v>
      </c>
      <c r="F135" s="1"/>
      <c r="G135" s="2" t="s">
        <v>25</v>
      </c>
      <c r="H135" s="18"/>
      <c r="I135" s="6"/>
      <c r="J135" s="19"/>
    </row>
    <row r="136" spans="1:10" ht="12.75" customHeight="1">
      <c r="A136" s="204" t="s">
        <v>63</v>
      </c>
      <c r="B136" s="205"/>
      <c r="C136" s="206"/>
      <c r="D136" s="229">
        <f>SUM(D129:D135)</f>
        <v>39000</v>
      </c>
      <c r="E136" s="1" t="s">
        <v>43</v>
      </c>
      <c r="F136" s="1"/>
      <c r="G136" s="2" t="s">
        <v>25</v>
      </c>
      <c r="H136" s="18"/>
      <c r="I136" s="6"/>
      <c r="J136" s="19"/>
    </row>
    <row r="137" spans="1:10" ht="12.7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100</v>
      </c>
      <c r="H137" s="21" t="s">
        <v>44</v>
      </c>
      <c r="I137" s="22"/>
      <c r="J137" s="13">
        <f>D136-G137</f>
        <v>38900</v>
      </c>
    </row>
    <row r="138" spans="1:10" ht="12.7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2.75" customHeight="1">
      <c r="A140" s="3"/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2.7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2.7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2.75" customHeight="1">
      <c r="A143" s="1" t="s">
        <v>2</v>
      </c>
      <c r="B143" s="1"/>
      <c r="C143" s="194" t="s">
        <v>482</v>
      </c>
      <c r="D143" s="194"/>
      <c r="E143" s="2"/>
      <c r="F143" s="3"/>
      <c r="G143" s="1" t="s">
        <v>4</v>
      </c>
      <c r="H143" s="209" t="s">
        <v>143</v>
      </c>
      <c r="I143" s="209"/>
      <c r="J143" s="209"/>
    </row>
    <row r="144" spans="1:10" ht="12.75" customHeight="1">
      <c r="A144" s="1" t="s">
        <v>6</v>
      </c>
      <c r="B144" s="1"/>
      <c r="C144" s="192" t="s">
        <v>483</v>
      </c>
      <c r="D144" s="192"/>
      <c r="E144" s="2"/>
      <c r="F144" s="3"/>
      <c r="G144" s="1" t="s">
        <v>8</v>
      </c>
      <c r="H144" s="193" t="s">
        <v>9</v>
      </c>
      <c r="I144" s="193"/>
      <c r="J144" s="193"/>
    </row>
    <row r="145" spans="1:10" ht="12.75" customHeight="1">
      <c r="A145" s="6" t="s">
        <v>10</v>
      </c>
      <c r="B145" s="6"/>
      <c r="C145" s="194" t="s">
        <v>466</v>
      </c>
      <c r="D145" s="194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2.75" customHeight="1">
      <c r="A146" s="2" t="s">
        <v>14</v>
      </c>
      <c r="B146" s="2"/>
      <c r="C146" s="2" t="s">
        <v>15</v>
      </c>
      <c r="D146" s="2"/>
      <c r="E146" s="2"/>
      <c r="F146" s="3"/>
      <c r="G146" s="1" t="s">
        <v>16</v>
      </c>
      <c r="H146" s="196" t="s">
        <v>140</v>
      </c>
      <c r="I146" s="196"/>
      <c r="J146" s="196"/>
    </row>
    <row r="147" spans="1:10" ht="12.75" customHeight="1">
      <c r="A147" s="2">
        <v>30</v>
      </c>
      <c r="B147" s="2"/>
      <c r="C147" s="2">
        <f>A147-H147</f>
        <v>1</v>
      </c>
      <c r="D147" s="2"/>
      <c r="E147" s="2"/>
      <c r="F147" s="3"/>
      <c r="G147" s="8" t="s">
        <v>18</v>
      </c>
      <c r="H147" s="197">
        <v>29</v>
      </c>
      <c r="I147" s="197"/>
      <c r="J147" s="197"/>
    </row>
    <row r="148" spans="1:10" ht="12.7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2.75" customHeight="1">
      <c r="A149" s="17" t="s">
        <v>23</v>
      </c>
      <c r="B149" s="1"/>
      <c r="C149" s="1"/>
      <c r="D149" s="2">
        <v>25000</v>
      </c>
      <c r="E149" s="17" t="s">
        <v>24</v>
      </c>
      <c r="F149" s="1"/>
      <c r="G149" s="2" t="s">
        <v>25</v>
      </c>
      <c r="H149" s="18" t="s">
        <v>26</v>
      </c>
      <c r="I149" s="23"/>
      <c r="J149" s="24"/>
    </row>
    <row r="150" spans="1:10" ht="12.75" customHeight="1">
      <c r="A150" s="17" t="s">
        <v>77</v>
      </c>
      <c r="B150" s="209"/>
      <c r="C150" s="209"/>
      <c r="D150" s="2" t="s">
        <v>25</v>
      </c>
      <c r="E150" s="17" t="s">
        <v>28</v>
      </c>
      <c r="F150" s="1"/>
      <c r="G150" s="2" t="s">
        <v>25</v>
      </c>
      <c r="H150" s="18" t="s">
        <v>29</v>
      </c>
      <c r="I150" s="23"/>
      <c r="J150" s="24"/>
    </row>
    <row r="151" spans="1:10" ht="12.75" customHeight="1">
      <c r="A151" s="17" t="s">
        <v>30</v>
      </c>
      <c r="B151" s="1"/>
      <c r="C151" s="1"/>
      <c r="D151" s="2">
        <v>1000</v>
      </c>
      <c r="E151" s="17" t="s">
        <v>58</v>
      </c>
      <c r="F151" s="1"/>
      <c r="G151" s="2" t="s">
        <v>25</v>
      </c>
      <c r="H151" s="18" t="s">
        <v>32</v>
      </c>
      <c r="I151" s="23"/>
      <c r="J151" s="24"/>
    </row>
    <row r="152" spans="1:10" ht="12.75" customHeight="1">
      <c r="A152" s="17" t="s">
        <v>34</v>
      </c>
      <c r="B152" s="1"/>
      <c r="C152" s="1"/>
      <c r="D152" s="2" t="s">
        <v>25</v>
      </c>
      <c r="E152" s="17" t="s">
        <v>71</v>
      </c>
      <c r="F152" s="1"/>
      <c r="G152" s="2">
        <v>833</v>
      </c>
      <c r="H152" s="18"/>
      <c r="I152" s="36"/>
      <c r="J152" s="19"/>
    </row>
    <row r="153" spans="1:10" ht="12.75" customHeight="1">
      <c r="A153" s="17" t="s">
        <v>72</v>
      </c>
      <c r="B153" s="1"/>
      <c r="C153" s="1"/>
      <c r="D153" s="2" t="s">
        <v>25</v>
      </c>
      <c r="E153" s="17" t="s">
        <v>37</v>
      </c>
      <c r="F153" s="1"/>
      <c r="G153" s="2" t="s">
        <v>25</v>
      </c>
      <c r="H153" s="18"/>
      <c r="I153" s="6"/>
      <c r="J153" s="19"/>
    </row>
    <row r="154" spans="1:10" ht="12.75" customHeight="1">
      <c r="A154" s="17" t="s">
        <v>78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2.75" customHeight="1">
      <c r="A155" s="18" t="s">
        <v>40</v>
      </c>
      <c r="B155" s="6"/>
      <c r="C155" s="6"/>
      <c r="D155" s="2" t="s">
        <v>25</v>
      </c>
      <c r="E155" s="17" t="s">
        <v>41</v>
      </c>
      <c r="F155" s="1"/>
      <c r="G155" s="2" t="s">
        <v>25</v>
      </c>
      <c r="H155" s="18"/>
      <c r="I155" s="6"/>
      <c r="J155" s="19"/>
    </row>
    <row r="156" spans="1:10" ht="12.75" customHeight="1">
      <c r="A156" s="204" t="s">
        <v>63</v>
      </c>
      <c r="B156" s="205"/>
      <c r="C156" s="206"/>
      <c r="D156" s="229">
        <f>SUM(D149:D155)</f>
        <v>26000</v>
      </c>
      <c r="E156" s="1" t="s">
        <v>78</v>
      </c>
      <c r="F156" s="1"/>
      <c r="G156" s="2" t="s">
        <v>25</v>
      </c>
      <c r="H156" s="18"/>
      <c r="I156" s="6"/>
      <c r="J156" s="19"/>
    </row>
    <row r="157" spans="1:10" ht="12.7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933</v>
      </c>
      <c r="H157" s="21" t="s">
        <v>44</v>
      </c>
      <c r="I157" s="22"/>
      <c r="J157" s="13">
        <f>D156-G157</f>
        <v>25067</v>
      </c>
    </row>
    <row r="158" spans="1:10" ht="12.7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2.75" customHeight="1">
      <c r="A160" s="3"/>
      <c r="B160" s="3" t="s">
        <v>47</v>
      </c>
      <c r="C160" s="3"/>
      <c r="D160" s="3"/>
      <c r="E160" s="3" t="s">
        <v>48</v>
      </c>
      <c r="F160" s="3"/>
      <c r="G160" s="3"/>
      <c r="H160" s="3" t="s">
        <v>49</v>
      </c>
      <c r="I160" s="3"/>
      <c r="J160" s="3"/>
    </row>
    <row r="161" spans="1:10" ht="12.75" customHeight="1">
      <c r="A161" s="184" t="s">
        <v>0</v>
      </c>
      <c r="B161" s="185"/>
      <c r="C161" s="185"/>
      <c r="D161" s="185"/>
      <c r="E161" s="185"/>
      <c r="F161" s="185"/>
      <c r="G161" s="185"/>
      <c r="H161" s="185"/>
      <c r="I161" s="185"/>
      <c r="J161" s="186"/>
    </row>
    <row r="162" spans="1:10" ht="12.75" customHeight="1">
      <c r="A162" s="187" t="s">
        <v>1</v>
      </c>
      <c r="B162" s="188"/>
      <c r="C162" s="188"/>
      <c r="D162" s="188"/>
      <c r="E162" s="188"/>
      <c r="F162" s="188"/>
      <c r="G162" s="188"/>
      <c r="H162" s="188"/>
      <c r="I162" s="188"/>
      <c r="J162" s="189"/>
    </row>
    <row r="163" spans="1:10" ht="12.75" customHeight="1">
      <c r="A163" s="1" t="s">
        <v>2</v>
      </c>
      <c r="B163" s="1"/>
      <c r="C163" s="194"/>
      <c r="D163" s="194"/>
      <c r="E163" s="2"/>
      <c r="F163" s="3"/>
      <c r="G163" s="1" t="s">
        <v>4</v>
      </c>
      <c r="H163" s="209" t="s">
        <v>143</v>
      </c>
      <c r="I163" s="209"/>
      <c r="J163" s="209"/>
    </row>
    <row r="164" spans="1:10" ht="12.75" customHeight="1">
      <c r="A164" s="1" t="s">
        <v>6</v>
      </c>
      <c r="B164" s="1"/>
      <c r="C164" s="192" t="s">
        <v>484</v>
      </c>
      <c r="D164" s="192"/>
      <c r="E164" s="2"/>
      <c r="F164" s="3"/>
      <c r="G164" s="1" t="s">
        <v>8</v>
      </c>
      <c r="H164" s="193" t="s">
        <v>9</v>
      </c>
      <c r="I164" s="193"/>
      <c r="J164" s="193"/>
    </row>
    <row r="165" spans="1:10" ht="12.75" customHeight="1">
      <c r="A165" s="6" t="s">
        <v>10</v>
      </c>
      <c r="B165" s="6"/>
      <c r="C165" s="194" t="s">
        <v>466</v>
      </c>
      <c r="D165" s="194"/>
      <c r="E165" s="2"/>
      <c r="F165" s="3"/>
      <c r="G165" s="1" t="s">
        <v>12</v>
      </c>
      <c r="H165" s="195" t="s">
        <v>13</v>
      </c>
      <c r="I165" s="195"/>
      <c r="J165" s="195"/>
    </row>
    <row r="166" spans="1:10" ht="12.75" customHeight="1">
      <c r="A166" s="6" t="s">
        <v>14</v>
      </c>
      <c r="B166" s="6"/>
      <c r="C166" s="2" t="s">
        <v>15</v>
      </c>
      <c r="D166" s="2"/>
      <c r="E166" s="2"/>
      <c r="F166" s="3"/>
      <c r="G166" s="1" t="s">
        <v>16</v>
      </c>
      <c r="H166" s="196" t="s">
        <v>55</v>
      </c>
      <c r="I166" s="196"/>
      <c r="J166" s="196"/>
    </row>
    <row r="167" spans="1:10" ht="12.75" customHeight="1">
      <c r="A167" s="6">
        <v>30</v>
      </c>
      <c r="B167" s="6"/>
      <c r="C167" s="2">
        <f>A167-I167</f>
        <v>0</v>
      </c>
      <c r="D167" s="2"/>
      <c r="E167" s="2"/>
      <c r="F167" s="3"/>
      <c r="G167" s="8" t="s">
        <v>18</v>
      </c>
      <c r="H167" s="8"/>
      <c r="I167" s="9">
        <v>30</v>
      </c>
      <c r="J167" s="9"/>
    </row>
    <row r="168" spans="1:10" ht="12.75" customHeight="1">
      <c r="A168" s="198" t="s">
        <v>19</v>
      </c>
      <c r="B168" s="199"/>
      <c r="C168" s="200"/>
      <c r="D168" s="13" t="s">
        <v>20</v>
      </c>
      <c r="E168" s="14" t="s">
        <v>21</v>
      </c>
      <c r="F168" s="15"/>
      <c r="G168" s="16" t="s">
        <v>20</v>
      </c>
      <c r="H168" s="201" t="s">
        <v>22</v>
      </c>
      <c r="I168" s="202"/>
      <c r="J168" s="203"/>
    </row>
    <row r="169" spans="1:10" ht="12.75" customHeight="1">
      <c r="A169" s="17" t="s">
        <v>23</v>
      </c>
      <c r="B169" s="1"/>
      <c r="C169" s="1"/>
      <c r="D169" s="2">
        <v>25000</v>
      </c>
      <c r="E169" s="17" t="s">
        <v>24</v>
      </c>
      <c r="F169" s="1"/>
      <c r="G169" s="2" t="s">
        <v>25</v>
      </c>
      <c r="H169" s="18" t="s">
        <v>26</v>
      </c>
      <c r="I169" s="23"/>
      <c r="J169" s="24"/>
    </row>
    <row r="170" spans="1:10" ht="12.75" customHeight="1">
      <c r="A170" s="17" t="s">
        <v>77</v>
      </c>
      <c r="B170" s="209"/>
      <c r="C170" s="209"/>
      <c r="D170" s="2" t="s">
        <v>25</v>
      </c>
      <c r="E170" s="17" t="s">
        <v>28</v>
      </c>
      <c r="F170" s="1"/>
      <c r="G170" s="2" t="s">
        <v>25</v>
      </c>
      <c r="H170" s="18" t="s">
        <v>29</v>
      </c>
      <c r="I170" s="23"/>
      <c r="J170" s="24"/>
    </row>
    <row r="171" spans="1:10" ht="12.75" customHeight="1">
      <c r="A171" s="17" t="s">
        <v>30</v>
      </c>
      <c r="B171" s="1"/>
      <c r="C171" s="1"/>
      <c r="D171" s="2">
        <v>1000</v>
      </c>
      <c r="E171" s="17" t="s">
        <v>40</v>
      </c>
      <c r="F171" s="1"/>
      <c r="G171" s="2" t="s">
        <v>25</v>
      </c>
      <c r="H171" s="18" t="s">
        <v>32</v>
      </c>
      <c r="I171" s="23"/>
      <c r="J171" s="24"/>
    </row>
    <row r="172" spans="1:10" ht="12.75" customHeight="1">
      <c r="A172" s="17" t="s">
        <v>27</v>
      </c>
      <c r="B172" s="1"/>
      <c r="C172" s="1"/>
      <c r="D172" s="2" t="s">
        <v>25</v>
      </c>
      <c r="E172" s="17" t="s">
        <v>35</v>
      </c>
      <c r="F172" s="1"/>
      <c r="G172" s="2" t="s">
        <v>25</v>
      </c>
      <c r="H172" s="18"/>
      <c r="I172" s="6"/>
      <c r="J172" s="19"/>
    </row>
    <row r="173" spans="1:10" ht="12.75" customHeight="1">
      <c r="A173" s="17" t="s">
        <v>110</v>
      </c>
      <c r="B173" s="1"/>
      <c r="C173" s="1"/>
      <c r="D173" s="2" t="s">
        <v>25</v>
      </c>
      <c r="E173" s="17" t="s">
        <v>61</v>
      </c>
      <c r="F173" s="1"/>
      <c r="G173" s="2" t="s">
        <v>25</v>
      </c>
      <c r="H173" s="18"/>
      <c r="I173" s="6"/>
      <c r="J173" s="19"/>
    </row>
    <row r="174" spans="1:10" ht="12.75" customHeight="1">
      <c r="A174" s="17" t="s">
        <v>136</v>
      </c>
      <c r="B174" s="1"/>
      <c r="C174" s="1"/>
      <c r="D174" s="2" t="s">
        <v>25</v>
      </c>
      <c r="E174" s="17" t="s">
        <v>39</v>
      </c>
      <c r="F174" s="1"/>
      <c r="G174" s="2">
        <v>100</v>
      </c>
      <c r="H174" s="18"/>
      <c r="I174" s="6"/>
      <c r="J174" s="19"/>
    </row>
    <row r="175" spans="1:10" ht="12.75" customHeight="1">
      <c r="A175" s="18" t="s">
        <v>40</v>
      </c>
      <c r="B175" s="6"/>
      <c r="C175" s="6"/>
      <c r="D175" s="2" t="s">
        <v>25</v>
      </c>
      <c r="E175" s="17" t="s">
        <v>41</v>
      </c>
      <c r="F175" s="1"/>
      <c r="G175" s="2" t="s">
        <v>25</v>
      </c>
      <c r="H175" s="18"/>
      <c r="I175" s="6"/>
      <c r="J175" s="19"/>
    </row>
    <row r="176" spans="1:10" ht="12.75" customHeight="1">
      <c r="A176" s="204" t="s">
        <v>63</v>
      </c>
      <c r="B176" s="205"/>
      <c r="C176" s="206"/>
      <c r="D176" s="229">
        <f>SUM(D169:D175)</f>
        <v>26000</v>
      </c>
      <c r="E176" s="1" t="s">
        <v>43</v>
      </c>
      <c r="F176" s="1"/>
      <c r="G176" s="2" t="s">
        <v>25</v>
      </c>
      <c r="H176" s="18"/>
      <c r="I176" s="6"/>
      <c r="J176" s="19"/>
    </row>
    <row r="177" spans="1:10" ht="12.75" customHeight="1">
      <c r="A177" s="207"/>
      <c r="B177" s="197"/>
      <c r="C177" s="208"/>
      <c r="D177" s="230"/>
      <c r="E177" s="21" t="s">
        <v>21</v>
      </c>
      <c r="F177" s="22"/>
      <c r="G177" s="13">
        <f>SUM(G169:G176)</f>
        <v>100</v>
      </c>
      <c r="H177" s="21" t="s">
        <v>44</v>
      </c>
      <c r="I177" s="22"/>
      <c r="J177" s="13">
        <f>D176-G177</f>
        <v>25900</v>
      </c>
    </row>
    <row r="178" spans="1:10" ht="12.75" customHeight="1">
      <c r="A178" s="3" t="s">
        <v>45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2.75" customHeight="1">
      <c r="A180" s="3"/>
      <c r="B180" s="3" t="s">
        <v>47</v>
      </c>
      <c r="C180" s="3"/>
      <c r="D180" s="3"/>
      <c r="E180" s="3" t="s">
        <v>48</v>
      </c>
      <c r="F180" s="3"/>
      <c r="G180" s="3"/>
      <c r="H180" s="3" t="s">
        <v>49</v>
      </c>
      <c r="I180" s="3"/>
      <c r="J180" s="3"/>
    </row>
    <row r="181" spans="1:10" ht="12.75" customHeight="1">
      <c r="A181" s="184" t="s">
        <v>0</v>
      </c>
      <c r="B181" s="185"/>
      <c r="C181" s="185"/>
      <c r="D181" s="185"/>
      <c r="E181" s="185"/>
      <c r="F181" s="185"/>
      <c r="G181" s="185"/>
      <c r="H181" s="185"/>
      <c r="I181" s="185"/>
      <c r="J181" s="186"/>
    </row>
    <row r="182" spans="1:10" ht="12.75" customHeight="1">
      <c r="A182" s="187" t="s">
        <v>1</v>
      </c>
      <c r="B182" s="188"/>
      <c r="C182" s="188"/>
      <c r="D182" s="188"/>
      <c r="E182" s="188"/>
      <c r="F182" s="188"/>
      <c r="G182" s="188"/>
      <c r="H182" s="188"/>
      <c r="I182" s="188"/>
      <c r="J182" s="189"/>
    </row>
    <row r="183" spans="1:10" ht="12.75" customHeight="1">
      <c r="A183" s="1" t="s">
        <v>2</v>
      </c>
      <c r="B183" s="1"/>
      <c r="C183" s="194"/>
      <c r="D183" s="194"/>
      <c r="E183" s="2"/>
      <c r="F183" s="3"/>
      <c r="G183" s="1" t="s">
        <v>4</v>
      </c>
      <c r="H183" s="209" t="s">
        <v>143</v>
      </c>
      <c r="I183" s="209"/>
      <c r="J183" s="209"/>
    </row>
    <row r="184" spans="1:10" ht="12.75" customHeight="1">
      <c r="A184" s="1" t="s">
        <v>6</v>
      </c>
      <c r="B184" s="1"/>
      <c r="C184" s="192" t="s">
        <v>485</v>
      </c>
      <c r="D184" s="192"/>
      <c r="E184" s="2"/>
      <c r="F184" s="3"/>
      <c r="G184" s="1" t="s">
        <v>8</v>
      </c>
      <c r="H184" s="193" t="s">
        <v>9</v>
      </c>
      <c r="I184" s="193"/>
      <c r="J184" s="193"/>
    </row>
    <row r="185" spans="1:10" ht="12.75" customHeight="1">
      <c r="A185" s="6" t="s">
        <v>10</v>
      </c>
      <c r="B185" s="6"/>
      <c r="C185" s="194" t="s">
        <v>466</v>
      </c>
      <c r="D185" s="194"/>
      <c r="E185" s="2"/>
      <c r="F185" s="3"/>
      <c r="G185" s="1" t="s">
        <v>12</v>
      </c>
      <c r="H185" s="195" t="s">
        <v>13</v>
      </c>
      <c r="I185" s="195"/>
      <c r="J185" s="195"/>
    </row>
    <row r="186" spans="1:10" ht="12.75" customHeight="1">
      <c r="A186" s="6" t="s">
        <v>14</v>
      </c>
      <c r="B186" s="6"/>
      <c r="C186" s="2" t="s">
        <v>15</v>
      </c>
      <c r="D186" s="2"/>
      <c r="E186" s="2"/>
      <c r="F186" s="3"/>
      <c r="G186" s="1" t="s">
        <v>16</v>
      </c>
      <c r="H186" s="196" t="s">
        <v>55</v>
      </c>
      <c r="I186" s="196"/>
      <c r="J186" s="196"/>
    </row>
    <row r="187" spans="1:10" ht="12.75" customHeight="1">
      <c r="A187" s="6">
        <v>30</v>
      </c>
      <c r="B187" s="6"/>
      <c r="C187" s="2">
        <f>A187-I187</f>
        <v>0</v>
      </c>
      <c r="D187" s="2"/>
      <c r="E187" s="2"/>
      <c r="F187" s="3"/>
      <c r="G187" s="8" t="s">
        <v>18</v>
      </c>
      <c r="H187" s="8"/>
      <c r="I187" s="9">
        <v>30</v>
      </c>
      <c r="J187" s="9"/>
    </row>
    <row r="188" spans="1:10" ht="12.75" customHeight="1">
      <c r="A188" s="198" t="s">
        <v>19</v>
      </c>
      <c r="B188" s="199"/>
      <c r="C188" s="200"/>
      <c r="D188" s="13" t="s">
        <v>20</v>
      </c>
      <c r="E188" s="14" t="s">
        <v>21</v>
      </c>
      <c r="F188" s="15"/>
      <c r="G188" s="16" t="s">
        <v>20</v>
      </c>
      <c r="H188" s="201" t="s">
        <v>22</v>
      </c>
      <c r="I188" s="202"/>
      <c r="J188" s="203"/>
    </row>
    <row r="189" spans="1:10" ht="12.75" customHeight="1">
      <c r="A189" s="17" t="s">
        <v>23</v>
      </c>
      <c r="B189" s="1"/>
      <c r="C189" s="1"/>
      <c r="D189" s="2">
        <v>23000</v>
      </c>
      <c r="E189" s="17" t="s">
        <v>24</v>
      </c>
      <c r="F189" s="1"/>
      <c r="G189" s="2" t="s">
        <v>25</v>
      </c>
      <c r="H189" s="18" t="s">
        <v>26</v>
      </c>
      <c r="I189" s="23"/>
      <c r="J189" s="24"/>
    </row>
    <row r="190" spans="1:10" ht="12.75" customHeight="1">
      <c r="A190" s="17" t="s">
        <v>77</v>
      </c>
      <c r="B190" s="209"/>
      <c r="C190" s="209"/>
      <c r="D190" s="2" t="s">
        <v>25</v>
      </c>
      <c r="E190" s="17" t="s">
        <v>28</v>
      </c>
      <c r="F190" s="1"/>
      <c r="G190" s="2" t="s">
        <v>25</v>
      </c>
      <c r="H190" s="18" t="s">
        <v>29</v>
      </c>
      <c r="I190" s="23"/>
      <c r="J190" s="24"/>
    </row>
    <row r="191" spans="1:10" ht="12.75" customHeight="1">
      <c r="A191" s="17" t="s">
        <v>30</v>
      </c>
      <c r="B191" s="1"/>
      <c r="C191" s="1"/>
      <c r="D191" s="2">
        <v>1000</v>
      </c>
      <c r="E191" s="17" t="s">
        <v>40</v>
      </c>
      <c r="F191" s="1"/>
      <c r="G191" s="2" t="s">
        <v>25</v>
      </c>
      <c r="H191" s="18" t="s">
        <v>32</v>
      </c>
      <c r="I191" s="23"/>
      <c r="J191" s="24"/>
    </row>
    <row r="192" spans="1:10" ht="12.75" customHeight="1">
      <c r="A192" s="17" t="s">
        <v>27</v>
      </c>
      <c r="B192" s="1"/>
      <c r="C192" s="1"/>
      <c r="D192" s="2" t="s">
        <v>25</v>
      </c>
      <c r="E192" s="17" t="s">
        <v>35</v>
      </c>
      <c r="F192" s="1"/>
      <c r="G192" s="2" t="s">
        <v>25</v>
      </c>
      <c r="H192" s="18"/>
      <c r="I192" s="6"/>
      <c r="J192" s="19"/>
    </row>
    <row r="193" spans="1:10" ht="12.75" customHeight="1">
      <c r="A193" s="17" t="s">
        <v>110</v>
      </c>
      <c r="B193" s="1"/>
      <c r="C193" s="1"/>
      <c r="D193" s="2" t="s">
        <v>25</v>
      </c>
      <c r="E193" s="17" t="s">
        <v>61</v>
      </c>
      <c r="F193" s="1"/>
      <c r="G193" s="2" t="s">
        <v>25</v>
      </c>
      <c r="H193" s="18"/>
      <c r="I193" s="6"/>
      <c r="J193" s="19"/>
    </row>
    <row r="194" spans="1:10" ht="12.75" customHeight="1">
      <c r="A194" s="17" t="s">
        <v>136</v>
      </c>
      <c r="B194" s="1"/>
      <c r="C194" s="1"/>
      <c r="D194" s="2" t="s">
        <v>25</v>
      </c>
      <c r="E194" s="17" t="s">
        <v>39</v>
      </c>
      <c r="F194" s="1"/>
      <c r="G194" s="2">
        <v>100</v>
      </c>
      <c r="H194" s="18"/>
      <c r="I194" s="6"/>
      <c r="J194" s="19"/>
    </row>
    <row r="195" spans="1:10" ht="12.75" customHeight="1">
      <c r="A195" s="18" t="s">
        <v>40</v>
      </c>
      <c r="B195" s="6"/>
      <c r="C195" s="6"/>
      <c r="D195" s="2" t="s">
        <v>25</v>
      </c>
      <c r="E195" s="17" t="s">
        <v>41</v>
      </c>
      <c r="F195" s="1"/>
      <c r="G195" s="2" t="s">
        <v>25</v>
      </c>
      <c r="H195" s="18"/>
      <c r="I195" s="6"/>
      <c r="J195" s="19"/>
    </row>
    <row r="196" spans="1:10" ht="12.75" customHeight="1">
      <c r="A196" s="204" t="s">
        <v>63</v>
      </c>
      <c r="B196" s="205"/>
      <c r="C196" s="206"/>
      <c r="D196" s="229">
        <f>SUM(D189:D195)</f>
        <v>24000</v>
      </c>
      <c r="E196" s="1" t="s">
        <v>43</v>
      </c>
      <c r="F196" s="1"/>
      <c r="G196" s="2" t="s">
        <v>25</v>
      </c>
      <c r="H196" s="18"/>
      <c r="I196" s="6"/>
      <c r="J196" s="19"/>
    </row>
    <row r="197" spans="1:10" ht="12.75" customHeight="1">
      <c r="A197" s="207"/>
      <c r="B197" s="197"/>
      <c r="C197" s="208"/>
      <c r="D197" s="230"/>
      <c r="E197" s="21" t="s">
        <v>21</v>
      </c>
      <c r="F197" s="22"/>
      <c r="G197" s="13">
        <f>SUM(G189:G196)</f>
        <v>100</v>
      </c>
      <c r="H197" s="21" t="s">
        <v>44</v>
      </c>
      <c r="I197" s="22"/>
      <c r="J197" s="13">
        <f>D196-G197</f>
        <v>23900</v>
      </c>
    </row>
    <row r="198" spans="1:10" ht="12.75" customHeight="1">
      <c r="A198" s="3" t="s">
        <v>45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2.75" customHeight="1">
      <c r="A200" s="3"/>
      <c r="B200" s="3" t="s">
        <v>47</v>
      </c>
      <c r="C200" s="3"/>
      <c r="D200" s="3"/>
      <c r="E200" s="3" t="s">
        <v>48</v>
      </c>
      <c r="F200" s="3"/>
      <c r="G200" s="3"/>
      <c r="H200" s="3" t="s">
        <v>49</v>
      </c>
      <c r="I200" s="3"/>
      <c r="J200" s="3"/>
    </row>
    <row r="201" spans="1:10" ht="12.75" customHeight="1">
      <c r="A201" s="184" t="s">
        <v>0</v>
      </c>
      <c r="B201" s="185"/>
      <c r="C201" s="185"/>
      <c r="D201" s="185"/>
      <c r="E201" s="185"/>
      <c r="F201" s="185"/>
      <c r="G201" s="185"/>
      <c r="H201" s="185"/>
      <c r="I201" s="185"/>
      <c r="J201" s="186"/>
    </row>
    <row r="202" spans="1:10" ht="12.75" customHeight="1">
      <c r="A202" s="187" t="s">
        <v>1</v>
      </c>
      <c r="B202" s="188"/>
      <c r="C202" s="188"/>
      <c r="D202" s="188"/>
      <c r="E202" s="188"/>
      <c r="F202" s="188"/>
      <c r="G202" s="188"/>
      <c r="H202" s="188"/>
      <c r="I202" s="188"/>
      <c r="J202" s="189"/>
    </row>
    <row r="203" spans="1:10" ht="12.75" customHeight="1">
      <c r="A203" s="1" t="s">
        <v>2</v>
      </c>
      <c r="B203" s="1"/>
      <c r="C203" s="209" t="s">
        <v>486</v>
      </c>
      <c r="D203" s="209"/>
      <c r="E203" s="2"/>
      <c r="F203" s="3"/>
      <c r="G203" s="1" t="s">
        <v>4</v>
      </c>
      <c r="H203" s="209" t="s">
        <v>182</v>
      </c>
      <c r="I203" s="209"/>
      <c r="J203" s="209"/>
    </row>
    <row r="204" spans="1:10" ht="12.75" customHeight="1">
      <c r="A204" s="1" t="s">
        <v>6</v>
      </c>
      <c r="B204" s="1"/>
      <c r="C204" s="25" t="s">
        <v>487</v>
      </c>
      <c r="D204" s="25"/>
      <c r="E204" s="2"/>
      <c r="F204" s="3"/>
      <c r="G204" s="1" t="s">
        <v>8</v>
      </c>
      <c r="H204" s="193" t="s">
        <v>9</v>
      </c>
      <c r="I204" s="193"/>
      <c r="J204" s="193"/>
    </row>
    <row r="205" spans="1:10" ht="12.75" customHeight="1">
      <c r="A205" s="6" t="s">
        <v>10</v>
      </c>
      <c r="B205" s="6"/>
      <c r="C205" s="194" t="s">
        <v>466</v>
      </c>
      <c r="D205" s="194"/>
      <c r="E205" s="2"/>
      <c r="F205" s="3"/>
      <c r="G205" s="1" t="s">
        <v>12</v>
      </c>
      <c r="H205" s="195" t="s">
        <v>13</v>
      </c>
      <c r="I205" s="195"/>
      <c r="J205" s="195"/>
    </row>
    <row r="206" spans="1:10" ht="12.75" customHeight="1">
      <c r="A206" s="6" t="s">
        <v>14</v>
      </c>
      <c r="B206" s="6"/>
      <c r="C206" s="2" t="s">
        <v>15</v>
      </c>
      <c r="D206" s="2"/>
      <c r="E206" s="2"/>
      <c r="F206" s="3"/>
      <c r="G206" s="1" t="s">
        <v>16</v>
      </c>
      <c r="H206" s="196" t="s">
        <v>55</v>
      </c>
      <c r="I206" s="196"/>
      <c r="J206" s="196"/>
    </row>
    <row r="207" spans="1:10" ht="12.75" customHeight="1">
      <c r="A207" s="6">
        <v>30</v>
      </c>
      <c r="B207" s="6"/>
      <c r="C207" s="2">
        <f>A207-I207</f>
        <v>0</v>
      </c>
      <c r="D207" s="2"/>
      <c r="E207" s="2"/>
      <c r="F207" s="3"/>
      <c r="G207" s="8" t="s">
        <v>18</v>
      </c>
      <c r="H207" s="8"/>
      <c r="I207" s="9">
        <v>30</v>
      </c>
      <c r="J207" s="9"/>
    </row>
    <row r="208" spans="1:10" ht="12.75" customHeight="1">
      <c r="A208" s="198" t="s">
        <v>19</v>
      </c>
      <c r="B208" s="199"/>
      <c r="C208" s="200"/>
      <c r="D208" s="13" t="s">
        <v>20</v>
      </c>
      <c r="E208" s="14" t="s">
        <v>21</v>
      </c>
      <c r="F208" s="15"/>
      <c r="G208" s="16" t="s">
        <v>20</v>
      </c>
      <c r="H208" s="201" t="s">
        <v>22</v>
      </c>
      <c r="I208" s="202"/>
      <c r="J208" s="203"/>
    </row>
    <row r="209" spans="1:10" ht="12.75" customHeight="1">
      <c r="A209" s="17" t="s">
        <v>23</v>
      </c>
      <c r="B209" s="1"/>
      <c r="C209" s="1"/>
      <c r="D209" s="2">
        <v>25000</v>
      </c>
      <c r="E209" s="17" t="s">
        <v>24</v>
      </c>
      <c r="F209" s="1"/>
      <c r="G209" s="2" t="s">
        <v>25</v>
      </c>
      <c r="H209" s="18" t="s">
        <v>26</v>
      </c>
      <c r="I209" s="23"/>
      <c r="J209" s="24"/>
    </row>
    <row r="210" spans="1:10" ht="12.75" customHeight="1">
      <c r="A210" s="17" t="s">
        <v>77</v>
      </c>
      <c r="B210" s="209" t="s">
        <v>320</v>
      </c>
      <c r="C210" s="209"/>
      <c r="D210" s="2">
        <v>1667</v>
      </c>
      <c r="E210" s="17" t="s">
        <v>28</v>
      </c>
      <c r="F210" s="1"/>
      <c r="G210" s="2" t="s">
        <v>25</v>
      </c>
      <c r="H210" s="18" t="s">
        <v>29</v>
      </c>
      <c r="I210" s="23"/>
      <c r="J210" s="24"/>
    </row>
    <row r="211" spans="1:10" ht="12.75" customHeight="1">
      <c r="A211" s="17" t="s">
        <v>30</v>
      </c>
      <c r="B211" s="1"/>
      <c r="C211" s="1"/>
      <c r="D211" s="2">
        <v>2000</v>
      </c>
      <c r="E211" s="17" t="s">
        <v>40</v>
      </c>
      <c r="F211" s="1"/>
      <c r="G211" s="2" t="s">
        <v>25</v>
      </c>
      <c r="H211" s="18" t="s">
        <v>32</v>
      </c>
      <c r="I211" s="23"/>
      <c r="J211" s="24"/>
    </row>
    <row r="212" spans="1:10" ht="12.75" customHeight="1">
      <c r="A212" s="17" t="s">
        <v>488</v>
      </c>
      <c r="B212" s="1"/>
      <c r="C212" s="1"/>
      <c r="D212" s="2" t="s">
        <v>25</v>
      </c>
      <c r="E212" s="17" t="s">
        <v>35</v>
      </c>
      <c r="F212" s="1"/>
      <c r="G212" s="2" t="s">
        <v>25</v>
      </c>
      <c r="H212" s="18"/>
      <c r="I212" s="6"/>
      <c r="J212" s="19"/>
    </row>
    <row r="213" spans="1:10" ht="12.75" customHeight="1">
      <c r="A213" s="17" t="s">
        <v>110</v>
      </c>
      <c r="B213" s="1"/>
      <c r="C213" s="1"/>
      <c r="D213" s="2" t="s">
        <v>25</v>
      </c>
      <c r="E213" s="17" t="s">
        <v>61</v>
      </c>
      <c r="F213" s="1"/>
      <c r="G213" s="2" t="s">
        <v>25</v>
      </c>
      <c r="H213" s="18" t="s">
        <v>489</v>
      </c>
      <c r="I213" s="6"/>
      <c r="J213" s="19"/>
    </row>
    <row r="214" spans="1:10" ht="12.75" customHeight="1">
      <c r="A214" s="17" t="s">
        <v>136</v>
      </c>
      <c r="B214" s="1"/>
      <c r="C214" s="1"/>
      <c r="D214" s="2" t="s">
        <v>25</v>
      </c>
      <c r="E214" s="17" t="s">
        <v>39</v>
      </c>
      <c r="F214" s="1"/>
      <c r="G214" s="2">
        <v>100</v>
      </c>
      <c r="H214" s="18"/>
      <c r="I214" s="6"/>
      <c r="J214" s="19"/>
    </row>
    <row r="215" spans="1:10" ht="12.75" customHeight="1">
      <c r="A215" s="18" t="s">
        <v>40</v>
      </c>
      <c r="B215" s="6"/>
      <c r="C215" s="6"/>
      <c r="D215" s="2" t="s">
        <v>25</v>
      </c>
      <c r="E215" s="17" t="s">
        <v>41</v>
      </c>
      <c r="F215" s="1"/>
      <c r="G215" s="2" t="s">
        <v>25</v>
      </c>
      <c r="H215" s="18"/>
      <c r="I215" s="6"/>
      <c r="J215" s="19"/>
    </row>
    <row r="216" spans="1:10" ht="12.75" customHeight="1">
      <c r="A216" s="204" t="s">
        <v>63</v>
      </c>
      <c r="B216" s="205"/>
      <c r="C216" s="206"/>
      <c r="D216" s="229">
        <f>SUM(D209:D215)</f>
        <v>28667</v>
      </c>
      <c r="E216" s="1" t="s">
        <v>43</v>
      </c>
      <c r="F216" s="1"/>
      <c r="G216" s="2" t="s">
        <v>25</v>
      </c>
      <c r="H216" s="18"/>
      <c r="I216" s="6"/>
      <c r="J216" s="19"/>
    </row>
    <row r="217" spans="1:10" ht="12.75" customHeight="1">
      <c r="A217" s="207"/>
      <c r="B217" s="197"/>
      <c r="C217" s="208"/>
      <c r="D217" s="230"/>
      <c r="E217" s="21" t="s">
        <v>21</v>
      </c>
      <c r="F217" s="22"/>
      <c r="G217" s="13">
        <f>SUM(G209:G216)</f>
        <v>100</v>
      </c>
      <c r="H217" s="21" t="s">
        <v>44</v>
      </c>
      <c r="I217" s="22"/>
      <c r="J217" s="13">
        <f>D216-G217</f>
        <v>28567</v>
      </c>
    </row>
    <row r="218" spans="1:10" ht="12.75" customHeight="1">
      <c r="A218" s="3" t="s">
        <v>45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2.75" customHeight="1"/>
    <row r="220" spans="1:10" ht="12.75" customHeight="1">
      <c r="A220" s="3"/>
      <c r="B220" s="3" t="s">
        <v>47</v>
      </c>
      <c r="C220" s="3"/>
      <c r="D220" s="3"/>
      <c r="E220" s="3" t="s">
        <v>48</v>
      </c>
      <c r="F220" s="3"/>
      <c r="G220" s="3"/>
      <c r="H220" s="3" t="s">
        <v>49</v>
      </c>
      <c r="I220" s="3"/>
      <c r="J220" s="3"/>
    </row>
    <row r="221" spans="1:10" ht="12.75" customHeight="1">
      <c r="A221" s="184" t="s">
        <v>0</v>
      </c>
      <c r="B221" s="185"/>
      <c r="C221" s="185"/>
      <c r="D221" s="185"/>
      <c r="E221" s="185"/>
      <c r="F221" s="185"/>
      <c r="G221" s="185"/>
      <c r="H221" s="185"/>
      <c r="I221" s="185"/>
      <c r="J221" s="186"/>
    </row>
    <row r="222" spans="1:10" ht="12.75" customHeight="1">
      <c r="A222" s="187" t="s">
        <v>1</v>
      </c>
      <c r="B222" s="188"/>
      <c r="C222" s="188"/>
      <c r="D222" s="188"/>
      <c r="E222" s="188"/>
      <c r="F222" s="188"/>
      <c r="G222" s="188"/>
      <c r="H222" s="188"/>
      <c r="I222" s="188"/>
      <c r="J222" s="189"/>
    </row>
    <row r="223" spans="1:10" ht="12.75" customHeight="1">
      <c r="A223" s="1" t="s">
        <v>2</v>
      </c>
      <c r="B223" s="1"/>
      <c r="C223" s="209" t="s">
        <v>486</v>
      </c>
      <c r="D223" s="209"/>
      <c r="E223" s="2"/>
      <c r="F223" s="3"/>
      <c r="G223" s="1" t="s">
        <v>4</v>
      </c>
      <c r="H223" s="209" t="s">
        <v>182</v>
      </c>
      <c r="I223" s="209"/>
      <c r="J223" s="209"/>
    </row>
    <row r="224" spans="1:10" ht="12.75" customHeight="1">
      <c r="A224" s="1" t="s">
        <v>6</v>
      </c>
      <c r="B224" s="1"/>
      <c r="C224" s="25" t="s">
        <v>490</v>
      </c>
      <c r="D224" s="25"/>
      <c r="E224" s="2"/>
      <c r="F224" s="3"/>
      <c r="G224" s="1" t="s">
        <v>8</v>
      </c>
      <c r="H224" s="193" t="s">
        <v>9</v>
      </c>
      <c r="I224" s="193"/>
      <c r="J224" s="193"/>
    </row>
    <row r="225" spans="1:10" ht="12.75" customHeight="1">
      <c r="A225" s="6" t="s">
        <v>10</v>
      </c>
      <c r="B225" s="6"/>
      <c r="C225" s="194" t="s">
        <v>466</v>
      </c>
      <c r="D225" s="194"/>
      <c r="E225" s="2"/>
      <c r="F225" s="3"/>
      <c r="G225" s="1" t="s">
        <v>12</v>
      </c>
      <c r="H225" s="195" t="s">
        <v>13</v>
      </c>
      <c r="I225" s="195"/>
      <c r="J225" s="195"/>
    </row>
    <row r="226" spans="1:10" ht="12.75" customHeight="1">
      <c r="A226" s="6" t="s">
        <v>14</v>
      </c>
      <c r="B226" s="6"/>
      <c r="C226" s="2" t="s">
        <v>15</v>
      </c>
      <c r="D226" s="2"/>
      <c r="E226" s="2"/>
      <c r="F226" s="3"/>
      <c r="G226" s="1" t="s">
        <v>16</v>
      </c>
      <c r="H226" s="196" t="s">
        <v>55</v>
      </c>
      <c r="I226" s="196"/>
      <c r="J226" s="196"/>
    </row>
    <row r="227" spans="1:10" ht="12.75" customHeight="1">
      <c r="A227" s="6">
        <v>30</v>
      </c>
      <c r="B227" s="6"/>
      <c r="C227" s="2">
        <f>A227-I227</f>
        <v>0</v>
      </c>
      <c r="D227" s="2"/>
      <c r="E227" s="2"/>
      <c r="F227" s="3"/>
      <c r="G227" s="8" t="s">
        <v>18</v>
      </c>
      <c r="H227" s="8"/>
      <c r="I227" s="9">
        <v>30</v>
      </c>
      <c r="J227" s="9"/>
    </row>
    <row r="228" spans="1:10" ht="12.75" customHeight="1">
      <c r="A228" s="198" t="s">
        <v>19</v>
      </c>
      <c r="B228" s="199"/>
      <c r="C228" s="200"/>
      <c r="D228" s="13" t="s">
        <v>20</v>
      </c>
      <c r="E228" s="14" t="s">
        <v>21</v>
      </c>
      <c r="F228" s="15"/>
      <c r="G228" s="16" t="s">
        <v>20</v>
      </c>
      <c r="H228" s="201" t="s">
        <v>22</v>
      </c>
      <c r="I228" s="202"/>
      <c r="J228" s="203"/>
    </row>
    <row r="229" spans="1:10" ht="12.75" customHeight="1">
      <c r="A229" s="17" t="s">
        <v>23</v>
      </c>
      <c r="B229" s="1"/>
      <c r="C229" s="1"/>
      <c r="D229" s="2">
        <v>25000</v>
      </c>
      <c r="E229" s="17" t="s">
        <v>24</v>
      </c>
      <c r="F229" s="1"/>
      <c r="G229" s="2" t="s">
        <v>25</v>
      </c>
      <c r="H229" s="18" t="s">
        <v>26</v>
      </c>
      <c r="I229" s="23"/>
      <c r="J229" s="24"/>
    </row>
    <row r="230" spans="1:10" ht="12.75" customHeight="1">
      <c r="A230" s="17" t="s">
        <v>77</v>
      </c>
      <c r="B230" s="209" t="s">
        <v>196</v>
      </c>
      <c r="C230" s="209"/>
      <c r="D230" s="2">
        <v>2500</v>
      </c>
      <c r="E230" s="17" t="s">
        <v>28</v>
      </c>
      <c r="F230" s="1"/>
      <c r="G230" s="2" t="s">
        <v>25</v>
      </c>
      <c r="H230" s="18" t="s">
        <v>29</v>
      </c>
      <c r="I230" s="23"/>
      <c r="J230" s="24"/>
    </row>
    <row r="231" spans="1:10" ht="12.75" customHeight="1">
      <c r="A231" s="17" t="s">
        <v>30</v>
      </c>
      <c r="B231" s="1"/>
      <c r="C231" s="1"/>
      <c r="D231" s="2">
        <v>2000</v>
      </c>
      <c r="E231" s="17" t="s">
        <v>40</v>
      </c>
      <c r="F231" s="1"/>
      <c r="G231" s="2" t="s">
        <v>25</v>
      </c>
      <c r="H231" s="18" t="s">
        <v>32</v>
      </c>
      <c r="I231" s="23"/>
      <c r="J231" s="24"/>
    </row>
    <row r="232" spans="1:10" ht="12.75" customHeight="1">
      <c r="A232" s="17" t="s">
        <v>488</v>
      </c>
      <c r="B232" s="1"/>
      <c r="C232" s="1"/>
      <c r="D232" s="2" t="s">
        <v>25</v>
      </c>
      <c r="E232" s="17" t="s">
        <v>35</v>
      </c>
      <c r="F232" s="1"/>
      <c r="G232" s="2" t="s">
        <v>25</v>
      </c>
      <c r="H232" s="18"/>
      <c r="I232" s="6"/>
      <c r="J232" s="19"/>
    </row>
    <row r="233" spans="1:10" ht="12.75" customHeight="1">
      <c r="A233" s="17" t="s">
        <v>110</v>
      </c>
      <c r="B233" s="1"/>
      <c r="C233" s="1"/>
      <c r="D233" s="2" t="s">
        <v>25</v>
      </c>
      <c r="E233" s="17" t="s">
        <v>61</v>
      </c>
      <c r="F233" s="1"/>
      <c r="G233" s="2" t="s">
        <v>25</v>
      </c>
      <c r="H233" s="18" t="s">
        <v>491</v>
      </c>
      <c r="I233" s="6"/>
      <c r="J233" s="19"/>
    </row>
    <row r="234" spans="1:10" ht="12.75" customHeight="1">
      <c r="A234" s="17" t="s">
        <v>136</v>
      </c>
      <c r="B234" s="1"/>
      <c r="C234" s="1"/>
      <c r="D234" s="2" t="s">
        <v>25</v>
      </c>
      <c r="E234" s="17" t="s">
        <v>39</v>
      </c>
      <c r="F234" s="1"/>
      <c r="G234" s="2">
        <v>100</v>
      </c>
      <c r="H234" s="18" t="s">
        <v>492</v>
      </c>
      <c r="I234" s="6"/>
      <c r="J234" s="19"/>
    </row>
    <row r="235" spans="1:10" ht="12.75" customHeight="1">
      <c r="A235" s="18" t="s">
        <v>40</v>
      </c>
      <c r="B235" s="6"/>
      <c r="C235" s="6"/>
      <c r="D235" s="2" t="s">
        <v>25</v>
      </c>
      <c r="E235" s="17" t="s">
        <v>41</v>
      </c>
      <c r="F235" s="1"/>
      <c r="G235" s="2" t="s">
        <v>25</v>
      </c>
      <c r="H235" s="18"/>
      <c r="I235" s="6"/>
      <c r="J235" s="19"/>
    </row>
    <row r="236" spans="1:10" ht="12.75" customHeight="1">
      <c r="A236" s="204" t="s">
        <v>63</v>
      </c>
      <c r="B236" s="205"/>
      <c r="C236" s="206"/>
      <c r="D236" s="229">
        <f>SUM(D229:D235)</f>
        <v>29500</v>
      </c>
      <c r="E236" s="1" t="s">
        <v>43</v>
      </c>
      <c r="F236" s="1"/>
      <c r="G236" s="2" t="s">
        <v>25</v>
      </c>
      <c r="H236" s="18"/>
      <c r="I236" s="6"/>
      <c r="J236" s="19"/>
    </row>
    <row r="237" spans="1:10" ht="12.75" customHeight="1">
      <c r="A237" s="207"/>
      <c r="B237" s="197"/>
      <c r="C237" s="208"/>
      <c r="D237" s="230"/>
      <c r="E237" s="21" t="s">
        <v>21</v>
      </c>
      <c r="F237" s="22"/>
      <c r="G237" s="13">
        <f>SUM(G229:G236)</f>
        <v>100</v>
      </c>
      <c r="H237" s="21" t="s">
        <v>44</v>
      </c>
      <c r="I237" s="22"/>
      <c r="J237" s="13">
        <f>D236-G237</f>
        <v>29400</v>
      </c>
    </row>
    <row r="238" spans="1:10" ht="12.75" customHeight="1">
      <c r="A238" s="3" t="s">
        <v>45</v>
      </c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2.75" customHeight="1"/>
    <row r="240" spans="1:10" ht="12.75" customHeight="1">
      <c r="A240" s="3"/>
      <c r="B240" s="3" t="s">
        <v>47</v>
      </c>
      <c r="C240" s="3"/>
      <c r="D240" s="3"/>
      <c r="E240" s="3" t="s">
        <v>48</v>
      </c>
      <c r="F240" s="3"/>
      <c r="G240" s="3"/>
      <c r="H240" s="3" t="s">
        <v>49</v>
      </c>
      <c r="I240" s="3"/>
      <c r="J240" s="3"/>
    </row>
    <row r="241" spans="1:10" ht="12.75" customHeight="1">
      <c r="A241" s="184" t="s">
        <v>0</v>
      </c>
      <c r="B241" s="185"/>
      <c r="C241" s="185"/>
      <c r="D241" s="185"/>
      <c r="E241" s="185"/>
      <c r="F241" s="185"/>
      <c r="G241" s="185"/>
      <c r="H241" s="185"/>
      <c r="I241" s="185"/>
      <c r="J241" s="186"/>
    </row>
    <row r="242" spans="1:10" ht="12.75" customHeight="1">
      <c r="A242" s="187" t="s">
        <v>1</v>
      </c>
      <c r="B242" s="188"/>
      <c r="C242" s="188"/>
      <c r="D242" s="188"/>
      <c r="E242" s="188"/>
      <c r="F242" s="188"/>
      <c r="G242" s="188"/>
      <c r="H242" s="188"/>
      <c r="I242" s="188"/>
      <c r="J242" s="189"/>
    </row>
    <row r="243" spans="1:10" ht="12.75" customHeight="1">
      <c r="A243" s="1" t="s">
        <v>2</v>
      </c>
      <c r="B243" s="1"/>
      <c r="C243" s="191"/>
      <c r="D243" s="191"/>
      <c r="E243" s="2"/>
      <c r="F243" s="3"/>
      <c r="G243" s="1" t="s">
        <v>4</v>
      </c>
      <c r="H243" s="191" t="s">
        <v>191</v>
      </c>
      <c r="I243" s="191"/>
      <c r="J243" s="191"/>
    </row>
    <row r="244" spans="1:10" ht="12.75" customHeight="1">
      <c r="A244" s="1" t="s">
        <v>6</v>
      </c>
      <c r="B244" s="6"/>
      <c r="C244" s="25" t="s">
        <v>493</v>
      </c>
      <c r="D244" s="25"/>
      <c r="E244" s="2"/>
      <c r="F244" s="3"/>
      <c r="G244" s="1" t="s">
        <v>8</v>
      </c>
      <c r="H244" s="193" t="s">
        <v>9</v>
      </c>
      <c r="I244" s="193"/>
      <c r="J244" s="193"/>
    </row>
    <row r="245" spans="1:10" ht="12.75" customHeight="1">
      <c r="A245" s="6" t="s">
        <v>10</v>
      </c>
      <c r="B245" s="6"/>
      <c r="C245" s="194" t="s">
        <v>466</v>
      </c>
      <c r="D245" s="194"/>
      <c r="E245" s="2"/>
      <c r="F245" s="3"/>
      <c r="G245" s="1" t="s">
        <v>12</v>
      </c>
      <c r="H245" s="195" t="s">
        <v>13</v>
      </c>
      <c r="I245" s="195"/>
      <c r="J245" s="195"/>
    </row>
    <row r="246" spans="1:10" ht="12.75" customHeight="1">
      <c r="A246" s="6" t="s">
        <v>14</v>
      </c>
      <c r="B246" s="6"/>
      <c r="C246" s="2" t="s">
        <v>15</v>
      </c>
      <c r="D246" s="2"/>
      <c r="E246" s="2"/>
      <c r="F246" s="3"/>
      <c r="G246" s="1" t="s">
        <v>16</v>
      </c>
      <c r="H246" s="195" t="s">
        <v>140</v>
      </c>
      <c r="I246" s="195"/>
      <c r="J246" s="195"/>
    </row>
    <row r="247" spans="1:10" ht="12.75" customHeight="1">
      <c r="A247" s="6">
        <v>30</v>
      </c>
      <c r="B247" s="6"/>
      <c r="C247" s="2">
        <f>A247-I247</f>
        <v>0</v>
      </c>
      <c r="D247" s="2"/>
      <c r="E247" s="2"/>
      <c r="F247" s="3"/>
      <c r="G247" s="8" t="s">
        <v>18</v>
      </c>
      <c r="H247" s="8"/>
      <c r="I247" s="9">
        <v>30</v>
      </c>
      <c r="J247" s="9"/>
    </row>
    <row r="248" spans="1:10" ht="12.75" customHeight="1">
      <c r="A248" s="198" t="s">
        <v>19</v>
      </c>
      <c r="B248" s="199"/>
      <c r="C248" s="200"/>
      <c r="D248" s="13" t="s">
        <v>20</v>
      </c>
      <c r="E248" s="14" t="s">
        <v>21</v>
      </c>
      <c r="F248" s="15"/>
      <c r="G248" s="16" t="s">
        <v>20</v>
      </c>
      <c r="H248" s="201" t="s">
        <v>22</v>
      </c>
      <c r="I248" s="202"/>
      <c r="J248" s="203"/>
    </row>
    <row r="249" spans="1:10" ht="12.75" customHeight="1">
      <c r="A249" s="17" t="s">
        <v>23</v>
      </c>
      <c r="B249" s="1"/>
      <c r="C249" s="1"/>
      <c r="D249" s="2">
        <v>25000</v>
      </c>
      <c r="E249" s="17" t="s">
        <v>24</v>
      </c>
      <c r="F249" s="1"/>
      <c r="G249" s="2" t="s">
        <v>25</v>
      </c>
      <c r="H249" s="18" t="s">
        <v>26</v>
      </c>
      <c r="I249" s="23"/>
      <c r="J249" s="24"/>
    </row>
    <row r="250" spans="1:10" ht="12.75" customHeight="1">
      <c r="A250" s="17" t="s">
        <v>77</v>
      </c>
      <c r="B250" s="209" t="s">
        <v>216</v>
      </c>
      <c r="C250" s="209"/>
      <c r="D250" s="2">
        <v>5833</v>
      </c>
      <c r="E250" s="17" t="s">
        <v>52</v>
      </c>
      <c r="F250" s="1"/>
      <c r="G250" s="2" t="s">
        <v>25</v>
      </c>
      <c r="H250" s="18" t="s">
        <v>29</v>
      </c>
      <c r="I250" s="23"/>
      <c r="J250" s="24"/>
    </row>
    <row r="251" spans="1:10" ht="12.75" customHeight="1">
      <c r="A251" s="17" t="s">
        <v>30</v>
      </c>
      <c r="B251" s="1"/>
      <c r="C251" s="1"/>
      <c r="D251" s="2">
        <v>1000</v>
      </c>
      <c r="E251" s="17" t="s">
        <v>89</v>
      </c>
      <c r="F251" s="1"/>
      <c r="G251" s="2" t="s">
        <v>25</v>
      </c>
      <c r="H251" s="18" t="s">
        <v>32</v>
      </c>
      <c r="I251" s="23"/>
      <c r="J251" s="24"/>
    </row>
    <row r="252" spans="1:10" ht="12.75" customHeight="1">
      <c r="A252" s="17" t="s">
        <v>59</v>
      </c>
      <c r="B252" s="1"/>
      <c r="C252" s="1"/>
      <c r="D252" s="2" t="s">
        <v>25</v>
      </c>
      <c r="E252" s="17" t="s">
        <v>35</v>
      </c>
      <c r="F252" s="1"/>
      <c r="G252" s="2" t="s">
        <v>25</v>
      </c>
      <c r="H252" s="18"/>
      <c r="I252" s="6"/>
      <c r="J252" s="19"/>
    </row>
    <row r="253" spans="1:10" ht="12.75" customHeight="1">
      <c r="A253" s="17" t="s">
        <v>72</v>
      </c>
      <c r="B253" s="1"/>
      <c r="C253" s="1"/>
      <c r="D253" s="2" t="s">
        <v>25</v>
      </c>
      <c r="E253" s="17" t="s">
        <v>1108</v>
      </c>
      <c r="F253" s="1"/>
      <c r="G253" s="2">
        <v>1667</v>
      </c>
      <c r="H253" s="18" t="s">
        <v>494</v>
      </c>
      <c r="I253" s="6"/>
      <c r="J253" s="19"/>
    </row>
    <row r="254" spans="1:10" ht="12.75" customHeight="1">
      <c r="A254" s="17" t="s">
        <v>345</v>
      </c>
      <c r="B254" s="1"/>
      <c r="C254" s="1"/>
      <c r="D254" s="2">
        <v>5000</v>
      </c>
      <c r="E254" s="17" t="s">
        <v>39</v>
      </c>
      <c r="F254" s="1"/>
      <c r="G254" s="2">
        <v>100</v>
      </c>
      <c r="H254" s="42" t="s">
        <v>495</v>
      </c>
      <c r="I254" s="74"/>
      <c r="J254" s="43"/>
    </row>
    <row r="255" spans="1:10" ht="12.75" customHeight="1">
      <c r="A255" s="18" t="s">
        <v>40</v>
      </c>
      <c r="B255" s="6"/>
      <c r="C255" s="6"/>
      <c r="D255" s="2" t="s">
        <v>25</v>
      </c>
      <c r="E255" s="17" t="s">
        <v>62</v>
      </c>
      <c r="F255" s="1"/>
      <c r="G255" s="2" t="s">
        <v>25</v>
      </c>
      <c r="H255" s="18"/>
      <c r="I255" s="6"/>
      <c r="J255" s="19"/>
    </row>
    <row r="256" spans="1:10" ht="12.75" customHeight="1">
      <c r="A256" s="204" t="s">
        <v>63</v>
      </c>
      <c r="B256" s="205"/>
      <c r="C256" s="206"/>
      <c r="D256" s="229">
        <f>SUM(D249:D255)</f>
        <v>36833</v>
      </c>
      <c r="E256" s="1" t="s">
        <v>43</v>
      </c>
      <c r="F256" s="1"/>
      <c r="G256" s="2" t="s">
        <v>25</v>
      </c>
      <c r="H256" s="18"/>
      <c r="I256" s="6"/>
      <c r="J256" s="19"/>
    </row>
    <row r="257" spans="1:10" ht="12.75" customHeight="1">
      <c r="A257" s="207"/>
      <c r="B257" s="197"/>
      <c r="C257" s="208"/>
      <c r="D257" s="230"/>
      <c r="E257" s="21" t="s">
        <v>21</v>
      </c>
      <c r="F257" s="22"/>
      <c r="G257" s="76">
        <f>SUM(G249:G256)</f>
        <v>1767</v>
      </c>
      <c r="H257" s="77" t="s">
        <v>44</v>
      </c>
      <c r="I257" s="77"/>
      <c r="J257" s="53">
        <f>D256-G257</f>
        <v>35066</v>
      </c>
    </row>
    <row r="258" spans="1:10" ht="12.75" customHeight="1">
      <c r="A258" s="3" t="s">
        <v>45</v>
      </c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2.75" customHeight="1">
      <c r="A260" s="3"/>
      <c r="B260" s="3" t="s">
        <v>47</v>
      </c>
      <c r="C260" s="3"/>
      <c r="D260" s="3"/>
      <c r="E260" s="3" t="s">
        <v>48</v>
      </c>
      <c r="F260" s="3"/>
      <c r="G260" s="3"/>
      <c r="H260" s="3" t="s">
        <v>49</v>
      </c>
      <c r="I260" s="3"/>
      <c r="J260" s="3"/>
    </row>
    <row r="261" spans="1:10" ht="12.75" customHeight="1">
      <c r="A261" s="184" t="s">
        <v>0</v>
      </c>
      <c r="B261" s="185"/>
      <c r="C261" s="185"/>
      <c r="D261" s="185"/>
      <c r="E261" s="185"/>
      <c r="F261" s="185"/>
      <c r="G261" s="185"/>
      <c r="H261" s="185"/>
      <c r="I261" s="185"/>
      <c r="J261" s="186"/>
    </row>
    <row r="262" spans="1:10" ht="12.75" customHeight="1">
      <c r="A262" s="187" t="s">
        <v>1</v>
      </c>
      <c r="B262" s="188"/>
      <c r="C262" s="188"/>
      <c r="D262" s="188"/>
      <c r="E262" s="188"/>
      <c r="F262" s="188"/>
      <c r="G262" s="188"/>
      <c r="H262" s="188"/>
      <c r="I262" s="188"/>
      <c r="J262" s="189"/>
    </row>
    <row r="263" spans="1:10" ht="12.75" customHeight="1">
      <c r="A263" s="1" t="s">
        <v>2</v>
      </c>
      <c r="B263" s="1"/>
      <c r="C263" s="209" t="s">
        <v>496</v>
      </c>
      <c r="D263" s="209"/>
      <c r="E263" s="2"/>
      <c r="F263" s="3"/>
      <c r="G263" s="1" t="s">
        <v>4</v>
      </c>
      <c r="H263" s="191" t="s">
        <v>215</v>
      </c>
      <c r="I263" s="191"/>
      <c r="J263" s="191"/>
    </row>
    <row r="264" spans="1:10" ht="12.75" customHeight="1">
      <c r="A264" s="1" t="s">
        <v>6</v>
      </c>
      <c r="B264" s="1"/>
      <c r="C264" s="192" t="s">
        <v>497</v>
      </c>
      <c r="D264" s="192"/>
      <c r="E264" s="2"/>
      <c r="F264" s="3"/>
      <c r="G264" s="1" t="s">
        <v>8</v>
      </c>
      <c r="H264" s="193" t="s">
        <v>9</v>
      </c>
      <c r="I264" s="193"/>
      <c r="J264" s="193"/>
    </row>
    <row r="265" spans="1:10" ht="12.75" customHeight="1">
      <c r="A265" s="6" t="s">
        <v>10</v>
      </c>
      <c r="B265" s="6"/>
      <c r="C265" s="194" t="s">
        <v>466</v>
      </c>
      <c r="D265" s="194"/>
      <c r="E265" s="2"/>
      <c r="F265" s="3"/>
      <c r="G265" s="1" t="s">
        <v>12</v>
      </c>
      <c r="H265" s="195" t="s">
        <v>13</v>
      </c>
      <c r="I265" s="195"/>
      <c r="J265" s="195"/>
    </row>
    <row r="266" spans="1:10" ht="12.75" customHeight="1">
      <c r="A266" s="6" t="s">
        <v>14</v>
      </c>
      <c r="B266" s="6"/>
      <c r="C266" s="1" t="s">
        <v>15</v>
      </c>
      <c r="D266" s="2"/>
      <c r="E266" s="36"/>
      <c r="F266" s="3"/>
      <c r="G266" s="1" t="s">
        <v>16</v>
      </c>
      <c r="H266" s="196" t="s">
        <v>55</v>
      </c>
      <c r="I266" s="196"/>
      <c r="J266" s="196"/>
    </row>
    <row r="267" spans="1:10" ht="12.75" customHeight="1">
      <c r="A267" s="6">
        <v>30</v>
      </c>
      <c r="B267" s="6"/>
      <c r="C267" s="2">
        <f>A267-I267</f>
        <v>0</v>
      </c>
      <c r="D267" s="2"/>
      <c r="E267" s="2"/>
      <c r="F267" s="3"/>
      <c r="G267" s="8" t="s">
        <v>18</v>
      </c>
      <c r="H267" s="8"/>
      <c r="I267" s="9">
        <v>30</v>
      </c>
      <c r="J267" s="9"/>
    </row>
    <row r="268" spans="1:10" ht="12.75" customHeight="1">
      <c r="A268" s="198" t="s">
        <v>19</v>
      </c>
      <c r="B268" s="199"/>
      <c r="C268" s="200"/>
      <c r="D268" s="13" t="s">
        <v>20</v>
      </c>
      <c r="E268" s="14" t="s">
        <v>21</v>
      </c>
      <c r="F268" s="15"/>
      <c r="G268" s="16" t="s">
        <v>20</v>
      </c>
      <c r="H268" s="201"/>
      <c r="I268" s="202"/>
      <c r="J268" s="203"/>
    </row>
    <row r="269" spans="1:10" ht="12.75" customHeight="1">
      <c r="A269" s="17" t="s">
        <v>23</v>
      </c>
      <c r="B269" s="1"/>
      <c r="C269" s="1"/>
      <c r="D269" s="2">
        <v>23000</v>
      </c>
      <c r="E269" s="17" t="s">
        <v>24</v>
      </c>
      <c r="F269" s="1"/>
      <c r="G269" s="2" t="s">
        <v>25</v>
      </c>
      <c r="H269" s="18" t="s">
        <v>26</v>
      </c>
      <c r="I269" s="23"/>
      <c r="J269" s="24"/>
    </row>
    <row r="270" spans="1:10" ht="12.75" customHeight="1">
      <c r="A270" s="17" t="s">
        <v>77</v>
      </c>
      <c r="B270" s="209" t="s">
        <v>498</v>
      </c>
      <c r="C270" s="209"/>
      <c r="D270" s="2">
        <v>2044</v>
      </c>
      <c r="E270" s="17" t="s">
        <v>141</v>
      </c>
      <c r="F270" s="1"/>
      <c r="G270" s="2">
        <v>800</v>
      </c>
      <c r="H270" s="18" t="s">
        <v>29</v>
      </c>
      <c r="I270" s="23"/>
      <c r="J270" s="24"/>
    </row>
    <row r="271" spans="1:10" ht="12.75" customHeight="1">
      <c r="A271" s="17" t="s">
        <v>30</v>
      </c>
      <c r="B271" s="1"/>
      <c r="C271" s="1"/>
      <c r="D271" s="2">
        <v>1500</v>
      </c>
      <c r="E271" s="17" t="s">
        <v>58</v>
      </c>
      <c r="F271" s="1"/>
      <c r="G271" s="2" t="s">
        <v>25</v>
      </c>
      <c r="H271" s="18" t="s">
        <v>32</v>
      </c>
      <c r="I271" s="23"/>
      <c r="J271" s="24"/>
    </row>
    <row r="272" spans="1:10" ht="12.75" customHeight="1">
      <c r="A272" s="17" t="s">
        <v>147</v>
      </c>
      <c r="B272" s="1"/>
      <c r="C272" s="1"/>
      <c r="D272" s="2" t="s">
        <v>25</v>
      </c>
      <c r="E272" s="17" t="s">
        <v>35</v>
      </c>
      <c r="F272" s="1"/>
      <c r="G272" s="2" t="s">
        <v>25</v>
      </c>
      <c r="H272" s="18"/>
      <c r="I272" s="6"/>
      <c r="J272" s="19"/>
    </row>
    <row r="273" spans="1:10" ht="12.75" customHeight="1">
      <c r="A273" s="17" t="s">
        <v>27</v>
      </c>
      <c r="B273" s="1"/>
      <c r="C273" s="1"/>
      <c r="D273" s="2" t="s">
        <v>25</v>
      </c>
      <c r="E273" s="17" t="s">
        <v>37</v>
      </c>
      <c r="F273" s="1"/>
      <c r="G273" s="2" t="s">
        <v>25</v>
      </c>
      <c r="H273" s="18" t="s">
        <v>499</v>
      </c>
      <c r="I273" s="6"/>
      <c r="J273" s="26"/>
    </row>
    <row r="274" spans="1:10" ht="12.75" customHeight="1">
      <c r="A274" s="17" t="s">
        <v>78</v>
      </c>
      <c r="B274" s="1"/>
      <c r="C274" s="1"/>
      <c r="D274" s="2" t="s">
        <v>25</v>
      </c>
      <c r="E274" s="17" t="s">
        <v>39</v>
      </c>
      <c r="F274" s="1"/>
      <c r="G274" s="2">
        <v>100</v>
      </c>
      <c r="H274" s="18"/>
      <c r="I274" s="6"/>
      <c r="J274" s="26"/>
    </row>
    <row r="275" spans="1:10" ht="12.75" customHeight="1">
      <c r="A275" s="18" t="s">
        <v>40</v>
      </c>
      <c r="B275" s="6"/>
      <c r="C275" s="6"/>
      <c r="D275" s="2" t="s">
        <v>25</v>
      </c>
      <c r="E275" s="17" t="s">
        <v>62</v>
      </c>
      <c r="F275" s="2">
        <v>2.5</v>
      </c>
      <c r="G275" s="2">
        <v>160</v>
      </c>
      <c r="H275" s="18"/>
      <c r="I275" s="6"/>
      <c r="J275" s="19"/>
    </row>
    <row r="276" spans="1:10" ht="12.75" customHeight="1">
      <c r="A276" s="204" t="s">
        <v>63</v>
      </c>
      <c r="B276" s="205"/>
      <c r="C276" s="206"/>
      <c r="D276" s="229">
        <f>SUM(D269:D275)</f>
        <v>26544</v>
      </c>
      <c r="E276" s="1" t="s">
        <v>78</v>
      </c>
      <c r="F276" s="1"/>
      <c r="G276" s="2" t="s">
        <v>25</v>
      </c>
      <c r="H276" s="18"/>
      <c r="I276" s="6"/>
      <c r="J276" s="19"/>
    </row>
    <row r="277" spans="1:10" ht="12.75" customHeight="1">
      <c r="A277" s="207"/>
      <c r="B277" s="197"/>
      <c r="C277" s="208"/>
      <c r="D277" s="230"/>
      <c r="E277" s="21" t="s">
        <v>21</v>
      </c>
      <c r="F277" s="22"/>
      <c r="G277" s="13">
        <f>SUM(G269:G276)</f>
        <v>1060</v>
      </c>
      <c r="H277" s="21" t="s">
        <v>44</v>
      </c>
      <c r="I277" s="22"/>
      <c r="J277" s="13">
        <f>D276-G277</f>
        <v>25484</v>
      </c>
    </row>
    <row r="278" spans="1:10" ht="12.75" customHeight="1">
      <c r="A278" s="3" t="s">
        <v>45</v>
      </c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2.75" customHeight="1"/>
    <row r="280" spans="1:10" ht="12.75" customHeight="1">
      <c r="A280" s="184" t="s">
        <v>0</v>
      </c>
      <c r="B280" s="185"/>
      <c r="C280" s="185"/>
      <c r="D280" s="185"/>
      <c r="E280" s="185"/>
      <c r="F280" s="185"/>
      <c r="G280" s="185"/>
      <c r="H280" s="185"/>
      <c r="I280" s="185"/>
      <c r="J280" s="186"/>
    </row>
    <row r="281" spans="1:10" ht="12.75" customHeight="1">
      <c r="A281" s="187" t="s">
        <v>1</v>
      </c>
      <c r="B281" s="188"/>
      <c r="C281" s="188"/>
      <c r="D281" s="188"/>
      <c r="E281" s="188"/>
      <c r="F281" s="188"/>
      <c r="G281" s="188"/>
      <c r="H281" s="188"/>
      <c r="I281" s="188"/>
      <c r="J281" s="189"/>
    </row>
    <row r="282" spans="1:10" ht="12.75" customHeight="1">
      <c r="A282" s="1" t="s">
        <v>2</v>
      </c>
      <c r="B282" s="1"/>
      <c r="C282" s="194" t="s">
        <v>500</v>
      </c>
      <c r="D282" s="194"/>
      <c r="E282" s="2"/>
      <c r="F282" s="3"/>
      <c r="G282" s="1" t="s">
        <v>4</v>
      </c>
      <c r="H282" s="191" t="s">
        <v>205</v>
      </c>
      <c r="I282" s="191"/>
      <c r="J282" s="191"/>
    </row>
    <row r="283" spans="1:10" ht="12.75" customHeight="1">
      <c r="A283" s="1" t="s">
        <v>6</v>
      </c>
      <c r="B283" s="1"/>
      <c r="C283" s="192" t="s">
        <v>501</v>
      </c>
      <c r="D283" s="192"/>
      <c r="E283" s="2"/>
      <c r="F283" s="3"/>
      <c r="G283" s="1" t="s">
        <v>8</v>
      </c>
      <c r="H283" s="193" t="s">
        <v>9</v>
      </c>
      <c r="I283" s="193"/>
      <c r="J283" s="193"/>
    </row>
    <row r="284" spans="1:10" ht="12.75" customHeight="1">
      <c r="A284" s="6" t="s">
        <v>10</v>
      </c>
      <c r="B284" s="6"/>
      <c r="C284" s="6" t="s">
        <v>466</v>
      </c>
      <c r="D284" s="6"/>
      <c r="E284" s="2"/>
      <c r="F284" s="3"/>
      <c r="G284" s="1" t="s">
        <v>12</v>
      </c>
      <c r="H284" s="195" t="s">
        <v>13</v>
      </c>
      <c r="I284" s="195"/>
      <c r="J284" s="195"/>
    </row>
    <row r="285" spans="1:10" ht="12.75" customHeight="1">
      <c r="A285" s="2" t="s">
        <v>14</v>
      </c>
      <c r="B285" s="2"/>
      <c r="C285" s="2" t="s">
        <v>15</v>
      </c>
      <c r="D285" s="2"/>
      <c r="E285" s="2"/>
      <c r="F285" s="3"/>
      <c r="G285" s="1" t="s">
        <v>16</v>
      </c>
      <c r="H285" s="196" t="s">
        <v>68</v>
      </c>
      <c r="I285" s="196"/>
      <c r="J285" s="196"/>
    </row>
    <row r="286" spans="1:10" ht="12.75" customHeight="1">
      <c r="A286" s="2">
        <v>30</v>
      </c>
      <c r="B286" s="2"/>
      <c r="C286" s="2">
        <f>A286-H286</f>
        <v>3</v>
      </c>
      <c r="D286" s="2"/>
      <c r="E286" s="2"/>
      <c r="F286" s="3"/>
      <c r="G286" s="8" t="s">
        <v>18</v>
      </c>
      <c r="H286" s="197">
        <v>27</v>
      </c>
      <c r="I286" s="197"/>
      <c r="J286" s="197"/>
    </row>
    <row r="287" spans="1:10" ht="12.75" customHeight="1">
      <c r="A287" s="198" t="s">
        <v>19</v>
      </c>
      <c r="B287" s="199"/>
      <c r="C287" s="200"/>
      <c r="D287" s="13" t="s">
        <v>20</v>
      </c>
      <c r="E287" s="14" t="s">
        <v>21</v>
      </c>
      <c r="F287" s="15"/>
      <c r="G287" s="16" t="s">
        <v>20</v>
      </c>
      <c r="H287" s="201" t="s">
        <v>22</v>
      </c>
      <c r="I287" s="202"/>
      <c r="J287" s="203"/>
    </row>
    <row r="288" spans="1:10" ht="12.75" customHeight="1">
      <c r="A288" s="17" t="s">
        <v>23</v>
      </c>
      <c r="B288" s="1"/>
      <c r="C288" s="1"/>
      <c r="D288" s="2">
        <v>16500</v>
      </c>
      <c r="E288" s="17" t="s">
        <v>24</v>
      </c>
      <c r="F288" s="1"/>
      <c r="G288" s="2" t="s">
        <v>25</v>
      </c>
      <c r="H288" s="18" t="s">
        <v>502</v>
      </c>
      <c r="I288" s="6"/>
      <c r="J288" s="19"/>
    </row>
    <row r="289" spans="1:10" ht="12.75" customHeight="1">
      <c r="A289" s="17" t="s">
        <v>77</v>
      </c>
      <c r="B289" s="209" t="s">
        <v>503</v>
      </c>
      <c r="C289" s="209"/>
      <c r="D289" s="2">
        <v>6600</v>
      </c>
      <c r="E289" s="17" t="s">
        <v>58</v>
      </c>
      <c r="F289" s="1"/>
      <c r="G289" s="2" t="s">
        <v>25</v>
      </c>
      <c r="H289" s="18" t="s">
        <v>504</v>
      </c>
      <c r="I289" s="6"/>
      <c r="J289" s="19"/>
    </row>
    <row r="290" spans="1:10" ht="12.75" customHeight="1">
      <c r="A290" s="17" t="s">
        <v>30</v>
      </c>
      <c r="B290" s="1"/>
      <c r="C290" s="1"/>
      <c r="D290" s="2">
        <v>800</v>
      </c>
      <c r="E290" s="17" t="s">
        <v>52</v>
      </c>
      <c r="F290" s="1"/>
      <c r="G290" s="2" t="s">
        <v>25</v>
      </c>
      <c r="H290" s="18" t="s">
        <v>32</v>
      </c>
      <c r="I290" s="6"/>
      <c r="J290" s="19"/>
    </row>
    <row r="291" spans="1:10" ht="12.75" customHeight="1">
      <c r="A291" s="17" t="s">
        <v>147</v>
      </c>
      <c r="B291" s="1"/>
      <c r="C291" s="1"/>
      <c r="D291" s="2" t="s">
        <v>25</v>
      </c>
      <c r="E291" s="17" t="s">
        <v>71</v>
      </c>
      <c r="F291" s="1"/>
      <c r="G291" s="2">
        <v>1650</v>
      </c>
      <c r="H291" s="18"/>
      <c r="I291" s="36"/>
      <c r="J291" s="19"/>
    </row>
    <row r="292" spans="1:10" ht="12.75" customHeight="1">
      <c r="A292" s="17" t="s">
        <v>72</v>
      </c>
      <c r="B292" s="1"/>
      <c r="C292" s="1"/>
      <c r="D292" s="2" t="s">
        <v>25</v>
      </c>
      <c r="E292" s="17" t="s">
        <v>61</v>
      </c>
      <c r="F292" s="1"/>
      <c r="G292" s="2">
        <v>200</v>
      </c>
      <c r="H292" s="18" t="s">
        <v>505</v>
      </c>
      <c r="I292" s="6"/>
      <c r="J292" s="19"/>
    </row>
    <row r="293" spans="1:10" ht="12.75" customHeight="1">
      <c r="A293" s="17" t="s">
        <v>78</v>
      </c>
      <c r="B293" s="1"/>
      <c r="C293" s="1"/>
      <c r="D293" s="2" t="s">
        <v>25</v>
      </c>
      <c r="E293" s="17" t="s">
        <v>39</v>
      </c>
      <c r="F293" s="1"/>
      <c r="G293" s="2">
        <v>100</v>
      </c>
      <c r="H293" s="18" t="s">
        <v>506</v>
      </c>
      <c r="I293" s="6"/>
      <c r="J293" s="19"/>
    </row>
    <row r="294" spans="1:10" ht="12.75" customHeight="1">
      <c r="A294" s="18" t="s">
        <v>40</v>
      </c>
      <c r="B294" s="6"/>
      <c r="C294" s="6"/>
      <c r="D294" s="2" t="s">
        <v>25</v>
      </c>
      <c r="E294" s="17" t="s">
        <v>41</v>
      </c>
      <c r="F294" s="1"/>
      <c r="G294" s="2" t="s">
        <v>25</v>
      </c>
      <c r="H294" s="18"/>
      <c r="I294" s="6"/>
      <c r="J294" s="19"/>
    </row>
    <row r="295" spans="1:10" ht="12.75" customHeight="1">
      <c r="A295" s="204" t="s">
        <v>42</v>
      </c>
      <c r="B295" s="205"/>
      <c r="C295" s="206"/>
      <c r="D295" s="229">
        <f>SUM(D288:D294)</f>
        <v>23900</v>
      </c>
      <c r="E295" s="1" t="s">
        <v>78</v>
      </c>
      <c r="F295" s="1"/>
      <c r="G295" s="2" t="s">
        <v>25</v>
      </c>
      <c r="H295" s="18"/>
      <c r="I295" s="6"/>
      <c r="J295" s="19"/>
    </row>
    <row r="296" spans="1:10" ht="12.75" customHeight="1">
      <c r="A296" s="207"/>
      <c r="B296" s="197"/>
      <c r="C296" s="208"/>
      <c r="D296" s="230"/>
      <c r="E296" s="21" t="s">
        <v>21</v>
      </c>
      <c r="F296" s="22"/>
      <c r="G296" s="13">
        <f>SUM(G288:G295)</f>
        <v>1950</v>
      </c>
      <c r="H296" s="21" t="s">
        <v>44</v>
      </c>
      <c r="I296" s="22"/>
      <c r="J296" s="13">
        <f>D295-G296</f>
        <v>21950</v>
      </c>
    </row>
    <row r="297" spans="1:10" ht="12.75" customHeight="1">
      <c r="A297" s="3" t="s">
        <v>45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2.75" customHeight="1">
      <c r="A299" s="3"/>
      <c r="B299" s="3" t="s">
        <v>47</v>
      </c>
      <c r="C299" s="3"/>
      <c r="D299" s="3"/>
      <c r="E299" s="3" t="s">
        <v>48</v>
      </c>
      <c r="F299" s="3"/>
      <c r="G299" s="3"/>
      <c r="H299" s="3" t="s">
        <v>49</v>
      </c>
      <c r="I299" s="3"/>
      <c r="J299" s="3"/>
    </row>
    <row r="300" spans="1:10" ht="12.75" customHeight="1">
      <c r="A300" s="184" t="s">
        <v>0</v>
      </c>
      <c r="B300" s="185"/>
      <c r="C300" s="185"/>
      <c r="D300" s="185"/>
      <c r="E300" s="185"/>
      <c r="F300" s="185"/>
      <c r="G300" s="185"/>
      <c r="H300" s="185"/>
      <c r="I300" s="185"/>
      <c r="J300" s="186"/>
    </row>
    <row r="301" spans="1:10" ht="12.75" customHeight="1">
      <c r="A301" s="187" t="s">
        <v>1</v>
      </c>
      <c r="B301" s="188"/>
      <c r="C301" s="188"/>
      <c r="D301" s="188"/>
      <c r="E301" s="188"/>
      <c r="F301" s="188"/>
      <c r="G301" s="188"/>
      <c r="H301" s="188"/>
      <c r="I301" s="188"/>
      <c r="J301" s="189"/>
    </row>
    <row r="302" spans="1:10" ht="12.75" customHeight="1">
      <c r="A302" s="1" t="s">
        <v>2</v>
      </c>
      <c r="B302" s="1"/>
      <c r="C302" s="194" t="s">
        <v>500</v>
      </c>
      <c r="D302" s="194"/>
      <c r="E302" s="2"/>
      <c r="F302" s="3"/>
      <c r="G302" s="1" t="s">
        <v>4</v>
      </c>
      <c r="H302" s="191" t="s">
        <v>205</v>
      </c>
      <c r="I302" s="191"/>
      <c r="J302" s="191"/>
    </row>
    <row r="303" spans="1:10" ht="12.75" customHeight="1">
      <c r="A303" s="1" t="s">
        <v>6</v>
      </c>
      <c r="B303" s="1"/>
      <c r="C303" s="192" t="s">
        <v>507</v>
      </c>
      <c r="D303" s="192"/>
      <c r="E303" s="2"/>
      <c r="F303" s="3"/>
      <c r="G303" s="1" t="s">
        <v>8</v>
      </c>
      <c r="H303" s="193" t="s">
        <v>9</v>
      </c>
      <c r="I303" s="193"/>
      <c r="J303" s="193"/>
    </row>
    <row r="304" spans="1:10" ht="12.75" customHeight="1">
      <c r="A304" s="6" t="s">
        <v>10</v>
      </c>
      <c r="B304" s="6"/>
      <c r="C304" s="6" t="s">
        <v>466</v>
      </c>
      <c r="D304" s="6"/>
      <c r="E304" s="2"/>
      <c r="F304" s="3"/>
      <c r="G304" s="1" t="s">
        <v>12</v>
      </c>
      <c r="H304" s="195" t="s">
        <v>13</v>
      </c>
      <c r="I304" s="195"/>
      <c r="J304" s="195"/>
    </row>
    <row r="305" spans="1:10" ht="12.75" customHeight="1">
      <c r="A305" s="2" t="s">
        <v>14</v>
      </c>
      <c r="B305" s="2"/>
      <c r="C305" s="2" t="s">
        <v>15</v>
      </c>
      <c r="D305" s="2"/>
      <c r="E305" s="2"/>
      <c r="F305" s="3"/>
      <c r="G305" s="1" t="s">
        <v>16</v>
      </c>
      <c r="H305" s="196" t="s">
        <v>508</v>
      </c>
      <c r="I305" s="196"/>
      <c r="J305" s="196"/>
    </row>
    <row r="306" spans="1:10" ht="12.75" customHeight="1">
      <c r="A306" s="2">
        <v>30</v>
      </c>
      <c r="B306" s="2"/>
      <c r="C306" s="2">
        <f>A306-H306</f>
        <v>17</v>
      </c>
      <c r="D306" s="2"/>
      <c r="E306" s="2"/>
      <c r="F306" s="3"/>
      <c r="G306" s="8" t="s">
        <v>18</v>
      </c>
      <c r="H306" s="197">
        <v>13</v>
      </c>
      <c r="I306" s="197"/>
      <c r="J306" s="197"/>
    </row>
    <row r="307" spans="1:10" ht="12.75" customHeight="1">
      <c r="A307" s="198" t="s">
        <v>19</v>
      </c>
      <c r="B307" s="199"/>
      <c r="C307" s="200"/>
      <c r="D307" s="13" t="s">
        <v>20</v>
      </c>
      <c r="E307" s="14" t="s">
        <v>21</v>
      </c>
      <c r="F307" s="15"/>
      <c r="G307" s="16" t="s">
        <v>20</v>
      </c>
      <c r="H307" s="201" t="s">
        <v>22</v>
      </c>
      <c r="I307" s="202"/>
      <c r="J307" s="203"/>
    </row>
    <row r="308" spans="1:10" ht="12.75" customHeight="1">
      <c r="A308" s="17" t="s">
        <v>23</v>
      </c>
      <c r="B308" s="1"/>
      <c r="C308" s="1"/>
      <c r="D308" s="2">
        <v>20000</v>
      </c>
      <c r="E308" s="17" t="s">
        <v>24</v>
      </c>
      <c r="F308" s="1"/>
      <c r="G308" s="2" t="s">
        <v>25</v>
      </c>
      <c r="H308" s="18" t="s">
        <v>502</v>
      </c>
      <c r="I308" s="6"/>
      <c r="J308" s="19"/>
    </row>
    <row r="309" spans="1:10" ht="12.75" customHeight="1">
      <c r="A309" s="17" t="s">
        <v>77</v>
      </c>
      <c r="B309" s="209" t="s">
        <v>82</v>
      </c>
      <c r="C309" s="209"/>
      <c r="D309" s="2">
        <v>1333</v>
      </c>
      <c r="E309" s="17" t="s">
        <v>58</v>
      </c>
      <c r="F309" s="1"/>
      <c r="G309" s="2" t="s">
        <v>25</v>
      </c>
      <c r="H309" s="18" t="s">
        <v>504</v>
      </c>
      <c r="I309" s="6"/>
      <c r="J309" s="19"/>
    </row>
    <row r="310" spans="1:10" ht="12.75" customHeight="1">
      <c r="A310" s="17" t="s">
        <v>30</v>
      </c>
      <c r="B310" s="1"/>
      <c r="C310" s="1"/>
      <c r="D310" s="2">
        <v>800</v>
      </c>
      <c r="E310" s="17" t="s">
        <v>52</v>
      </c>
      <c r="F310" s="1"/>
      <c r="G310" s="2" t="s">
        <v>25</v>
      </c>
      <c r="H310" s="18" t="s">
        <v>32</v>
      </c>
      <c r="I310" s="6"/>
      <c r="J310" s="19"/>
    </row>
    <row r="311" spans="1:10" ht="12.75" customHeight="1">
      <c r="A311" s="17" t="s">
        <v>147</v>
      </c>
      <c r="B311" s="1"/>
      <c r="C311" s="1"/>
      <c r="D311" s="2" t="s">
        <v>25</v>
      </c>
      <c r="E311" s="17" t="s">
        <v>71</v>
      </c>
      <c r="F311" s="1"/>
      <c r="G311" s="2">
        <v>11333</v>
      </c>
      <c r="H311" s="18"/>
      <c r="I311" s="36"/>
      <c r="J311" s="19"/>
    </row>
    <row r="312" spans="1:10" ht="12.75" customHeight="1">
      <c r="A312" s="17" t="s">
        <v>72</v>
      </c>
      <c r="B312" s="1"/>
      <c r="C312" s="1"/>
      <c r="D312" s="2" t="s">
        <v>25</v>
      </c>
      <c r="E312" s="17" t="s">
        <v>61</v>
      </c>
      <c r="F312" s="1"/>
      <c r="G312" s="2" t="s">
        <v>25</v>
      </c>
      <c r="H312" s="18" t="s">
        <v>509</v>
      </c>
      <c r="I312" s="6"/>
      <c r="J312" s="19"/>
    </row>
    <row r="313" spans="1:10" ht="12.75" customHeight="1">
      <c r="A313" s="17" t="s">
        <v>78</v>
      </c>
      <c r="B313" s="1"/>
      <c r="C313" s="1"/>
      <c r="D313" s="2" t="s">
        <v>25</v>
      </c>
      <c r="E313" s="17" t="s">
        <v>39</v>
      </c>
      <c r="F313" s="1"/>
      <c r="G313" s="2">
        <v>100</v>
      </c>
      <c r="H313" s="18"/>
      <c r="I313" s="6"/>
      <c r="J313" s="19"/>
    </row>
    <row r="314" spans="1:10" ht="12.75" customHeight="1">
      <c r="A314" s="18" t="s">
        <v>40</v>
      </c>
      <c r="B314" s="6"/>
      <c r="C314" s="6"/>
      <c r="D314" s="2" t="s">
        <v>25</v>
      </c>
      <c r="E314" s="17" t="s">
        <v>41</v>
      </c>
      <c r="F314" s="1"/>
      <c r="G314" s="2" t="s">
        <v>25</v>
      </c>
      <c r="H314" s="18"/>
      <c r="I314" s="6"/>
      <c r="J314" s="19"/>
    </row>
    <row r="315" spans="1:10" ht="12.75" customHeight="1">
      <c r="A315" s="204" t="s">
        <v>42</v>
      </c>
      <c r="B315" s="205"/>
      <c r="C315" s="206"/>
      <c r="D315" s="229">
        <f>SUM(D308:D314)</f>
        <v>22133</v>
      </c>
      <c r="E315" s="1" t="s">
        <v>78</v>
      </c>
      <c r="F315" s="1"/>
      <c r="G315" s="2" t="s">
        <v>25</v>
      </c>
      <c r="H315" s="18"/>
      <c r="I315" s="6"/>
      <c r="J315" s="19"/>
    </row>
    <row r="316" spans="1:10" ht="12.75" customHeight="1">
      <c r="A316" s="207"/>
      <c r="B316" s="197"/>
      <c r="C316" s="208"/>
      <c r="D316" s="230"/>
      <c r="E316" s="21" t="s">
        <v>21</v>
      </c>
      <c r="F316" s="22"/>
      <c r="G316" s="13">
        <f>SUM(G308:G315)</f>
        <v>11433</v>
      </c>
      <c r="H316" s="21" t="s">
        <v>44</v>
      </c>
      <c r="I316" s="22"/>
      <c r="J316" s="13">
        <f>D315-G316</f>
        <v>10700</v>
      </c>
    </row>
    <row r="317" spans="1:10" ht="12.75" customHeight="1">
      <c r="A317" s="3" t="s">
        <v>45</v>
      </c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2.75" customHeight="1">
      <c r="A319" s="3"/>
      <c r="B319" s="3" t="s">
        <v>47</v>
      </c>
      <c r="C319" s="3"/>
      <c r="D319" s="3"/>
      <c r="E319" s="3" t="s">
        <v>48</v>
      </c>
      <c r="F319" s="3"/>
      <c r="G319" s="3"/>
      <c r="H319" s="3" t="s">
        <v>49</v>
      </c>
      <c r="I319" s="3"/>
      <c r="J319" s="3"/>
    </row>
    <row r="320" spans="1:10" ht="12.75" customHeight="1">
      <c r="A320" s="184" t="s">
        <v>0</v>
      </c>
      <c r="B320" s="185"/>
      <c r="C320" s="185"/>
      <c r="D320" s="185"/>
      <c r="E320" s="185"/>
      <c r="F320" s="185"/>
      <c r="G320" s="185"/>
      <c r="H320" s="185"/>
      <c r="I320" s="185"/>
      <c r="J320" s="186"/>
    </row>
    <row r="321" spans="1:10" ht="12.75" customHeight="1">
      <c r="A321" s="187" t="s">
        <v>1</v>
      </c>
      <c r="B321" s="188"/>
      <c r="C321" s="188"/>
      <c r="D321" s="188"/>
      <c r="E321" s="188"/>
      <c r="F321" s="188"/>
      <c r="G321" s="188"/>
      <c r="H321" s="188"/>
      <c r="I321" s="188"/>
      <c r="J321" s="189"/>
    </row>
    <row r="322" spans="1:10" ht="12.75" customHeight="1">
      <c r="A322" s="1" t="s">
        <v>2</v>
      </c>
      <c r="B322" s="1"/>
      <c r="C322" s="194" t="s">
        <v>510</v>
      </c>
      <c r="D322" s="194"/>
      <c r="E322" s="2"/>
      <c r="F322" s="3"/>
      <c r="G322" s="1" t="s">
        <v>4</v>
      </c>
      <c r="H322" s="193" t="s">
        <v>211</v>
      </c>
      <c r="I322" s="193"/>
      <c r="J322" s="193"/>
    </row>
    <row r="323" spans="1:10" ht="12.75" customHeight="1">
      <c r="A323" s="1" t="s">
        <v>6</v>
      </c>
      <c r="B323" s="1"/>
      <c r="C323" s="25" t="s">
        <v>511</v>
      </c>
      <c r="D323" s="25"/>
      <c r="E323" s="2"/>
      <c r="F323" s="3"/>
      <c r="G323" s="1" t="s">
        <v>8</v>
      </c>
      <c r="H323" s="193" t="s">
        <v>9</v>
      </c>
      <c r="I323" s="193"/>
      <c r="J323" s="193"/>
    </row>
    <row r="324" spans="1:10" ht="12.75" customHeight="1">
      <c r="A324" s="6" t="s">
        <v>10</v>
      </c>
      <c r="B324" s="6"/>
      <c r="C324" s="194" t="s">
        <v>466</v>
      </c>
      <c r="D324" s="194"/>
      <c r="E324" s="2"/>
      <c r="F324" s="3"/>
      <c r="G324" s="1" t="s">
        <v>12</v>
      </c>
      <c r="H324" s="195" t="s">
        <v>13</v>
      </c>
      <c r="I324" s="195"/>
      <c r="J324" s="195"/>
    </row>
    <row r="325" spans="1:10" ht="12.75" customHeight="1">
      <c r="A325" s="2" t="s">
        <v>14</v>
      </c>
      <c r="B325" s="2"/>
      <c r="C325" s="2" t="s">
        <v>15</v>
      </c>
      <c r="D325" s="2"/>
      <c r="E325" s="2"/>
      <c r="F325" s="3"/>
      <c r="G325" s="1" t="s">
        <v>16</v>
      </c>
      <c r="H325" s="196" t="s">
        <v>344</v>
      </c>
      <c r="I325" s="196"/>
      <c r="J325" s="196"/>
    </row>
    <row r="326" spans="1:10" ht="12.75" customHeight="1">
      <c r="A326" s="2">
        <v>30</v>
      </c>
      <c r="B326" s="2"/>
      <c r="C326" s="2">
        <f>A326-H326</f>
        <v>0</v>
      </c>
      <c r="D326" s="2"/>
      <c r="E326" s="2"/>
      <c r="F326" s="3"/>
      <c r="G326" s="8" t="s">
        <v>18</v>
      </c>
      <c r="H326" s="197">
        <v>30</v>
      </c>
      <c r="I326" s="197"/>
      <c r="J326" s="197"/>
    </row>
    <row r="327" spans="1:10" ht="12.75" customHeight="1">
      <c r="A327" s="198" t="s">
        <v>19</v>
      </c>
      <c r="B327" s="199"/>
      <c r="C327" s="200"/>
      <c r="D327" s="13" t="s">
        <v>20</v>
      </c>
      <c r="E327" s="14" t="s">
        <v>21</v>
      </c>
      <c r="F327" s="15"/>
      <c r="G327" s="16" t="s">
        <v>20</v>
      </c>
      <c r="H327" s="201" t="s">
        <v>22</v>
      </c>
      <c r="I327" s="202"/>
      <c r="J327" s="203"/>
    </row>
    <row r="328" spans="1:10" ht="12.75" customHeight="1">
      <c r="A328" s="17" t="s">
        <v>23</v>
      </c>
      <c r="B328" s="1"/>
      <c r="C328" s="1"/>
      <c r="D328" s="2">
        <v>23000</v>
      </c>
      <c r="E328" s="17" t="s">
        <v>24</v>
      </c>
      <c r="F328" s="1"/>
      <c r="G328" s="2" t="s">
        <v>25</v>
      </c>
      <c r="H328" s="18" t="s">
        <v>26</v>
      </c>
      <c r="I328" s="23"/>
      <c r="J328" s="24"/>
    </row>
    <row r="329" spans="1:10" ht="12.75" customHeight="1">
      <c r="A329" s="17" t="s">
        <v>77</v>
      </c>
      <c r="B329" s="209" t="s">
        <v>512</v>
      </c>
      <c r="C329" s="209"/>
      <c r="D329" s="2">
        <v>7411</v>
      </c>
      <c r="E329" s="17" t="s">
        <v>28</v>
      </c>
      <c r="F329" s="1"/>
      <c r="G329" s="2" t="s">
        <v>25</v>
      </c>
      <c r="H329" s="18" t="s">
        <v>29</v>
      </c>
      <c r="I329" s="23"/>
      <c r="J329" s="24"/>
    </row>
    <row r="330" spans="1:10" ht="12.75" customHeight="1">
      <c r="A330" s="17" t="s">
        <v>30</v>
      </c>
      <c r="B330" s="1"/>
      <c r="C330" s="1"/>
      <c r="D330" s="2">
        <v>1000</v>
      </c>
      <c r="E330" s="17" t="s">
        <v>141</v>
      </c>
      <c r="F330" s="1"/>
      <c r="G330" s="2" t="s">
        <v>25</v>
      </c>
      <c r="H330" s="18" t="s">
        <v>32</v>
      </c>
      <c r="I330" s="23"/>
      <c r="J330" s="24"/>
    </row>
    <row r="331" spans="1:10" ht="12.75" customHeight="1">
      <c r="A331" s="17" t="s">
        <v>34</v>
      </c>
      <c r="B331" s="1"/>
      <c r="C331" s="1"/>
      <c r="D331" s="2" t="s">
        <v>25</v>
      </c>
      <c r="E331" s="17" t="s">
        <v>71</v>
      </c>
      <c r="F331" s="1"/>
      <c r="G331" s="2" t="s">
        <v>25</v>
      </c>
      <c r="H331" s="18"/>
      <c r="I331" s="36"/>
      <c r="J331" s="19"/>
    </row>
    <row r="332" spans="1:10" ht="12.75" customHeight="1">
      <c r="A332" s="17" t="s">
        <v>27</v>
      </c>
      <c r="B332" s="1"/>
      <c r="C332" s="1"/>
      <c r="D332" s="2" t="s">
        <v>25</v>
      </c>
      <c r="E332" s="17" t="s">
        <v>61</v>
      </c>
      <c r="F332" s="1"/>
      <c r="G332" s="2" t="s">
        <v>25</v>
      </c>
      <c r="H332" s="18"/>
      <c r="I332" s="6"/>
      <c r="J332" s="19"/>
    </row>
    <row r="333" spans="1:10" ht="12.75" customHeight="1">
      <c r="A333" s="17" t="s">
        <v>78</v>
      </c>
      <c r="B333" s="1"/>
      <c r="C333" s="1"/>
      <c r="D333" s="2" t="s">
        <v>25</v>
      </c>
      <c r="E333" s="17" t="s">
        <v>39</v>
      </c>
      <c r="F333" s="1"/>
      <c r="G333" s="2">
        <v>100</v>
      </c>
      <c r="H333" s="18" t="s">
        <v>513</v>
      </c>
      <c r="I333" s="6"/>
      <c r="J333" s="19"/>
    </row>
    <row r="334" spans="1:10" ht="12.75" customHeight="1">
      <c r="A334" s="18" t="s">
        <v>40</v>
      </c>
      <c r="B334" s="6"/>
      <c r="C334" s="6"/>
      <c r="D334" s="2" t="s">
        <v>25</v>
      </c>
      <c r="E334" s="17" t="s">
        <v>62</v>
      </c>
      <c r="F334" s="2"/>
      <c r="G334" s="2" t="s">
        <v>25</v>
      </c>
      <c r="H334" s="18"/>
      <c r="I334" s="6"/>
      <c r="J334" s="19"/>
    </row>
    <row r="335" spans="1:10" ht="12.75" customHeight="1">
      <c r="A335" s="204" t="s">
        <v>63</v>
      </c>
      <c r="B335" s="205"/>
      <c r="C335" s="206"/>
      <c r="D335" s="229">
        <f>SUM(D328:D334)</f>
        <v>31411</v>
      </c>
      <c r="E335" s="1" t="s">
        <v>78</v>
      </c>
      <c r="F335" s="1"/>
      <c r="G335" s="2" t="s">
        <v>25</v>
      </c>
      <c r="H335" s="18"/>
      <c r="I335" s="6"/>
      <c r="J335" s="19"/>
    </row>
    <row r="336" spans="1:10" ht="12.75" customHeight="1">
      <c r="A336" s="207"/>
      <c r="B336" s="197"/>
      <c r="C336" s="208"/>
      <c r="D336" s="230"/>
      <c r="E336" s="21" t="s">
        <v>21</v>
      </c>
      <c r="F336" s="22"/>
      <c r="G336" s="13">
        <f>SUM(G328:G335)</f>
        <v>100</v>
      </c>
      <c r="H336" s="21" t="s">
        <v>44</v>
      </c>
      <c r="I336" s="22"/>
      <c r="J336" s="13">
        <f>D335-G336</f>
        <v>31311</v>
      </c>
    </row>
    <row r="337" spans="1:10" ht="12.75" customHeight="1">
      <c r="A337" s="3" t="s">
        <v>45</v>
      </c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2.75" customHeight="1">
      <c r="A339" s="3"/>
      <c r="B339" s="3" t="s">
        <v>47</v>
      </c>
      <c r="C339" s="3"/>
      <c r="D339" s="3"/>
      <c r="E339" s="3" t="s">
        <v>48</v>
      </c>
      <c r="F339" s="3"/>
      <c r="G339" s="3"/>
      <c r="H339" s="3" t="s">
        <v>49</v>
      </c>
      <c r="I339" s="3"/>
      <c r="J339" s="3"/>
    </row>
    <row r="340" spans="1:10" ht="12.75" customHeight="1">
      <c r="A340" s="184" t="s">
        <v>0</v>
      </c>
      <c r="B340" s="185"/>
      <c r="C340" s="185"/>
      <c r="D340" s="185"/>
      <c r="E340" s="185"/>
      <c r="F340" s="185"/>
      <c r="G340" s="185"/>
      <c r="H340" s="185"/>
      <c r="I340" s="185"/>
      <c r="J340" s="186"/>
    </row>
    <row r="341" spans="1:10" ht="12.75" customHeight="1">
      <c r="A341" s="187" t="s">
        <v>1</v>
      </c>
      <c r="B341" s="188"/>
      <c r="C341" s="188"/>
      <c r="D341" s="188"/>
      <c r="E341" s="188"/>
      <c r="F341" s="188"/>
      <c r="G341" s="188"/>
      <c r="H341" s="188"/>
      <c r="I341" s="188"/>
      <c r="J341" s="189"/>
    </row>
    <row r="342" spans="1:10" ht="12.75" customHeight="1">
      <c r="A342" s="1" t="s">
        <v>2</v>
      </c>
      <c r="B342" s="1"/>
      <c r="C342" s="191" t="s">
        <v>514</v>
      </c>
      <c r="D342" s="191"/>
      <c r="E342" s="2"/>
      <c r="F342" s="3"/>
      <c r="G342" s="1" t="s">
        <v>4</v>
      </c>
      <c r="H342" s="191" t="s">
        <v>215</v>
      </c>
      <c r="I342" s="191"/>
      <c r="J342" s="191"/>
    </row>
    <row r="343" spans="1:10" ht="12.75" customHeight="1">
      <c r="A343" s="1" t="s">
        <v>6</v>
      </c>
      <c r="B343" s="1"/>
      <c r="C343" s="192" t="s">
        <v>515</v>
      </c>
      <c r="D343" s="192"/>
      <c r="E343" s="2"/>
      <c r="F343" s="3"/>
      <c r="G343" s="1" t="s">
        <v>8</v>
      </c>
      <c r="H343" s="193" t="s">
        <v>9</v>
      </c>
      <c r="I343" s="193"/>
      <c r="J343" s="193"/>
    </row>
    <row r="344" spans="1:10" ht="12.75" customHeight="1">
      <c r="A344" s="6" t="s">
        <v>10</v>
      </c>
      <c r="B344" s="6"/>
      <c r="C344" s="194" t="s">
        <v>466</v>
      </c>
      <c r="D344" s="194"/>
      <c r="E344" s="2"/>
      <c r="F344" s="3"/>
      <c r="G344" s="1" t="s">
        <v>12</v>
      </c>
      <c r="H344" s="195" t="s">
        <v>13</v>
      </c>
      <c r="I344" s="195"/>
      <c r="J344" s="195"/>
    </row>
    <row r="345" spans="1:10" ht="12.75" customHeight="1">
      <c r="A345" s="6" t="s">
        <v>14</v>
      </c>
      <c r="B345" s="6"/>
      <c r="C345" s="2" t="s">
        <v>15</v>
      </c>
      <c r="D345" s="2"/>
      <c r="E345" s="2"/>
      <c r="F345" s="3"/>
      <c r="G345" s="1" t="s">
        <v>16</v>
      </c>
      <c r="H345" s="196" t="s">
        <v>516</v>
      </c>
      <c r="I345" s="196"/>
      <c r="J345" s="196"/>
    </row>
    <row r="346" spans="1:10" ht="12.75" customHeight="1">
      <c r="A346" s="6">
        <v>30</v>
      </c>
      <c r="B346" s="6"/>
      <c r="C346" s="2">
        <f>A346-I346</f>
        <v>0</v>
      </c>
      <c r="D346" s="2"/>
      <c r="E346" s="2"/>
      <c r="F346" s="3"/>
      <c r="G346" s="8" t="s">
        <v>18</v>
      </c>
      <c r="H346" s="8"/>
      <c r="I346" s="9">
        <v>30</v>
      </c>
      <c r="J346" s="9"/>
    </row>
    <row r="347" spans="1:10" ht="12.75" customHeight="1">
      <c r="A347" s="198" t="s">
        <v>19</v>
      </c>
      <c r="B347" s="199"/>
      <c r="C347" s="200"/>
      <c r="D347" s="13" t="s">
        <v>20</v>
      </c>
      <c r="E347" s="14" t="s">
        <v>21</v>
      </c>
      <c r="F347" s="15"/>
      <c r="G347" s="16" t="s">
        <v>20</v>
      </c>
      <c r="H347" s="201" t="s">
        <v>22</v>
      </c>
      <c r="I347" s="202"/>
      <c r="J347" s="203"/>
    </row>
    <row r="348" spans="1:10" ht="12.75" customHeight="1">
      <c r="A348" s="17" t="s">
        <v>23</v>
      </c>
      <c r="B348" s="1"/>
      <c r="C348" s="1"/>
      <c r="D348" s="2">
        <v>24000</v>
      </c>
      <c r="E348" s="17" t="s">
        <v>24</v>
      </c>
      <c r="F348" s="1"/>
      <c r="G348" s="2" t="s">
        <v>25</v>
      </c>
      <c r="H348" s="18" t="s">
        <v>26</v>
      </c>
      <c r="I348" s="23"/>
      <c r="J348" s="24"/>
    </row>
    <row r="349" spans="1:10" ht="12.75" customHeight="1">
      <c r="A349" s="17" t="s">
        <v>77</v>
      </c>
      <c r="B349" s="209" t="s">
        <v>512</v>
      </c>
      <c r="C349" s="209"/>
      <c r="D349" s="2">
        <v>7733</v>
      </c>
      <c r="E349" s="17" t="s">
        <v>58</v>
      </c>
      <c r="F349" s="1"/>
      <c r="G349" s="2" t="s">
        <v>25</v>
      </c>
      <c r="H349" s="18" t="s">
        <v>29</v>
      </c>
      <c r="I349" s="23"/>
      <c r="J349" s="24"/>
    </row>
    <row r="350" spans="1:10" ht="12.75" customHeight="1">
      <c r="A350" s="17" t="s">
        <v>30</v>
      </c>
      <c r="B350" s="1"/>
      <c r="C350" s="1"/>
      <c r="D350" s="2">
        <v>1000</v>
      </c>
      <c r="E350" s="17" t="s">
        <v>52</v>
      </c>
      <c r="F350" s="1"/>
      <c r="G350" s="2" t="s">
        <v>25</v>
      </c>
      <c r="H350" s="18" t="s">
        <v>32</v>
      </c>
      <c r="I350" s="23"/>
      <c r="J350" s="24"/>
    </row>
    <row r="351" spans="1:10" ht="12.75" customHeight="1">
      <c r="A351" s="17" t="s">
        <v>147</v>
      </c>
      <c r="B351" s="1"/>
      <c r="C351" s="1"/>
      <c r="D351" s="2" t="s">
        <v>25</v>
      </c>
      <c r="E351" s="17" t="s">
        <v>35</v>
      </c>
      <c r="F351" s="1"/>
      <c r="G351" s="2" t="s">
        <v>25</v>
      </c>
      <c r="H351" s="18"/>
      <c r="I351" s="6"/>
      <c r="J351" s="19"/>
    </row>
    <row r="352" spans="1:10" ht="12.75" customHeight="1">
      <c r="A352" s="17" t="s">
        <v>110</v>
      </c>
      <c r="B352" s="1"/>
      <c r="C352" s="1"/>
      <c r="D352" s="2" t="s">
        <v>25</v>
      </c>
      <c r="E352" s="17" t="s">
        <v>37</v>
      </c>
      <c r="F352" s="1"/>
      <c r="G352" s="2">
        <v>200</v>
      </c>
      <c r="H352" s="18" t="s">
        <v>513</v>
      </c>
      <c r="I352" s="6"/>
      <c r="J352" s="19"/>
    </row>
    <row r="353" spans="1:10" ht="12.75" customHeight="1">
      <c r="A353" s="17" t="s">
        <v>136</v>
      </c>
      <c r="B353" s="1"/>
      <c r="C353" s="1"/>
      <c r="D353" s="2">
        <v>500</v>
      </c>
      <c r="E353" s="17" t="s">
        <v>39</v>
      </c>
      <c r="F353" s="1"/>
      <c r="G353" s="2">
        <v>100</v>
      </c>
      <c r="H353" s="18"/>
      <c r="I353" s="6"/>
      <c r="J353" s="19"/>
    </row>
    <row r="354" spans="1:10" ht="12.75" customHeight="1">
      <c r="A354" s="18" t="s">
        <v>40</v>
      </c>
      <c r="B354" s="6"/>
      <c r="C354" s="6"/>
      <c r="D354" s="2" t="s">
        <v>25</v>
      </c>
      <c r="E354" s="17" t="s">
        <v>41</v>
      </c>
      <c r="F354" s="1"/>
      <c r="G354" s="2" t="s">
        <v>25</v>
      </c>
      <c r="H354" s="18"/>
      <c r="I354" s="6"/>
      <c r="J354" s="19"/>
    </row>
    <row r="355" spans="1:10" ht="12.75" customHeight="1">
      <c r="A355" s="204" t="s">
        <v>63</v>
      </c>
      <c r="B355" s="205"/>
      <c r="C355" s="206"/>
      <c r="D355" s="229">
        <f>SUM(D348:D354)</f>
        <v>33233</v>
      </c>
      <c r="E355" s="1" t="s">
        <v>43</v>
      </c>
      <c r="F355" s="1"/>
      <c r="G355" s="2" t="s">
        <v>25</v>
      </c>
      <c r="H355" s="18"/>
      <c r="I355" s="6"/>
      <c r="J355" s="19"/>
    </row>
    <row r="356" spans="1:10" ht="12.75" customHeight="1">
      <c r="A356" s="207"/>
      <c r="B356" s="197"/>
      <c r="C356" s="208"/>
      <c r="D356" s="230"/>
      <c r="E356" s="21" t="s">
        <v>21</v>
      </c>
      <c r="F356" s="22"/>
      <c r="G356" s="13">
        <f>SUM(G348:G355)</f>
        <v>300</v>
      </c>
      <c r="H356" s="21" t="s">
        <v>44</v>
      </c>
      <c r="I356" s="22"/>
      <c r="J356" s="13">
        <f>D355-G356</f>
        <v>32933</v>
      </c>
    </row>
    <row r="357" spans="1:10" ht="12.75" customHeight="1">
      <c r="A357" s="3" t="s">
        <v>45</v>
      </c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2.75" customHeight="1">
      <c r="A359" s="3"/>
      <c r="B359" s="3" t="s">
        <v>47</v>
      </c>
      <c r="C359" s="3"/>
      <c r="D359" s="3"/>
      <c r="E359" s="3" t="s">
        <v>48</v>
      </c>
      <c r="F359" s="3"/>
      <c r="G359" s="3"/>
      <c r="H359" s="3" t="s">
        <v>49</v>
      </c>
      <c r="I359" s="3"/>
      <c r="J359" s="3"/>
    </row>
    <row r="360" spans="1:10" ht="12.75" customHeight="1">
      <c r="A360" s="184" t="s">
        <v>0</v>
      </c>
      <c r="B360" s="185"/>
      <c r="C360" s="185"/>
      <c r="D360" s="185"/>
      <c r="E360" s="185"/>
      <c r="F360" s="185"/>
      <c r="G360" s="185"/>
      <c r="H360" s="185"/>
      <c r="I360" s="185"/>
      <c r="J360" s="186"/>
    </row>
    <row r="361" spans="1:10" ht="12.75" customHeight="1">
      <c r="A361" s="187" t="s">
        <v>1</v>
      </c>
      <c r="B361" s="188"/>
      <c r="C361" s="188"/>
      <c r="D361" s="188"/>
      <c r="E361" s="188"/>
      <c r="F361" s="188"/>
      <c r="G361" s="188"/>
      <c r="H361" s="188"/>
      <c r="I361" s="188"/>
      <c r="J361" s="189"/>
    </row>
    <row r="362" spans="1:10" ht="12.75" customHeight="1">
      <c r="A362" s="1" t="s">
        <v>2</v>
      </c>
      <c r="B362" s="1"/>
      <c r="C362" s="194" t="s">
        <v>517</v>
      </c>
      <c r="D362" s="194"/>
      <c r="E362" s="2"/>
      <c r="F362" s="3"/>
      <c r="G362" s="1" t="s">
        <v>4</v>
      </c>
      <c r="H362" s="193" t="s">
        <v>518</v>
      </c>
      <c r="I362" s="193"/>
      <c r="J362" s="193"/>
    </row>
    <row r="363" spans="1:10" ht="12.75" customHeight="1">
      <c r="A363" s="1" t="s">
        <v>6</v>
      </c>
      <c r="B363" s="1"/>
      <c r="C363" s="192" t="s">
        <v>519</v>
      </c>
      <c r="D363" s="192"/>
      <c r="E363" s="2"/>
      <c r="F363" s="3"/>
      <c r="G363" s="1" t="s">
        <v>8</v>
      </c>
      <c r="H363" s="193" t="s">
        <v>9</v>
      </c>
      <c r="I363" s="193"/>
      <c r="J363" s="193"/>
    </row>
    <row r="364" spans="1:10" ht="12.75" customHeight="1">
      <c r="A364" s="6" t="s">
        <v>10</v>
      </c>
      <c r="B364" s="6"/>
      <c r="C364" s="194" t="s">
        <v>463</v>
      </c>
      <c r="D364" s="194"/>
      <c r="E364" s="2"/>
      <c r="F364" s="3"/>
      <c r="G364" s="1" t="s">
        <v>12</v>
      </c>
      <c r="H364" s="195" t="s">
        <v>13</v>
      </c>
      <c r="I364" s="195"/>
      <c r="J364" s="195"/>
    </row>
    <row r="365" spans="1:10" ht="12.75" customHeight="1">
      <c r="A365" s="2" t="s">
        <v>14</v>
      </c>
      <c r="B365" s="2"/>
      <c r="C365" s="2" t="s">
        <v>15</v>
      </c>
      <c r="D365" s="2"/>
      <c r="E365" s="2"/>
      <c r="F365" s="3"/>
      <c r="G365" s="1" t="s">
        <v>16</v>
      </c>
      <c r="H365" s="196" t="s">
        <v>55</v>
      </c>
      <c r="I365" s="196"/>
      <c r="J365" s="196"/>
    </row>
    <row r="366" spans="1:10" ht="12.75" customHeight="1">
      <c r="A366" s="2">
        <v>30</v>
      </c>
      <c r="B366" s="2"/>
      <c r="C366" s="2">
        <f>A366-H366</f>
        <v>0</v>
      </c>
      <c r="D366" s="2"/>
      <c r="E366" s="2"/>
      <c r="F366" s="3"/>
      <c r="G366" s="8" t="s">
        <v>18</v>
      </c>
      <c r="H366" s="282">
        <v>30</v>
      </c>
      <c r="I366" s="282"/>
      <c r="J366" s="282"/>
    </row>
    <row r="367" spans="1:10" ht="12.75" customHeight="1">
      <c r="A367" s="198" t="s">
        <v>19</v>
      </c>
      <c r="B367" s="199"/>
      <c r="C367" s="200"/>
      <c r="D367" s="13" t="s">
        <v>20</v>
      </c>
      <c r="E367" s="14" t="s">
        <v>21</v>
      </c>
      <c r="F367" s="15"/>
      <c r="G367" s="16" t="s">
        <v>20</v>
      </c>
      <c r="H367" s="201" t="s">
        <v>22</v>
      </c>
      <c r="I367" s="202"/>
      <c r="J367" s="203"/>
    </row>
    <row r="368" spans="1:10" ht="12.75" customHeight="1">
      <c r="A368" s="17" t="s">
        <v>23</v>
      </c>
      <c r="B368" s="1"/>
      <c r="C368" s="1"/>
      <c r="D368" s="2">
        <v>25000</v>
      </c>
      <c r="E368" s="17" t="s">
        <v>52</v>
      </c>
      <c r="F368" s="1"/>
      <c r="G368" s="2" t="s">
        <v>25</v>
      </c>
      <c r="H368" s="18" t="s">
        <v>26</v>
      </c>
      <c r="I368" s="23"/>
      <c r="J368" s="24"/>
    </row>
    <row r="369" spans="1:10" ht="12.75" customHeight="1">
      <c r="A369" s="17" t="s">
        <v>57</v>
      </c>
      <c r="B369" s="283"/>
      <c r="C369" s="283"/>
      <c r="D369" s="2" t="s">
        <v>25</v>
      </c>
      <c r="E369" s="17" t="s">
        <v>28</v>
      </c>
      <c r="F369" s="1"/>
      <c r="G369" s="2" t="s">
        <v>25</v>
      </c>
      <c r="H369" s="18" t="s">
        <v>29</v>
      </c>
      <c r="I369" s="23"/>
      <c r="J369" s="24"/>
    </row>
    <row r="370" spans="1:10" ht="12.75" customHeight="1">
      <c r="A370" s="17" t="s">
        <v>30</v>
      </c>
      <c r="B370" s="1"/>
      <c r="C370" s="1"/>
      <c r="D370" s="2">
        <v>1000</v>
      </c>
      <c r="E370" s="17" t="s">
        <v>141</v>
      </c>
      <c r="F370" s="1"/>
      <c r="G370" s="2">
        <v>800</v>
      </c>
      <c r="H370" s="18" t="s">
        <v>32</v>
      </c>
      <c r="I370" s="23"/>
      <c r="J370" s="24"/>
    </row>
    <row r="371" spans="1:10" ht="12.75" customHeight="1">
      <c r="A371" s="17" t="s">
        <v>34</v>
      </c>
      <c r="B371" s="1"/>
      <c r="C371" s="1"/>
      <c r="D371" s="2" t="s">
        <v>25</v>
      </c>
      <c r="E371" s="17" t="s">
        <v>35</v>
      </c>
      <c r="F371" s="1"/>
      <c r="G371" s="2" t="s">
        <v>25</v>
      </c>
      <c r="H371" s="18"/>
      <c r="I371" s="6"/>
      <c r="J371" s="19"/>
    </row>
    <row r="372" spans="1:10" ht="12.75" customHeight="1">
      <c r="A372" s="17" t="s">
        <v>72</v>
      </c>
      <c r="B372" s="1"/>
      <c r="C372" s="1"/>
      <c r="D372" s="2" t="s">
        <v>25</v>
      </c>
      <c r="E372" s="17" t="s">
        <v>61</v>
      </c>
      <c r="F372" s="1"/>
      <c r="G372" s="2" t="s">
        <v>25</v>
      </c>
      <c r="H372" s="148"/>
      <c r="I372" s="149"/>
      <c r="J372" s="150"/>
    </row>
    <row r="373" spans="1:10" ht="12.75" customHeight="1">
      <c r="A373" s="17" t="s">
        <v>136</v>
      </c>
      <c r="B373" s="1"/>
      <c r="C373" s="1"/>
      <c r="D373" s="2" t="s">
        <v>25</v>
      </c>
      <c r="E373" s="17" t="s">
        <v>39</v>
      </c>
      <c r="F373" s="1"/>
      <c r="G373" s="2">
        <v>100</v>
      </c>
      <c r="H373" s="42"/>
      <c r="I373" s="36"/>
      <c r="J373" s="43"/>
    </row>
    <row r="374" spans="1:10" ht="12.75" customHeight="1">
      <c r="A374" s="18" t="s">
        <v>40</v>
      </c>
      <c r="B374" s="6"/>
      <c r="C374" s="6"/>
      <c r="D374" s="2" t="s">
        <v>25</v>
      </c>
      <c r="E374" s="17" t="s">
        <v>62</v>
      </c>
      <c r="F374" s="1"/>
      <c r="G374" s="2" t="s">
        <v>25</v>
      </c>
      <c r="H374" s="18"/>
      <c r="I374" s="6"/>
      <c r="J374" s="19"/>
    </row>
    <row r="375" spans="1:10" ht="12.75" customHeight="1">
      <c r="A375" s="204" t="s">
        <v>63</v>
      </c>
      <c r="B375" s="205"/>
      <c r="C375" s="206"/>
      <c r="D375" s="229">
        <f>SUM(D368:D374)</f>
        <v>26000</v>
      </c>
      <c r="E375" s="1" t="s">
        <v>43</v>
      </c>
      <c r="F375" s="1"/>
      <c r="G375" s="2" t="s">
        <v>25</v>
      </c>
      <c r="H375" s="18"/>
      <c r="I375" s="6"/>
      <c r="J375" s="19"/>
    </row>
    <row r="376" spans="1:10" ht="12.75" customHeight="1">
      <c r="A376" s="207"/>
      <c r="B376" s="197"/>
      <c r="C376" s="208"/>
      <c r="D376" s="230"/>
      <c r="E376" s="21" t="s">
        <v>21</v>
      </c>
      <c r="F376" s="22"/>
      <c r="G376" s="13">
        <f>SUM(G368:G375)</f>
        <v>900</v>
      </c>
      <c r="H376" s="21" t="s">
        <v>44</v>
      </c>
      <c r="I376" s="22"/>
      <c r="J376" s="13">
        <f>D375-G376</f>
        <v>25100</v>
      </c>
    </row>
    <row r="377" spans="1:10" ht="12.75" customHeight="1">
      <c r="A377" s="3" t="s">
        <v>45</v>
      </c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2.75" customHeight="1">
      <c r="A379" s="3"/>
      <c r="B379" s="3" t="s">
        <v>47</v>
      </c>
      <c r="C379" s="3"/>
      <c r="D379" s="3"/>
      <c r="E379" s="3" t="s">
        <v>48</v>
      </c>
      <c r="F379" s="3"/>
      <c r="G379" s="3"/>
      <c r="H379" s="3" t="s">
        <v>49</v>
      </c>
      <c r="I379" s="3"/>
      <c r="J379" s="3"/>
    </row>
    <row r="380" spans="1:10" ht="12.75" customHeight="1">
      <c r="A380" s="184" t="s">
        <v>0</v>
      </c>
      <c r="B380" s="185"/>
      <c r="C380" s="185"/>
      <c r="D380" s="185"/>
      <c r="E380" s="185"/>
      <c r="F380" s="185"/>
      <c r="G380" s="185"/>
      <c r="H380" s="185"/>
      <c r="I380" s="185"/>
      <c r="J380" s="186"/>
    </row>
    <row r="381" spans="1:10" ht="12.75" customHeight="1">
      <c r="A381" s="187" t="s">
        <v>1</v>
      </c>
      <c r="B381" s="188"/>
      <c r="C381" s="188"/>
      <c r="D381" s="188"/>
      <c r="E381" s="188"/>
      <c r="F381" s="188"/>
      <c r="G381" s="188"/>
      <c r="H381" s="188"/>
      <c r="I381" s="188"/>
      <c r="J381" s="189"/>
    </row>
    <row r="382" spans="1:10" ht="12.75" customHeight="1">
      <c r="A382" s="1" t="s">
        <v>2</v>
      </c>
      <c r="B382" s="1"/>
      <c r="C382" s="209" t="s">
        <v>520</v>
      </c>
      <c r="D382" s="209"/>
      <c r="E382" s="2"/>
      <c r="F382" s="3"/>
      <c r="G382" s="1" t="s">
        <v>4</v>
      </c>
      <c r="H382" s="284" t="s">
        <v>227</v>
      </c>
      <c r="I382" s="284"/>
      <c r="J382" s="284"/>
    </row>
    <row r="383" spans="1:10" ht="12.75" customHeight="1">
      <c r="A383" s="1" t="s">
        <v>6</v>
      </c>
      <c r="B383" s="1"/>
      <c r="C383" s="192" t="s">
        <v>521</v>
      </c>
      <c r="D383" s="192"/>
      <c r="E383" s="2"/>
      <c r="F383" s="3"/>
      <c r="G383" s="1" t="s">
        <v>8</v>
      </c>
      <c r="H383" s="193" t="s">
        <v>9</v>
      </c>
      <c r="I383" s="193"/>
      <c r="J383" s="193"/>
    </row>
    <row r="384" spans="1:10" ht="12.75" customHeight="1">
      <c r="A384" s="6" t="s">
        <v>10</v>
      </c>
      <c r="B384" s="6"/>
      <c r="C384" s="194" t="s">
        <v>466</v>
      </c>
      <c r="D384" s="194"/>
      <c r="E384" s="2"/>
      <c r="F384" s="3"/>
      <c r="G384" s="1" t="s">
        <v>12</v>
      </c>
      <c r="H384" s="195" t="s">
        <v>13</v>
      </c>
      <c r="I384" s="195"/>
      <c r="J384" s="195"/>
    </row>
    <row r="385" spans="1:10" ht="12.75" customHeight="1">
      <c r="A385" s="6" t="s">
        <v>14</v>
      </c>
      <c r="B385" s="6"/>
      <c r="C385" s="2" t="s">
        <v>15</v>
      </c>
      <c r="D385" s="2"/>
      <c r="E385" s="2"/>
      <c r="F385" s="3"/>
      <c r="G385" s="1" t="s">
        <v>16</v>
      </c>
      <c r="H385" s="196" t="s">
        <v>522</v>
      </c>
      <c r="I385" s="196"/>
      <c r="J385" s="196"/>
    </row>
    <row r="386" spans="1:10" ht="12.75" customHeight="1">
      <c r="A386" s="6">
        <v>30</v>
      </c>
      <c r="B386" s="6"/>
      <c r="C386" s="2">
        <f>A386-I386</f>
        <v>1</v>
      </c>
      <c r="D386" s="2"/>
      <c r="E386" s="2"/>
      <c r="F386" s="3"/>
      <c r="G386" s="8" t="s">
        <v>18</v>
      </c>
      <c r="H386" s="8"/>
      <c r="I386" s="9">
        <v>29</v>
      </c>
      <c r="J386" s="9"/>
    </row>
    <row r="387" spans="1:10" ht="12.75" customHeight="1">
      <c r="A387" s="198" t="s">
        <v>19</v>
      </c>
      <c r="B387" s="199"/>
      <c r="C387" s="200"/>
      <c r="D387" s="13" t="s">
        <v>20</v>
      </c>
      <c r="E387" s="14" t="s">
        <v>21</v>
      </c>
      <c r="F387" s="15"/>
      <c r="G387" s="16" t="s">
        <v>20</v>
      </c>
      <c r="H387" s="201" t="s">
        <v>22</v>
      </c>
      <c r="I387" s="202"/>
      <c r="J387" s="203"/>
    </row>
    <row r="388" spans="1:10" ht="12.75" customHeight="1">
      <c r="A388" s="17" t="s">
        <v>23</v>
      </c>
      <c r="B388" s="1"/>
      <c r="C388" s="1"/>
      <c r="D388" s="2">
        <v>16500</v>
      </c>
      <c r="E388" s="17" t="s">
        <v>24</v>
      </c>
      <c r="F388" s="1"/>
      <c r="G388" s="2" t="s">
        <v>25</v>
      </c>
      <c r="H388" s="18" t="s">
        <v>26</v>
      </c>
      <c r="I388" s="23"/>
      <c r="J388" s="24"/>
    </row>
    <row r="389" spans="1:10" ht="12.75" customHeight="1">
      <c r="A389" s="17" t="s">
        <v>77</v>
      </c>
      <c r="B389" s="209" t="s">
        <v>196</v>
      </c>
      <c r="C389" s="209"/>
      <c r="D389" s="2">
        <v>1650</v>
      </c>
      <c r="E389" s="17" t="s">
        <v>28</v>
      </c>
      <c r="F389" s="1"/>
      <c r="G389" s="2" t="s">
        <v>25</v>
      </c>
      <c r="H389" s="18" t="s">
        <v>29</v>
      </c>
      <c r="I389" s="23"/>
      <c r="J389" s="24"/>
    </row>
    <row r="390" spans="1:10" ht="12.75" customHeight="1">
      <c r="A390" s="17" t="s">
        <v>30</v>
      </c>
      <c r="B390" s="1"/>
      <c r="C390" s="1"/>
      <c r="D390" s="2">
        <v>800</v>
      </c>
      <c r="E390" s="17" t="s">
        <v>376</v>
      </c>
      <c r="F390" s="1"/>
      <c r="G390" s="2" t="s">
        <v>25</v>
      </c>
      <c r="H390" s="18" t="s">
        <v>32</v>
      </c>
      <c r="I390" s="23"/>
      <c r="J390" s="24"/>
    </row>
    <row r="391" spans="1:10" ht="12.75" customHeight="1">
      <c r="A391" s="17" t="s">
        <v>27</v>
      </c>
      <c r="B391" s="1"/>
      <c r="C391" s="1"/>
      <c r="D391" s="2" t="s">
        <v>25</v>
      </c>
      <c r="E391" s="17" t="s">
        <v>35</v>
      </c>
      <c r="F391" s="1"/>
      <c r="G391" s="2" t="s">
        <v>25</v>
      </c>
      <c r="H391" s="18"/>
      <c r="I391" s="6"/>
      <c r="J391" s="19"/>
    </row>
    <row r="392" spans="1:10" ht="12.75" customHeight="1">
      <c r="A392" s="17" t="s">
        <v>523</v>
      </c>
      <c r="B392" s="1"/>
      <c r="C392" s="1"/>
      <c r="D392" s="2" t="s">
        <v>25</v>
      </c>
      <c r="E392" s="17" t="s">
        <v>61</v>
      </c>
      <c r="F392" s="1"/>
      <c r="G392" s="2" t="s">
        <v>25</v>
      </c>
      <c r="H392" s="18"/>
      <c r="I392" s="6"/>
      <c r="J392" s="19"/>
    </row>
    <row r="393" spans="1:10" ht="12.75" customHeight="1">
      <c r="A393" s="17" t="s">
        <v>136</v>
      </c>
      <c r="B393" s="1"/>
      <c r="C393" s="1"/>
      <c r="D393" s="2" t="s">
        <v>25</v>
      </c>
      <c r="E393" s="17" t="s">
        <v>39</v>
      </c>
      <c r="F393" s="1"/>
      <c r="G393" s="2">
        <v>100</v>
      </c>
      <c r="H393" s="18" t="s">
        <v>524</v>
      </c>
      <c r="I393" s="6"/>
      <c r="J393" s="19"/>
    </row>
    <row r="394" spans="1:10" ht="12.75" customHeight="1">
      <c r="A394" s="18" t="s">
        <v>40</v>
      </c>
      <c r="B394" s="6"/>
      <c r="C394" s="6"/>
      <c r="D394" s="2" t="s">
        <v>25</v>
      </c>
      <c r="E394" s="17" t="s">
        <v>41</v>
      </c>
      <c r="F394" s="1"/>
      <c r="G394" s="2" t="s">
        <v>25</v>
      </c>
      <c r="H394" s="18"/>
      <c r="I394" s="6"/>
      <c r="J394" s="19"/>
    </row>
    <row r="395" spans="1:10" ht="12.75" customHeight="1">
      <c r="A395" s="204" t="s">
        <v>63</v>
      </c>
      <c r="B395" s="205"/>
      <c r="C395" s="206"/>
      <c r="D395" s="229">
        <f>SUM(D388:D394)</f>
        <v>18950</v>
      </c>
      <c r="E395" s="1" t="s">
        <v>43</v>
      </c>
      <c r="F395" s="1"/>
      <c r="G395" s="2" t="s">
        <v>25</v>
      </c>
      <c r="H395" s="18"/>
      <c r="I395" s="6"/>
      <c r="J395" s="19"/>
    </row>
    <row r="396" spans="1:10" ht="12.75" customHeight="1">
      <c r="A396" s="207"/>
      <c r="B396" s="197"/>
      <c r="C396" s="208"/>
      <c r="D396" s="230"/>
      <c r="E396" s="21" t="s">
        <v>21</v>
      </c>
      <c r="F396" s="22"/>
      <c r="G396" s="13">
        <f>SUM(G388:G395)</f>
        <v>100</v>
      </c>
      <c r="H396" s="21" t="s">
        <v>44</v>
      </c>
      <c r="I396" s="22"/>
      <c r="J396" s="13">
        <f>D395-G396</f>
        <v>18850</v>
      </c>
    </row>
    <row r="397" spans="1:10" ht="12.75" customHeight="1">
      <c r="A397" s="3" t="s">
        <v>45</v>
      </c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2.75" customHeight="1">
      <c r="A399" s="3"/>
      <c r="B399" s="3" t="s">
        <v>47</v>
      </c>
      <c r="C399" s="3"/>
      <c r="D399" s="3"/>
      <c r="E399" s="3" t="s">
        <v>48</v>
      </c>
      <c r="F399" s="3"/>
      <c r="G399" s="3"/>
      <c r="H399" s="3" t="s">
        <v>49</v>
      </c>
      <c r="I399" s="3"/>
      <c r="J399" s="3"/>
    </row>
    <row r="400" spans="1:10" ht="12.75" customHeight="1">
      <c r="A400" s="184" t="s">
        <v>0</v>
      </c>
      <c r="B400" s="185"/>
      <c r="C400" s="185"/>
      <c r="D400" s="185"/>
      <c r="E400" s="185"/>
      <c r="F400" s="185"/>
      <c r="G400" s="185"/>
      <c r="H400" s="185"/>
      <c r="I400" s="185"/>
      <c r="J400" s="186"/>
    </row>
    <row r="401" spans="1:10" ht="12.75" customHeight="1">
      <c r="A401" s="187" t="s">
        <v>1</v>
      </c>
      <c r="B401" s="188"/>
      <c r="C401" s="188"/>
      <c r="D401" s="188"/>
      <c r="E401" s="188"/>
      <c r="F401" s="188"/>
      <c r="G401" s="188"/>
      <c r="H401" s="188"/>
      <c r="I401" s="188"/>
      <c r="J401" s="189"/>
    </row>
    <row r="402" spans="1:10" ht="12.75" customHeight="1">
      <c r="A402" s="1" t="s">
        <v>2</v>
      </c>
      <c r="B402" s="1"/>
      <c r="C402" s="194" t="s">
        <v>510</v>
      </c>
      <c r="D402" s="194"/>
      <c r="E402" s="2"/>
      <c r="F402" s="3"/>
      <c r="G402" s="1" t="s">
        <v>4</v>
      </c>
      <c r="H402" s="284" t="s">
        <v>227</v>
      </c>
      <c r="I402" s="284"/>
      <c r="J402" s="284"/>
    </row>
    <row r="403" spans="1:10" ht="12.75" customHeight="1">
      <c r="A403" s="1" t="s">
        <v>6</v>
      </c>
      <c r="B403" s="1"/>
      <c r="C403" s="192" t="s">
        <v>525</v>
      </c>
      <c r="D403" s="192"/>
      <c r="E403" s="2"/>
      <c r="F403" s="3"/>
      <c r="G403" s="1" t="s">
        <v>8</v>
      </c>
      <c r="H403" s="193" t="s">
        <v>9</v>
      </c>
      <c r="I403" s="193"/>
      <c r="J403" s="193"/>
    </row>
    <row r="404" spans="1:10" ht="12.75" customHeight="1">
      <c r="A404" s="6" t="s">
        <v>10</v>
      </c>
      <c r="B404" s="6"/>
      <c r="C404" s="194" t="s">
        <v>466</v>
      </c>
      <c r="D404" s="194"/>
      <c r="E404" s="2"/>
      <c r="F404" s="3"/>
      <c r="G404" s="1" t="s">
        <v>12</v>
      </c>
      <c r="H404" s="195" t="s">
        <v>13</v>
      </c>
      <c r="I404" s="195"/>
      <c r="J404" s="195"/>
    </row>
    <row r="405" spans="1:10" ht="12.75" customHeight="1">
      <c r="A405" s="2" t="s">
        <v>14</v>
      </c>
      <c r="B405" s="2"/>
      <c r="C405" s="2" t="s">
        <v>15</v>
      </c>
      <c r="D405" s="2"/>
      <c r="E405" s="2"/>
      <c r="F405" s="3"/>
      <c r="G405" s="1" t="s">
        <v>16</v>
      </c>
      <c r="H405" s="196" t="s">
        <v>76</v>
      </c>
      <c r="I405" s="196"/>
      <c r="J405" s="196"/>
    </row>
    <row r="406" spans="1:10" ht="12.75" customHeight="1">
      <c r="A406" s="2">
        <v>30</v>
      </c>
      <c r="B406" s="2"/>
      <c r="C406" s="2">
        <f>A406-H406</f>
        <v>20</v>
      </c>
      <c r="D406" s="2"/>
      <c r="E406" s="2"/>
      <c r="F406" s="3"/>
      <c r="G406" s="8" t="s">
        <v>18</v>
      </c>
      <c r="H406" s="197">
        <v>10</v>
      </c>
      <c r="I406" s="197"/>
      <c r="J406" s="197"/>
    </row>
    <row r="407" spans="1:10" ht="12.75" customHeight="1">
      <c r="A407" s="198" t="s">
        <v>19</v>
      </c>
      <c r="B407" s="199"/>
      <c r="C407" s="200"/>
      <c r="D407" s="13" t="s">
        <v>20</v>
      </c>
      <c r="E407" s="14" t="s">
        <v>21</v>
      </c>
      <c r="F407" s="15"/>
      <c r="G407" s="16" t="s">
        <v>20</v>
      </c>
      <c r="H407" s="201" t="s">
        <v>22</v>
      </c>
      <c r="I407" s="202"/>
      <c r="J407" s="203"/>
    </row>
    <row r="408" spans="1:10" ht="12.75" customHeight="1">
      <c r="A408" s="17" t="s">
        <v>23</v>
      </c>
      <c r="B408" s="1"/>
      <c r="C408" s="1"/>
      <c r="D408" s="2">
        <v>16500</v>
      </c>
      <c r="E408" s="17" t="s">
        <v>24</v>
      </c>
      <c r="F408" s="1"/>
      <c r="G408" s="2" t="s">
        <v>25</v>
      </c>
      <c r="H408" s="18" t="s">
        <v>26</v>
      </c>
      <c r="I408" s="23"/>
      <c r="J408" s="24"/>
    </row>
    <row r="409" spans="1:10" ht="12.75" customHeight="1">
      <c r="A409" s="17" t="s">
        <v>77</v>
      </c>
      <c r="B409" s="209" t="s">
        <v>196</v>
      </c>
      <c r="C409" s="209"/>
      <c r="D409" s="2">
        <v>1650</v>
      </c>
      <c r="E409" s="17" t="s">
        <v>376</v>
      </c>
      <c r="F409" s="1"/>
      <c r="G409" s="2" t="s">
        <v>25</v>
      </c>
      <c r="H409" s="18" t="s">
        <v>29</v>
      </c>
      <c r="I409" s="23"/>
      <c r="J409" s="24"/>
    </row>
    <row r="410" spans="1:10" ht="12.75" customHeight="1">
      <c r="A410" s="17" t="s">
        <v>30</v>
      </c>
      <c r="B410" s="1"/>
      <c r="C410" s="1"/>
      <c r="D410" s="2">
        <v>800</v>
      </c>
      <c r="E410" s="17" t="s">
        <v>141</v>
      </c>
      <c r="F410" s="1"/>
      <c r="G410" s="2" t="s">
        <v>25</v>
      </c>
      <c r="H410" s="18" t="s">
        <v>32</v>
      </c>
      <c r="I410" s="23"/>
      <c r="J410" s="24"/>
    </row>
    <row r="411" spans="1:10" ht="12.75" customHeight="1">
      <c r="A411" s="17" t="s">
        <v>345</v>
      </c>
      <c r="B411" s="1"/>
      <c r="C411" s="1"/>
      <c r="D411" s="2" t="s">
        <v>25</v>
      </c>
      <c r="E411" s="17" t="s">
        <v>71</v>
      </c>
      <c r="F411" s="1"/>
      <c r="G411" s="2" t="s">
        <v>25</v>
      </c>
      <c r="H411" s="18"/>
      <c r="I411" s="36"/>
      <c r="J411" s="19"/>
    </row>
    <row r="412" spans="1:10" ht="12.75" customHeight="1">
      <c r="A412" s="17" t="s">
        <v>38</v>
      </c>
      <c r="B412" s="1"/>
      <c r="C412" s="1"/>
      <c r="D412" s="2" t="s">
        <v>25</v>
      </c>
      <c r="E412" s="17" t="s">
        <v>61</v>
      </c>
      <c r="F412" s="1"/>
      <c r="G412" s="2" t="s">
        <v>25</v>
      </c>
      <c r="H412" s="18" t="s">
        <v>526</v>
      </c>
      <c r="I412" s="6"/>
      <c r="J412" s="19"/>
    </row>
    <row r="413" spans="1:10" ht="12.75" customHeight="1">
      <c r="A413" s="17" t="s">
        <v>78</v>
      </c>
      <c r="B413" s="1"/>
      <c r="C413" s="1"/>
      <c r="D413" s="2" t="s">
        <v>25</v>
      </c>
      <c r="E413" s="17" t="s">
        <v>39</v>
      </c>
      <c r="F413" s="1"/>
      <c r="G413" s="2">
        <v>100</v>
      </c>
      <c r="H413" s="18" t="s">
        <v>527</v>
      </c>
      <c r="I413" s="6"/>
      <c r="J413" s="19"/>
    </row>
    <row r="414" spans="1:10" ht="12.75" customHeight="1">
      <c r="A414" s="18" t="s">
        <v>40</v>
      </c>
      <c r="B414" s="6"/>
      <c r="C414" s="6"/>
      <c r="D414" s="2" t="s">
        <v>25</v>
      </c>
      <c r="E414" s="17" t="s">
        <v>62</v>
      </c>
      <c r="F414" s="2"/>
      <c r="G414" s="2" t="s">
        <v>25</v>
      </c>
      <c r="H414" s="18"/>
      <c r="I414" s="6"/>
      <c r="J414" s="19"/>
    </row>
    <row r="415" spans="1:10" ht="12.75" customHeight="1">
      <c r="A415" s="204" t="s">
        <v>63</v>
      </c>
      <c r="B415" s="205"/>
      <c r="C415" s="206"/>
      <c r="D415" s="229">
        <f>SUM(D408:D414)</f>
        <v>18950</v>
      </c>
      <c r="E415" s="1" t="s">
        <v>78</v>
      </c>
      <c r="F415" s="1"/>
      <c r="G415" s="2" t="s">
        <v>25</v>
      </c>
      <c r="H415" s="18"/>
      <c r="I415" s="6"/>
      <c r="J415" s="19"/>
    </row>
    <row r="416" spans="1:10" ht="12.75" customHeight="1">
      <c r="A416" s="207"/>
      <c r="B416" s="197"/>
      <c r="C416" s="208"/>
      <c r="D416" s="230"/>
      <c r="E416" s="21" t="s">
        <v>21</v>
      </c>
      <c r="F416" s="22"/>
      <c r="G416" s="13">
        <f>SUM(G408:G415)</f>
        <v>100</v>
      </c>
      <c r="H416" s="21" t="s">
        <v>44</v>
      </c>
      <c r="I416" s="22"/>
      <c r="J416" s="13">
        <f>D415-G416</f>
        <v>18850</v>
      </c>
    </row>
    <row r="417" spans="1:10" ht="12.75" customHeight="1">
      <c r="A417" s="3" t="s">
        <v>45</v>
      </c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2.75" customHeight="1">
      <c r="A419" s="3"/>
      <c r="B419" s="3" t="s">
        <v>47</v>
      </c>
      <c r="C419" s="3"/>
      <c r="D419" s="3"/>
      <c r="E419" s="3" t="s">
        <v>48</v>
      </c>
      <c r="F419" s="3"/>
      <c r="G419" s="3"/>
      <c r="H419" s="3" t="s">
        <v>49</v>
      </c>
      <c r="I419" s="3"/>
      <c r="J419" s="3"/>
    </row>
    <row r="420" spans="1:10" ht="12.75" customHeight="1">
      <c r="A420" s="184" t="s">
        <v>0</v>
      </c>
      <c r="B420" s="185"/>
      <c r="C420" s="185"/>
      <c r="D420" s="185"/>
      <c r="E420" s="185"/>
      <c r="F420" s="185"/>
      <c r="G420" s="185"/>
      <c r="H420" s="185"/>
      <c r="I420" s="185"/>
      <c r="J420" s="186"/>
    </row>
    <row r="421" spans="1:10" ht="12.75" customHeight="1">
      <c r="A421" s="187" t="s">
        <v>1</v>
      </c>
      <c r="B421" s="188"/>
      <c r="C421" s="188"/>
      <c r="D421" s="188"/>
      <c r="E421" s="188"/>
      <c r="F421" s="188"/>
      <c r="G421" s="188"/>
      <c r="H421" s="188"/>
      <c r="I421" s="188"/>
      <c r="J421" s="189"/>
    </row>
    <row r="422" spans="1:10" ht="12.75" customHeight="1">
      <c r="A422" s="1" t="s">
        <v>2</v>
      </c>
      <c r="B422" s="1"/>
      <c r="C422" s="194"/>
      <c r="D422" s="194"/>
      <c r="E422" s="2"/>
      <c r="F422" s="3"/>
      <c r="G422" s="1" t="s">
        <v>4</v>
      </c>
      <c r="H422" s="191" t="s">
        <v>528</v>
      </c>
      <c r="I422" s="191"/>
      <c r="J422" s="191"/>
    </row>
    <row r="423" spans="1:10" ht="12.75" customHeight="1">
      <c r="A423" s="1" t="s">
        <v>6</v>
      </c>
      <c r="B423" s="1"/>
      <c r="C423" s="25" t="s">
        <v>529</v>
      </c>
      <c r="D423" s="25"/>
      <c r="E423" s="6"/>
      <c r="F423" s="3"/>
      <c r="G423" s="1" t="s">
        <v>8</v>
      </c>
      <c r="H423" s="193" t="s">
        <v>9</v>
      </c>
      <c r="I423" s="193"/>
      <c r="J423" s="193"/>
    </row>
    <row r="424" spans="1:10" ht="12.75" customHeight="1">
      <c r="A424" s="6" t="s">
        <v>10</v>
      </c>
      <c r="B424" s="6"/>
      <c r="C424" s="6" t="s">
        <v>466</v>
      </c>
      <c r="D424" s="6"/>
      <c r="E424" s="2"/>
      <c r="F424" s="3"/>
      <c r="G424" s="1" t="s">
        <v>12</v>
      </c>
      <c r="H424" s="195" t="s">
        <v>13</v>
      </c>
      <c r="I424" s="195"/>
      <c r="J424" s="195"/>
    </row>
    <row r="425" spans="1:10" ht="12.75" customHeight="1">
      <c r="A425" s="2"/>
      <c r="B425" s="2"/>
      <c r="C425" s="2" t="s">
        <v>15</v>
      </c>
      <c r="D425" s="2"/>
      <c r="E425" s="2"/>
      <c r="F425" s="3"/>
      <c r="G425" s="1" t="s">
        <v>16</v>
      </c>
      <c r="H425" s="196" t="s">
        <v>55</v>
      </c>
      <c r="I425" s="196"/>
      <c r="J425" s="196"/>
    </row>
    <row r="426" spans="1:10" ht="12.75" customHeight="1">
      <c r="A426" s="2">
        <v>30</v>
      </c>
      <c r="B426" s="2"/>
      <c r="C426" s="2">
        <f>A426-I426</f>
        <v>0</v>
      </c>
      <c r="D426" s="2"/>
      <c r="E426" s="2"/>
      <c r="F426" s="3"/>
      <c r="G426" s="8" t="s">
        <v>18</v>
      </c>
      <c r="H426" s="8"/>
      <c r="I426" s="9">
        <v>30</v>
      </c>
      <c r="J426" s="9"/>
    </row>
    <row r="427" spans="1:10" ht="12.75" customHeight="1">
      <c r="A427" s="198" t="s">
        <v>19</v>
      </c>
      <c r="B427" s="199"/>
      <c r="C427" s="200"/>
      <c r="D427" s="13" t="s">
        <v>20</v>
      </c>
      <c r="E427" s="14" t="s">
        <v>21</v>
      </c>
      <c r="F427" s="15"/>
      <c r="G427" s="16" t="s">
        <v>20</v>
      </c>
      <c r="H427" s="201" t="s">
        <v>22</v>
      </c>
      <c r="I427" s="202"/>
      <c r="J427" s="203"/>
    </row>
    <row r="428" spans="1:10" ht="12.75" customHeight="1">
      <c r="A428" s="17" t="s">
        <v>530</v>
      </c>
      <c r="B428" s="1"/>
      <c r="C428" s="1"/>
      <c r="D428" s="56">
        <v>25000</v>
      </c>
      <c r="E428" s="17" t="s">
        <v>24</v>
      </c>
      <c r="F428" s="1"/>
      <c r="G428" s="2" t="s">
        <v>25</v>
      </c>
      <c r="H428" s="18" t="s">
        <v>26</v>
      </c>
      <c r="I428" s="23"/>
      <c r="J428" s="24"/>
    </row>
    <row r="429" spans="1:10" ht="12.75" customHeight="1">
      <c r="A429" s="17" t="s">
        <v>57</v>
      </c>
      <c r="B429" s="209" t="s">
        <v>324</v>
      </c>
      <c r="C429" s="209"/>
      <c r="D429" s="2">
        <v>972</v>
      </c>
      <c r="E429" s="17" t="s">
        <v>24</v>
      </c>
      <c r="F429" s="1"/>
      <c r="G429" s="2" t="s">
        <v>25</v>
      </c>
      <c r="H429" s="18" t="s">
        <v>29</v>
      </c>
      <c r="I429" s="23"/>
      <c r="J429" s="24"/>
    </row>
    <row r="430" spans="1:10" ht="12.75" customHeight="1">
      <c r="A430" s="17" t="s">
        <v>531</v>
      </c>
      <c r="B430" s="1"/>
      <c r="C430" s="1"/>
      <c r="D430" s="2">
        <v>1000</v>
      </c>
      <c r="E430" s="17" t="s">
        <v>62</v>
      </c>
      <c r="F430" s="1"/>
      <c r="G430" s="2" t="s">
        <v>25</v>
      </c>
      <c r="H430" s="18" t="s">
        <v>32</v>
      </c>
      <c r="I430" s="23"/>
      <c r="J430" s="24"/>
    </row>
    <row r="431" spans="1:10" ht="12.75" customHeight="1">
      <c r="A431" s="17" t="s">
        <v>34</v>
      </c>
      <c r="B431" s="1"/>
      <c r="C431" s="1"/>
      <c r="D431" s="2" t="s">
        <v>25</v>
      </c>
      <c r="E431" s="17" t="s">
        <v>71</v>
      </c>
      <c r="F431" s="1"/>
      <c r="G431" s="2" t="s">
        <v>25</v>
      </c>
      <c r="H431" s="18"/>
      <c r="I431" s="6"/>
      <c r="J431" s="40"/>
    </row>
    <row r="432" spans="1:10" ht="12.75" customHeight="1">
      <c r="A432" s="17" t="s">
        <v>27</v>
      </c>
      <c r="B432" s="1"/>
      <c r="C432" s="1"/>
      <c r="D432" s="2" t="s">
        <v>25</v>
      </c>
      <c r="E432" s="17" t="s">
        <v>61</v>
      </c>
      <c r="F432" s="1"/>
      <c r="G432" s="2">
        <v>1400</v>
      </c>
      <c r="H432" s="18"/>
      <c r="I432" s="6"/>
      <c r="J432" s="40"/>
    </row>
    <row r="433" spans="1:10" ht="12.75" customHeight="1">
      <c r="A433" s="17" t="s">
        <v>136</v>
      </c>
      <c r="B433" s="1"/>
      <c r="C433" s="1"/>
      <c r="D433" s="2" t="s">
        <v>25</v>
      </c>
      <c r="E433" s="17" t="s">
        <v>39</v>
      </c>
      <c r="F433" s="1"/>
      <c r="G433" s="2">
        <v>100</v>
      </c>
      <c r="H433" s="18"/>
      <c r="I433" s="6"/>
      <c r="J433" s="40"/>
    </row>
    <row r="434" spans="1:10" ht="12.75" customHeight="1">
      <c r="A434" s="18" t="s">
        <v>40</v>
      </c>
      <c r="B434" s="6"/>
      <c r="C434" s="6"/>
      <c r="D434" s="2" t="s">
        <v>25</v>
      </c>
      <c r="E434" s="17" t="s">
        <v>62</v>
      </c>
      <c r="F434" s="2"/>
      <c r="G434" s="2" t="s">
        <v>25</v>
      </c>
      <c r="H434" s="18"/>
      <c r="I434" s="6"/>
      <c r="J434" s="19"/>
    </row>
    <row r="435" spans="1:10" ht="12.75" customHeight="1">
      <c r="A435" s="204" t="s">
        <v>532</v>
      </c>
      <c r="B435" s="205"/>
      <c r="C435" s="206"/>
      <c r="D435" s="229">
        <f>SUM(D428:D434)</f>
        <v>26972</v>
      </c>
      <c r="E435" s="1" t="s">
        <v>43</v>
      </c>
      <c r="F435" s="1"/>
      <c r="G435" s="2" t="s">
        <v>25</v>
      </c>
      <c r="H435" s="18"/>
      <c r="I435" s="6"/>
      <c r="J435" s="19"/>
    </row>
    <row r="436" spans="1:10" ht="12.75" customHeight="1">
      <c r="A436" s="207"/>
      <c r="B436" s="197"/>
      <c r="C436" s="208"/>
      <c r="D436" s="230"/>
      <c r="E436" s="21" t="s">
        <v>21</v>
      </c>
      <c r="F436" s="22"/>
      <c r="G436" s="13">
        <f>SUM(G428:G435)</f>
        <v>1500</v>
      </c>
      <c r="H436" s="21" t="s">
        <v>44</v>
      </c>
      <c r="I436" s="22"/>
      <c r="J436" s="13">
        <f>D435-G436</f>
        <v>25472</v>
      </c>
    </row>
    <row r="437" spans="1:10" ht="12.75" customHeight="1">
      <c r="A437" s="3" t="s">
        <v>533</v>
      </c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2.75" customHeight="1">
      <c r="A439" s="3"/>
      <c r="B439" s="3" t="s">
        <v>47</v>
      </c>
      <c r="C439" s="3"/>
      <c r="D439" s="3" t="s">
        <v>73</v>
      </c>
      <c r="E439" s="3" t="s">
        <v>48</v>
      </c>
      <c r="F439" s="3"/>
      <c r="G439" s="3"/>
      <c r="H439" s="3" t="s">
        <v>49</v>
      </c>
      <c r="I439" s="3"/>
      <c r="J439" s="3"/>
    </row>
    <row r="440" spans="1:10" ht="12.75" customHeight="1">
      <c r="A440" s="184" t="s">
        <v>0</v>
      </c>
      <c r="B440" s="185"/>
      <c r="C440" s="185"/>
      <c r="D440" s="185"/>
      <c r="E440" s="185"/>
      <c r="F440" s="185"/>
      <c r="G440" s="185"/>
      <c r="H440" s="185"/>
      <c r="I440" s="185"/>
      <c r="J440" s="186"/>
    </row>
    <row r="441" spans="1:10" ht="12.75" customHeight="1">
      <c r="A441" s="187" t="s">
        <v>1</v>
      </c>
      <c r="B441" s="188"/>
      <c r="C441" s="188"/>
      <c r="D441" s="188"/>
      <c r="E441" s="188"/>
      <c r="F441" s="188"/>
      <c r="G441" s="188"/>
      <c r="H441" s="188"/>
      <c r="I441" s="188"/>
      <c r="J441" s="189"/>
    </row>
    <row r="442" spans="1:10" ht="12.75" customHeight="1">
      <c r="A442" s="1" t="s">
        <v>2</v>
      </c>
      <c r="B442" s="1"/>
      <c r="C442" s="191" t="s">
        <v>534</v>
      </c>
      <c r="D442" s="191"/>
      <c r="E442" s="2"/>
      <c r="F442" s="3"/>
      <c r="G442" s="1" t="s">
        <v>4</v>
      </c>
      <c r="H442" s="191" t="s">
        <v>535</v>
      </c>
      <c r="I442" s="191"/>
      <c r="J442" s="191"/>
    </row>
    <row r="443" spans="1:10" ht="12.75" customHeight="1">
      <c r="A443" s="1" t="s">
        <v>6</v>
      </c>
      <c r="B443" s="6"/>
      <c r="C443" s="25" t="s">
        <v>536</v>
      </c>
      <c r="D443" s="25"/>
      <c r="E443" s="2"/>
      <c r="F443" s="3"/>
      <c r="G443" s="1" t="s">
        <v>8</v>
      </c>
      <c r="H443" s="193" t="s">
        <v>9</v>
      </c>
      <c r="I443" s="193"/>
      <c r="J443" s="193"/>
    </row>
    <row r="444" spans="1:10" ht="12.75" customHeight="1">
      <c r="A444" s="6" t="s">
        <v>10</v>
      </c>
      <c r="B444" s="6"/>
      <c r="C444" s="194" t="s">
        <v>466</v>
      </c>
      <c r="D444" s="194"/>
      <c r="E444" s="2"/>
      <c r="F444" s="3"/>
      <c r="G444" s="1" t="s">
        <v>12</v>
      </c>
      <c r="H444" s="195" t="s">
        <v>13</v>
      </c>
      <c r="I444" s="195"/>
      <c r="J444" s="195"/>
    </row>
    <row r="445" spans="1:10" ht="12.75" customHeight="1">
      <c r="A445" s="6" t="s">
        <v>14</v>
      </c>
      <c r="B445" s="6"/>
      <c r="C445" s="2" t="s">
        <v>15</v>
      </c>
      <c r="D445" s="2"/>
      <c r="E445" s="2"/>
      <c r="F445" s="3"/>
      <c r="G445" s="1" t="s">
        <v>16</v>
      </c>
      <c r="H445" s="195" t="s">
        <v>140</v>
      </c>
      <c r="I445" s="195"/>
      <c r="J445" s="195"/>
    </row>
    <row r="446" spans="1:10" ht="12.75" customHeight="1">
      <c r="A446" s="6">
        <v>30</v>
      </c>
      <c r="B446" s="6"/>
      <c r="C446" s="2">
        <f>A446-I446</f>
        <v>0</v>
      </c>
      <c r="D446" s="2"/>
      <c r="E446" s="2"/>
      <c r="F446" s="3"/>
      <c r="G446" s="1" t="s">
        <v>18</v>
      </c>
      <c r="H446" s="8"/>
      <c r="I446" s="9">
        <v>30</v>
      </c>
      <c r="J446" s="9"/>
    </row>
    <row r="447" spans="1:10" ht="12.75" customHeight="1">
      <c r="A447" s="198" t="s">
        <v>19</v>
      </c>
      <c r="B447" s="199"/>
      <c r="C447" s="200"/>
      <c r="D447" s="13" t="s">
        <v>20</v>
      </c>
      <c r="E447" s="14" t="s">
        <v>21</v>
      </c>
      <c r="F447" s="15"/>
      <c r="G447" s="155" t="s">
        <v>20</v>
      </c>
      <c r="H447" s="205" t="s">
        <v>22</v>
      </c>
      <c r="I447" s="202"/>
      <c r="J447" s="203"/>
    </row>
    <row r="448" spans="1:10" ht="12.75" customHeight="1">
      <c r="A448" s="17" t="s">
        <v>23</v>
      </c>
      <c r="B448" s="1"/>
      <c r="C448" s="1"/>
      <c r="D448" s="2">
        <v>25000</v>
      </c>
      <c r="E448" s="17" t="s">
        <v>24</v>
      </c>
      <c r="F448" s="1"/>
      <c r="G448" s="2" t="s">
        <v>25</v>
      </c>
      <c r="H448" s="18" t="s">
        <v>26</v>
      </c>
      <c r="I448" s="23"/>
      <c r="J448" s="24"/>
    </row>
    <row r="449" spans="1:10" ht="12.75" customHeight="1">
      <c r="A449" s="17" t="s">
        <v>77</v>
      </c>
      <c r="B449" s="209" t="s">
        <v>196</v>
      </c>
      <c r="C449" s="209"/>
      <c r="D449" s="2">
        <v>2500</v>
      </c>
      <c r="E449" s="17" t="s">
        <v>58</v>
      </c>
      <c r="F449" s="1"/>
      <c r="G449" s="2" t="s">
        <v>25</v>
      </c>
      <c r="H449" s="18" t="s">
        <v>29</v>
      </c>
      <c r="I449" s="23"/>
      <c r="J449" s="24"/>
    </row>
    <row r="450" spans="1:10" ht="12.75" customHeight="1">
      <c r="A450" s="17" t="s">
        <v>30</v>
      </c>
      <c r="B450" s="1"/>
      <c r="C450" s="1"/>
      <c r="D450" s="2">
        <v>800</v>
      </c>
      <c r="E450" s="17" t="s">
        <v>70</v>
      </c>
      <c r="F450" s="1"/>
      <c r="G450" s="2" t="s">
        <v>25</v>
      </c>
      <c r="H450" s="18" t="s">
        <v>32</v>
      </c>
      <c r="I450" s="23"/>
      <c r="J450" s="24"/>
    </row>
    <row r="451" spans="1:10" ht="12.75" customHeight="1">
      <c r="A451" s="17" t="s">
        <v>72</v>
      </c>
      <c r="B451" s="1"/>
      <c r="C451" s="1"/>
      <c r="D451" s="2" t="s">
        <v>25</v>
      </c>
      <c r="E451" s="17" t="s">
        <v>35</v>
      </c>
      <c r="F451" s="1"/>
      <c r="G451" s="2" t="s">
        <v>25</v>
      </c>
      <c r="H451" s="18"/>
      <c r="I451" s="6"/>
      <c r="J451" s="40"/>
    </row>
    <row r="452" spans="1:10" ht="12.75" customHeight="1">
      <c r="A452" s="17" t="s">
        <v>78</v>
      </c>
      <c r="B452" s="1"/>
      <c r="C452" s="1"/>
      <c r="D452" s="2" t="s">
        <v>25</v>
      </c>
      <c r="E452" s="17" t="s">
        <v>61</v>
      </c>
      <c r="F452" s="1"/>
      <c r="G452" s="2">
        <v>200</v>
      </c>
      <c r="H452" s="18" t="s">
        <v>537</v>
      </c>
      <c r="I452" s="6"/>
      <c r="J452" s="40"/>
    </row>
    <row r="453" spans="1:10" ht="12.75" customHeight="1">
      <c r="A453" s="17" t="s">
        <v>136</v>
      </c>
      <c r="B453" s="1"/>
      <c r="C453" s="1"/>
      <c r="D453" s="2" t="s">
        <v>25</v>
      </c>
      <c r="E453" s="17" t="s">
        <v>39</v>
      </c>
      <c r="F453" s="1"/>
      <c r="G453" s="2">
        <v>100</v>
      </c>
      <c r="H453" s="42"/>
      <c r="I453" s="74"/>
      <c r="J453" s="75"/>
    </row>
    <row r="454" spans="1:10" ht="12.75" customHeight="1">
      <c r="A454" s="18" t="s">
        <v>40</v>
      </c>
      <c r="B454" s="6"/>
      <c r="C454" s="6"/>
      <c r="D454" s="2" t="s">
        <v>25</v>
      </c>
      <c r="E454" s="17" t="s">
        <v>41</v>
      </c>
      <c r="F454" s="1"/>
      <c r="G454" s="2" t="s">
        <v>25</v>
      </c>
      <c r="H454" s="50" t="s">
        <v>437</v>
      </c>
      <c r="I454" s="6"/>
      <c r="J454" s="38"/>
    </row>
    <row r="455" spans="1:10" ht="12.75" customHeight="1">
      <c r="A455" s="204" t="s">
        <v>63</v>
      </c>
      <c r="B455" s="205"/>
      <c r="C455" s="206"/>
      <c r="D455" s="229">
        <f>SUM(D448:D454)</f>
        <v>28300</v>
      </c>
      <c r="E455" s="1" t="s">
        <v>43</v>
      </c>
      <c r="F455" s="1"/>
      <c r="G455" s="2" t="s">
        <v>25</v>
      </c>
      <c r="H455" s="18"/>
      <c r="I455" s="6"/>
      <c r="J455" s="19"/>
    </row>
    <row r="456" spans="1:10" ht="12.75" customHeight="1">
      <c r="A456" s="207"/>
      <c r="B456" s="197"/>
      <c r="C456" s="208"/>
      <c r="D456" s="230"/>
      <c r="E456" s="21" t="s">
        <v>21</v>
      </c>
      <c r="F456" s="22"/>
      <c r="G456" s="76">
        <f>SUM(G448:G455)</f>
        <v>300</v>
      </c>
      <c r="H456" s="77" t="s">
        <v>44</v>
      </c>
      <c r="I456" s="77"/>
      <c r="J456" s="53">
        <f>D455-G456</f>
        <v>28000</v>
      </c>
    </row>
    <row r="457" spans="1:10" ht="12.75" customHeight="1">
      <c r="A457" s="3" t="s">
        <v>45</v>
      </c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2.75" customHeight="1">
      <c r="A459" s="3"/>
      <c r="B459" s="3" t="s">
        <v>47</v>
      </c>
      <c r="C459" s="3"/>
      <c r="D459" s="3"/>
      <c r="E459" s="3" t="s">
        <v>48</v>
      </c>
      <c r="F459" s="3"/>
      <c r="G459" s="3"/>
      <c r="H459" s="3" t="s">
        <v>49</v>
      </c>
      <c r="I459" s="3"/>
      <c r="J459" s="3"/>
    </row>
    <row r="460" spans="1:10" ht="12.75" customHeight="1">
      <c r="A460" s="184" t="s">
        <v>0</v>
      </c>
      <c r="B460" s="185"/>
      <c r="C460" s="185"/>
      <c r="D460" s="185"/>
      <c r="E460" s="185"/>
      <c r="F460" s="185"/>
      <c r="G460" s="185"/>
      <c r="H460" s="185"/>
      <c r="I460" s="185"/>
      <c r="J460" s="186"/>
    </row>
    <row r="461" spans="1:10" ht="12.75" customHeight="1">
      <c r="A461" s="187" t="s">
        <v>1</v>
      </c>
      <c r="B461" s="188"/>
      <c r="C461" s="188"/>
      <c r="D461" s="188"/>
      <c r="E461" s="188"/>
      <c r="F461" s="188"/>
      <c r="G461" s="188"/>
      <c r="H461" s="188"/>
      <c r="I461" s="188"/>
      <c r="J461" s="189"/>
    </row>
    <row r="462" spans="1:10" ht="12.75" customHeight="1">
      <c r="A462" s="1" t="s">
        <v>2</v>
      </c>
      <c r="B462" s="1"/>
      <c r="C462" s="191" t="s">
        <v>534</v>
      </c>
      <c r="D462" s="191"/>
      <c r="E462" s="2"/>
      <c r="F462" s="3"/>
      <c r="G462" s="1" t="s">
        <v>4</v>
      </c>
      <c r="H462" s="191" t="s">
        <v>535</v>
      </c>
      <c r="I462" s="191"/>
      <c r="J462" s="191"/>
    </row>
    <row r="463" spans="1:10" ht="12.75" customHeight="1">
      <c r="A463" s="1" t="s">
        <v>6</v>
      </c>
      <c r="B463" s="6"/>
      <c r="C463" s="25" t="s">
        <v>538</v>
      </c>
      <c r="D463" s="25"/>
      <c r="E463" s="2"/>
      <c r="F463" s="3"/>
      <c r="G463" s="1" t="s">
        <v>8</v>
      </c>
      <c r="H463" s="193" t="s">
        <v>9</v>
      </c>
      <c r="I463" s="193"/>
      <c r="J463" s="193"/>
    </row>
    <row r="464" spans="1:10" ht="12.75" customHeight="1">
      <c r="A464" s="6" t="s">
        <v>10</v>
      </c>
      <c r="B464" s="6"/>
      <c r="C464" s="194" t="s">
        <v>466</v>
      </c>
      <c r="D464" s="194"/>
      <c r="E464" s="2"/>
      <c r="F464" s="3"/>
      <c r="G464" s="1" t="s">
        <v>12</v>
      </c>
      <c r="H464" s="195" t="s">
        <v>13</v>
      </c>
      <c r="I464" s="195"/>
      <c r="J464" s="195"/>
    </row>
    <row r="465" spans="1:10" ht="12.75" customHeight="1">
      <c r="A465" s="6" t="s">
        <v>14</v>
      </c>
      <c r="B465" s="6"/>
      <c r="C465" s="2" t="s">
        <v>15</v>
      </c>
      <c r="D465" s="2"/>
      <c r="E465" s="2"/>
      <c r="F465" s="3"/>
      <c r="G465" s="1" t="s">
        <v>16</v>
      </c>
      <c r="H465" s="195" t="s">
        <v>55</v>
      </c>
      <c r="I465" s="195"/>
      <c r="J465" s="195"/>
    </row>
    <row r="466" spans="1:10" ht="12.75" customHeight="1">
      <c r="A466" s="6">
        <v>30</v>
      </c>
      <c r="B466" s="6"/>
      <c r="C466" s="2">
        <f>A466-I466</f>
        <v>1</v>
      </c>
      <c r="D466" s="2"/>
      <c r="E466" s="2"/>
      <c r="F466" s="3"/>
      <c r="G466" s="1" t="s">
        <v>18</v>
      </c>
      <c r="H466" s="8"/>
      <c r="I466" s="9">
        <v>29</v>
      </c>
      <c r="J466" s="9"/>
    </row>
    <row r="467" spans="1:10" ht="12.75" customHeight="1">
      <c r="A467" s="198" t="s">
        <v>19</v>
      </c>
      <c r="B467" s="199"/>
      <c r="C467" s="200"/>
      <c r="D467" s="13" t="s">
        <v>20</v>
      </c>
      <c r="E467" s="14" t="s">
        <v>21</v>
      </c>
      <c r="F467" s="15"/>
      <c r="G467" s="155" t="s">
        <v>20</v>
      </c>
      <c r="H467" s="205" t="s">
        <v>22</v>
      </c>
      <c r="I467" s="202"/>
      <c r="J467" s="203"/>
    </row>
    <row r="468" spans="1:10" ht="12.75" customHeight="1">
      <c r="A468" s="17" t="s">
        <v>23</v>
      </c>
      <c r="B468" s="1"/>
      <c r="C468" s="1"/>
      <c r="D468" s="2">
        <v>23000</v>
      </c>
      <c r="E468" s="17" t="s">
        <v>24</v>
      </c>
      <c r="F468" s="1"/>
      <c r="G468" s="2" t="s">
        <v>25</v>
      </c>
      <c r="H468" s="18" t="s">
        <v>26</v>
      </c>
      <c r="I468" s="23"/>
      <c r="J468" s="24"/>
    </row>
    <row r="469" spans="1:10" ht="12.75" customHeight="1">
      <c r="A469" s="17" t="s">
        <v>77</v>
      </c>
      <c r="B469" s="209" t="s">
        <v>320</v>
      </c>
      <c r="C469" s="209"/>
      <c r="D469" s="2">
        <v>1533</v>
      </c>
      <c r="E469" s="17" t="s">
        <v>58</v>
      </c>
      <c r="F469" s="1"/>
      <c r="G469" s="2" t="s">
        <v>25</v>
      </c>
      <c r="H469" s="18" t="s">
        <v>29</v>
      </c>
      <c r="I469" s="23"/>
      <c r="J469" s="24"/>
    </row>
    <row r="470" spans="1:10" ht="12.75" customHeight="1">
      <c r="A470" s="17" t="s">
        <v>30</v>
      </c>
      <c r="B470" s="1"/>
      <c r="C470" s="1"/>
      <c r="D470" s="2">
        <v>1000</v>
      </c>
      <c r="E470" s="17" t="s">
        <v>70</v>
      </c>
      <c r="F470" s="1"/>
      <c r="G470" s="2" t="s">
        <v>25</v>
      </c>
      <c r="H470" s="18" t="s">
        <v>32</v>
      </c>
      <c r="I470" s="23"/>
      <c r="J470" s="24"/>
    </row>
    <row r="471" spans="1:10" ht="12.75" customHeight="1">
      <c r="A471" s="17" t="s">
        <v>345</v>
      </c>
      <c r="B471" s="1"/>
      <c r="C471" s="1"/>
      <c r="D471" s="2" t="s">
        <v>25</v>
      </c>
      <c r="E471" s="17" t="s">
        <v>35</v>
      </c>
      <c r="F471" s="1"/>
      <c r="G471" s="2">
        <v>767</v>
      </c>
      <c r="H471" s="18"/>
      <c r="I471" s="6"/>
      <c r="J471" s="40"/>
    </row>
    <row r="472" spans="1:10" ht="12.75" customHeight="1">
      <c r="A472" s="17" t="s">
        <v>78</v>
      </c>
      <c r="B472" s="1"/>
      <c r="C472" s="1"/>
      <c r="D472" s="2" t="s">
        <v>25</v>
      </c>
      <c r="E472" s="17" t="s">
        <v>61</v>
      </c>
      <c r="F472" s="1"/>
      <c r="G472" s="2" t="s">
        <v>25</v>
      </c>
      <c r="H472" s="18"/>
      <c r="I472" s="6"/>
      <c r="J472" s="40"/>
    </row>
    <row r="473" spans="1:10" ht="12.75" customHeight="1">
      <c r="A473" s="17" t="s">
        <v>136</v>
      </c>
      <c r="B473" s="1"/>
      <c r="C473" s="1"/>
      <c r="D473" s="2" t="s">
        <v>25</v>
      </c>
      <c r="E473" s="17" t="s">
        <v>39</v>
      </c>
      <c r="F473" s="1"/>
      <c r="G473" s="2">
        <v>100</v>
      </c>
      <c r="H473" s="42" t="s">
        <v>539</v>
      </c>
      <c r="I473" s="74"/>
      <c r="J473" s="75"/>
    </row>
    <row r="474" spans="1:10" ht="12.75" customHeight="1">
      <c r="A474" s="18" t="s">
        <v>40</v>
      </c>
      <c r="B474" s="6"/>
      <c r="C474" s="6"/>
      <c r="D474" s="2" t="s">
        <v>25</v>
      </c>
      <c r="E474" s="17" t="s">
        <v>41</v>
      </c>
      <c r="F474" s="1"/>
      <c r="G474" s="2" t="s">
        <v>25</v>
      </c>
      <c r="H474" s="18"/>
      <c r="I474" s="6"/>
      <c r="J474" s="38"/>
    </row>
    <row r="475" spans="1:10" ht="12.75" customHeight="1">
      <c r="A475" s="204" t="s">
        <v>63</v>
      </c>
      <c r="B475" s="205"/>
      <c r="C475" s="206"/>
      <c r="D475" s="229">
        <f>SUM(D468:D474)</f>
        <v>25533</v>
      </c>
      <c r="E475" s="1" t="s">
        <v>43</v>
      </c>
      <c r="F475" s="1"/>
      <c r="G475" s="2" t="s">
        <v>25</v>
      </c>
      <c r="H475" s="18"/>
      <c r="I475" s="6"/>
      <c r="J475" s="19"/>
    </row>
    <row r="476" spans="1:10" ht="12.75" customHeight="1">
      <c r="A476" s="207"/>
      <c r="B476" s="197"/>
      <c r="C476" s="208"/>
      <c r="D476" s="230"/>
      <c r="E476" s="21" t="s">
        <v>21</v>
      </c>
      <c r="F476" s="22"/>
      <c r="G476" s="76">
        <f>SUM(G468:G475)</f>
        <v>867</v>
      </c>
      <c r="H476" s="77" t="s">
        <v>44</v>
      </c>
      <c r="I476" s="77"/>
      <c r="J476" s="53">
        <f>D475-G476</f>
        <v>24666</v>
      </c>
    </row>
    <row r="477" spans="1:10" ht="12.75" customHeight="1">
      <c r="A477" s="3" t="s">
        <v>45</v>
      </c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2.75" customHeight="1">
      <c r="A479" s="3"/>
      <c r="B479" s="3" t="s">
        <v>47</v>
      </c>
      <c r="C479" s="3"/>
      <c r="D479" s="3"/>
      <c r="E479" s="3" t="s">
        <v>48</v>
      </c>
      <c r="F479" s="3"/>
      <c r="G479" s="3"/>
      <c r="H479" s="3" t="s">
        <v>49</v>
      </c>
      <c r="I479" s="3"/>
      <c r="J479" s="3"/>
    </row>
    <row r="480" spans="1:10" ht="12.75" customHeight="1">
      <c r="A480" s="184" t="s">
        <v>0</v>
      </c>
      <c r="B480" s="185"/>
      <c r="C480" s="185"/>
      <c r="D480" s="185"/>
      <c r="E480" s="185"/>
      <c r="F480" s="185"/>
      <c r="G480" s="185"/>
      <c r="H480" s="185"/>
      <c r="I480" s="185"/>
      <c r="J480" s="186"/>
    </row>
    <row r="481" spans="1:10" ht="12.75" customHeight="1">
      <c r="A481" s="187" t="s">
        <v>1</v>
      </c>
      <c r="B481" s="188"/>
      <c r="C481" s="188"/>
      <c r="D481" s="188"/>
      <c r="E481" s="188"/>
      <c r="F481" s="188"/>
      <c r="G481" s="188"/>
      <c r="H481" s="188"/>
      <c r="I481" s="188"/>
      <c r="J481" s="189"/>
    </row>
    <row r="482" spans="1:10" ht="12.75" customHeight="1">
      <c r="A482" s="1" t="s">
        <v>2</v>
      </c>
      <c r="B482" s="1"/>
      <c r="C482" s="190"/>
      <c r="D482" s="190"/>
      <c r="E482" s="2"/>
      <c r="F482" s="3"/>
      <c r="G482" s="1" t="s">
        <v>4</v>
      </c>
      <c r="H482" s="191" t="s">
        <v>358</v>
      </c>
      <c r="I482" s="191"/>
      <c r="J482" s="191"/>
    </row>
    <row r="483" spans="1:10" ht="12.75" customHeight="1">
      <c r="A483" s="1" t="s">
        <v>6</v>
      </c>
      <c r="B483" s="1"/>
      <c r="C483" s="192" t="s">
        <v>540</v>
      </c>
      <c r="D483" s="192"/>
      <c r="E483" s="2"/>
      <c r="F483" s="3"/>
      <c r="G483" s="1" t="s">
        <v>8</v>
      </c>
      <c r="H483" s="193" t="s">
        <v>9</v>
      </c>
      <c r="I483" s="193"/>
      <c r="J483" s="193"/>
    </row>
    <row r="484" spans="1:10" ht="12.75" customHeight="1">
      <c r="A484" s="6" t="s">
        <v>10</v>
      </c>
      <c r="B484" s="6"/>
      <c r="C484" s="194" t="s">
        <v>466</v>
      </c>
      <c r="D484" s="194"/>
      <c r="E484" s="2"/>
      <c r="F484" s="3"/>
      <c r="G484" s="1" t="s">
        <v>12</v>
      </c>
      <c r="H484" s="195" t="s">
        <v>13</v>
      </c>
      <c r="I484" s="195"/>
      <c r="J484" s="195"/>
    </row>
    <row r="485" spans="1:10" ht="12.75" customHeight="1">
      <c r="A485" s="2" t="s">
        <v>14</v>
      </c>
      <c r="B485" s="2"/>
      <c r="C485" s="2" t="s">
        <v>15</v>
      </c>
      <c r="D485" s="2"/>
      <c r="E485" s="2"/>
      <c r="F485" s="3"/>
      <c r="G485" s="1" t="s">
        <v>16</v>
      </c>
      <c r="H485" s="196" t="s">
        <v>55</v>
      </c>
      <c r="I485" s="196"/>
      <c r="J485" s="196"/>
    </row>
    <row r="486" spans="1:10" ht="12.75" customHeight="1">
      <c r="A486" s="2">
        <v>30</v>
      </c>
      <c r="B486" s="2"/>
      <c r="C486" s="2">
        <f>A486-H486</f>
        <v>0</v>
      </c>
      <c r="D486" s="2"/>
      <c r="E486" s="2"/>
      <c r="F486" s="3"/>
      <c r="G486" s="8" t="s">
        <v>18</v>
      </c>
      <c r="H486" s="197">
        <v>30</v>
      </c>
      <c r="I486" s="197"/>
      <c r="J486" s="197"/>
    </row>
    <row r="487" spans="1:10" ht="12.75" customHeight="1">
      <c r="A487" s="198" t="s">
        <v>19</v>
      </c>
      <c r="B487" s="199"/>
      <c r="C487" s="200"/>
      <c r="D487" s="13" t="s">
        <v>20</v>
      </c>
      <c r="E487" s="14" t="s">
        <v>21</v>
      </c>
      <c r="F487" s="15"/>
      <c r="G487" s="16" t="s">
        <v>20</v>
      </c>
      <c r="H487" s="201" t="s">
        <v>22</v>
      </c>
      <c r="I487" s="202"/>
      <c r="J487" s="203"/>
    </row>
    <row r="488" spans="1:10" ht="12.75" customHeight="1">
      <c r="A488" s="17" t="s">
        <v>23</v>
      </c>
      <c r="B488" s="1"/>
      <c r="C488" s="1"/>
      <c r="D488" s="2">
        <v>23000</v>
      </c>
      <c r="E488" s="17" t="s">
        <v>24</v>
      </c>
      <c r="F488" s="1"/>
      <c r="G488" s="2" t="s">
        <v>25</v>
      </c>
      <c r="H488" s="18" t="s">
        <v>26</v>
      </c>
      <c r="I488" s="23"/>
      <c r="J488" s="24"/>
    </row>
    <row r="489" spans="1:10" ht="12.75" customHeight="1">
      <c r="A489" s="17" t="s">
        <v>77</v>
      </c>
      <c r="B489" s="209" t="s">
        <v>541</v>
      </c>
      <c r="C489" s="209"/>
      <c r="D489" s="2">
        <v>3578</v>
      </c>
      <c r="E489" s="17" t="s">
        <v>28</v>
      </c>
      <c r="F489" s="1"/>
      <c r="G489" s="2" t="s">
        <v>25</v>
      </c>
      <c r="H489" s="18" t="s">
        <v>29</v>
      </c>
      <c r="I489" s="23"/>
      <c r="J489" s="24"/>
    </row>
    <row r="490" spans="1:10" ht="12.75" customHeight="1">
      <c r="A490" s="17" t="s">
        <v>30</v>
      </c>
      <c r="B490" s="1"/>
      <c r="C490" s="1"/>
      <c r="D490" s="2">
        <v>1000</v>
      </c>
      <c r="E490" s="17" t="s">
        <v>141</v>
      </c>
      <c r="F490" s="1"/>
      <c r="G490" s="2" t="s">
        <v>25</v>
      </c>
      <c r="H490" s="18" t="s">
        <v>32</v>
      </c>
      <c r="I490" s="23"/>
      <c r="J490" s="24"/>
    </row>
    <row r="491" spans="1:10" ht="12.75" customHeight="1">
      <c r="A491" s="17" t="s">
        <v>147</v>
      </c>
      <c r="B491" s="1"/>
      <c r="C491" s="1"/>
      <c r="D491" s="2" t="s">
        <v>25</v>
      </c>
      <c r="E491" s="17" t="s">
        <v>71</v>
      </c>
      <c r="F491" s="1"/>
      <c r="G491" s="2" t="s">
        <v>25</v>
      </c>
      <c r="H491" s="18"/>
      <c r="I491" s="36"/>
      <c r="J491" s="19"/>
    </row>
    <row r="492" spans="1:10" ht="12.75" customHeight="1">
      <c r="A492" s="17" t="s">
        <v>78</v>
      </c>
      <c r="B492" s="1"/>
      <c r="C492" s="1"/>
      <c r="D492" s="2" t="s">
        <v>25</v>
      </c>
      <c r="E492" s="17" t="s">
        <v>61</v>
      </c>
      <c r="F492" s="1"/>
      <c r="G492" s="2">
        <v>400</v>
      </c>
      <c r="H492" s="42" t="s">
        <v>542</v>
      </c>
      <c r="I492" s="36"/>
      <c r="J492" s="43"/>
    </row>
    <row r="493" spans="1:10" ht="12.75" customHeight="1">
      <c r="A493" s="17" t="s">
        <v>136</v>
      </c>
      <c r="B493" s="1"/>
      <c r="C493" s="1"/>
      <c r="D493" s="2" t="s">
        <v>25</v>
      </c>
      <c r="E493" s="17" t="s">
        <v>39</v>
      </c>
      <c r="F493" s="1"/>
      <c r="G493" s="2">
        <v>100</v>
      </c>
      <c r="H493" s="17"/>
      <c r="J493" s="43"/>
    </row>
    <row r="494" spans="1:10" ht="12.75" customHeight="1">
      <c r="A494" s="18" t="s">
        <v>40</v>
      </c>
      <c r="B494" s="6"/>
      <c r="C494" s="6"/>
      <c r="D494" s="2" t="s">
        <v>25</v>
      </c>
      <c r="E494" s="17" t="s">
        <v>62</v>
      </c>
      <c r="F494" s="1"/>
      <c r="G494" s="2" t="s">
        <v>25</v>
      </c>
      <c r="H494" s="42"/>
      <c r="I494" s="36"/>
      <c r="J494" s="43"/>
    </row>
    <row r="495" spans="1:10" ht="12.75" customHeight="1">
      <c r="A495" s="204" t="s">
        <v>63</v>
      </c>
      <c r="B495" s="205"/>
      <c r="C495" s="206"/>
      <c r="D495" s="229">
        <f>SUM(D488:D494)</f>
        <v>27578</v>
      </c>
      <c r="E495" s="1" t="s">
        <v>43</v>
      </c>
      <c r="F495" s="1"/>
      <c r="G495" s="2" t="s">
        <v>25</v>
      </c>
      <c r="H495" s="18"/>
      <c r="I495" s="6"/>
      <c r="J495" s="19"/>
    </row>
    <row r="496" spans="1:10" ht="12.75" customHeight="1">
      <c r="A496" s="207"/>
      <c r="B496" s="197"/>
      <c r="C496" s="208"/>
      <c r="D496" s="230"/>
      <c r="E496" s="21" t="s">
        <v>21</v>
      </c>
      <c r="F496" s="22"/>
      <c r="G496" s="13">
        <f>SUM(G488:G495)</f>
        <v>500</v>
      </c>
      <c r="H496" s="21" t="s">
        <v>44</v>
      </c>
      <c r="I496" s="22"/>
      <c r="J496" s="13">
        <f>D495-G496</f>
        <v>27078</v>
      </c>
    </row>
    <row r="497" spans="1:10" ht="12.75" customHeight="1">
      <c r="A497" s="3" t="s">
        <v>45</v>
      </c>
      <c r="B497" s="3"/>
      <c r="C497" s="3"/>
      <c r="D497" s="3"/>
      <c r="E497" s="3"/>
      <c r="F497" s="3"/>
      <c r="G497" s="2"/>
      <c r="H497" s="1"/>
      <c r="I497" s="1"/>
      <c r="J497" s="2"/>
    </row>
    <row r="498" spans="1:10" ht="12.75" customHeight="1">
      <c r="A498" s="3"/>
      <c r="B498" s="3"/>
      <c r="C498" s="3"/>
      <c r="D498" s="3"/>
      <c r="E498" s="3"/>
      <c r="F498" s="3"/>
      <c r="G498" s="2"/>
      <c r="H498" s="1"/>
      <c r="I498" s="1"/>
      <c r="J498" s="2"/>
    </row>
    <row r="499" spans="1:10" ht="12.75" customHeight="1">
      <c r="A499" s="3"/>
      <c r="B499" s="3" t="s">
        <v>47</v>
      </c>
      <c r="C499" s="3"/>
      <c r="D499" s="3"/>
      <c r="E499" s="3" t="s">
        <v>48</v>
      </c>
      <c r="F499" s="3"/>
      <c r="G499" s="3"/>
      <c r="H499" s="3" t="s">
        <v>49</v>
      </c>
      <c r="I499" s="3"/>
      <c r="J499" s="3"/>
    </row>
    <row r="500" spans="1:10" ht="12.75" customHeight="1">
      <c r="A500" s="213" t="s">
        <v>0</v>
      </c>
      <c r="B500" s="214"/>
      <c r="C500" s="214"/>
      <c r="D500" s="214"/>
      <c r="E500" s="214"/>
      <c r="F500" s="214"/>
      <c r="G500" s="214"/>
      <c r="H500" s="214"/>
      <c r="I500" s="214"/>
      <c r="J500" s="215"/>
    </row>
    <row r="501" spans="1:10" ht="12.75" customHeight="1">
      <c r="A501" s="187" t="s">
        <v>1</v>
      </c>
      <c r="B501" s="188"/>
      <c r="C501" s="188"/>
      <c r="D501" s="188"/>
      <c r="E501" s="188"/>
      <c r="F501" s="188"/>
      <c r="G501" s="188"/>
      <c r="H501" s="188"/>
      <c r="I501" s="188"/>
      <c r="J501" s="189"/>
    </row>
    <row r="502" spans="1:10" ht="12.75" customHeight="1">
      <c r="A502" s="134" t="s">
        <v>2</v>
      </c>
      <c r="B502" s="134"/>
      <c r="C502" s="218" t="s">
        <v>543</v>
      </c>
      <c r="D502" s="218"/>
      <c r="E502" s="135"/>
      <c r="F502" s="136"/>
      <c r="G502" s="134" t="s">
        <v>4</v>
      </c>
      <c r="H502" s="240" t="s">
        <v>259</v>
      </c>
      <c r="I502" s="241"/>
      <c r="J502" s="242"/>
    </row>
    <row r="503" spans="1:10" ht="12.75" customHeight="1">
      <c r="A503" s="134" t="s">
        <v>6</v>
      </c>
      <c r="B503" s="134"/>
      <c r="C503" s="286" t="s">
        <v>544</v>
      </c>
      <c r="D503" s="286"/>
      <c r="E503" s="135"/>
      <c r="F503" s="136"/>
      <c r="G503" s="134" t="s">
        <v>8</v>
      </c>
      <c r="H503" s="217" t="s">
        <v>9</v>
      </c>
      <c r="I503" s="217"/>
      <c r="J503" s="217"/>
    </row>
    <row r="504" spans="1:10" ht="12.75" customHeight="1">
      <c r="A504" s="23" t="s">
        <v>10</v>
      </c>
      <c r="B504" s="23"/>
      <c r="C504" s="218" t="s">
        <v>466</v>
      </c>
      <c r="D504" s="218"/>
      <c r="E504" s="135"/>
      <c r="F504" s="136"/>
      <c r="G504" s="134" t="s">
        <v>12</v>
      </c>
      <c r="H504" s="195" t="s">
        <v>13</v>
      </c>
      <c r="I504" s="195"/>
      <c r="J504" s="195"/>
    </row>
    <row r="505" spans="1:10" ht="12.75" customHeight="1">
      <c r="A505" s="135" t="s">
        <v>14</v>
      </c>
      <c r="B505" s="135"/>
      <c r="C505" s="135" t="s">
        <v>15</v>
      </c>
      <c r="D505" s="135"/>
      <c r="E505" s="135"/>
      <c r="F505" s="136"/>
      <c r="G505" s="134" t="s">
        <v>16</v>
      </c>
      <c r="H505" s="195" t="s">
        <v>55</v>
      </c>
      <c r="I505" s="195"/>
      <c r="J505" s="195"/>
    </row>
    <row r="506" spans="1:10" ht="12.75" customHeight="1">
      <c r="A506" s="135">
        <v>30</v>
      </c>
      <c r="B506" s="135"/>
      <c r="C506" s="135">
        <f>A506-H506</f>
        <v>0</v>
      </c>
      <c r="D506" s="135"/>
      <c r="E506" s="135"/>
      <c r="F506" s="136"/>
      <c r="G506" s="137" t="s">
        <v>18</v>
      </c>
      <c r="H506" s="247">
        <v>30</v>
      </c>
      <c r="I506" s="247"/>
      <c r="J506" s="247"/>
    </row>
    <row r="507" spans="1:10" ht="12.75" customHeight="1">
      <c r="A507" s="221" t="s">
        <v>19</v>
      </c>
      <c r="B507" s="222"/>
      <c r="C507" s="223"/>
      <c r="D507" s="138" t="s">
        <v>20</v>
      </c>
      <c r="E507" s="139" t="s">
        <v>21</v>
      </c>
      <c r="F507" s="140"/>
      <c r="G507" s="141" t="s">
        <v>20</v>
      </c>
      <c r="H507" s="224" t="s">
        <v>22</v>
      </c>
      <c r="I507" s="225"/>
      <c r="J507" s="226"/>
    </row>
    <row r="508" spans="1:10" ht="12.75" customHeight="1">
      <c r="A508" s="142" t="s">
        <v>23</v>
      </c>
      <c r="B508" s="134"/>
      <c r="C508" s="134"/>
      <c r="D508" s="135">
        <v>23000</v>
      </c>
      <c r="E508" s="142" t="s">
        <v>24</v>
      </c>
      <c r="F508" s="134"/>
      <c r="G508" s="135" t="s">
        <v>25</v>
      </c>
      <c r="H508" s="18" t="s">
        <v>26</v>
      </c>
      <c r="I508" s="23"/>
      <c r="J508" s="24"/>
    </row>
    <row r="509" spans="1:10" ht="12.75" customHeight="1">
      <c r="A509" s="142" t="s">
        <v>57</v>
      </c>
      <c r="B509" s="285"/>
      <c r="C509" s="285"/>
      <c r="D509" s="135" t="s">
        <v>25</v>
      </c>
      <c r="E509" s="142" t="s">
        <v>28</v>
      </c>
      <c r="F509" s="134"/>
      <c r="G509" s="135" t="s">
        <v>25</v>
      </c>
      <c r="H509" s="18" t="s">
        <v>29</v>
      </c>
      <c r="I509" s="23"/>
      <c r="J509" s="24"/>
    </row>
    <row r="510" spans="1:10" ht="12.75" customHeight="1">
      <c r="A510" s="142" t="s">
        <v>30</v>
      </c>
      <c r="B510" s="134"/>
      <c r="C510" s="134"/>
      <c r="D510" s="135">
        <v>1000</v>
      </c>
      <c r="E510" s="142" t="s">
        <v>40</v>
      </c>
      <c r="F510" s="134"/>
      <c r="G510" s="135" t="s">
        <v>25</v>
      </c>
      <c r="H510" s="18" t="s">
        <v>32</v>
      </c>
      <c r="I510" s="23"/>
      <c r="J510" s="24"/>
    </row>
    <row r="511" spans="1:10" ht="12.75" customHeight="1">
      <c r="A511" s="142" t="s">
        <v>345</v>
      </c>
      <c r="B511" s="134"/>
      <c r="C511" s="134"/>
      <c r="D511" s="135" t="s">
        <v>25</v>
      </c>
      <c r="E511" s="142" t="s">
        <v>35</v>
      </c>
      <c r="F511" s="134"/>
      <c r="G511" s="135" t="s">
        <v>25</v>
      </c>
      <c r="H511" s="143"/>
      <c r="I511" s="23"/>
      <c r="J511" s="24"/>
    </row>
    <row r="512" spans="1:10" ht="12.75" customHeight="1">
      <c r="A512" s="142" t="s">
        <v>78</v>
      </c>
      <c r="B512" s="134"/>
      <c r="C512" s="134"/>
      <c r="D512" s="135" t="s">
        <v>25</v>
      </c>
      <c r="E512" s="142" t="s">
        <v>37</v>
      </c>
      <c r="F512" s="134"/>
      <c r="G512" s="135" t="s">
        <v>25</v>
      </c>
      <c r="H512" s="143"/>
      <c r="I512" s="23"/>
      <c r="J512" s="145"/>
    </row>
    <row r="513" spans="1:10" ht="12.75" customHeight="1">
      <c r="A513" s="142" t="s">
        <v>136</v>
      </c>
      <c r="B513" s="134"/>
      <c r="C513" s="134"/>
      <c r="D513" s="135" t="s">
        <v>25</v>
      </c>
      <c r="E513" s="142" t="s">
        <v>39</v>
      </c>
      <c r="F513" s="134"/>
      <c r="G513" s="135">
        <v>100</v>
      </c>
      <c r="H513" s="143"/>
      <c r="I513" s="23"/>
      <c r="J513" s="145"/>
    </row>
    <row r="514" spans="1:10" ht="12.75" customHeight="1">
      <c r="A514" s="143" t="s">
        <v>40</v>
      </c>
      <c r="B514" s="23"/>
      <c r="C514" s="23"/>
      <c r="D514" s="135" t="s">
        <v>25</v>
      </c>
      <c r="E514" s="142" t="s">
        <v>41</v>
      </c>
      <c r="F514" s="134"/>
      <c r="G514" s="135" t="s">
        <v>25</v>
      </c>
      <c r="H514" s="143"/>
      <c r="I514" s="23"/>
      <c r="J514" s="24"/>
    </row>
    <row r="515" spans="1:10" ht="12.75" customHeight="1">
      <c r="A515" s="243" t="s">
        <v>63</v>
      </c>
      <c r="B515" s="244"/>
      <c r="C515" s="245"/>
      <c r="D515" s="238">
        <f>SUM(D508:D514)</f>
        <v>24000</v>
      </c>
      <c r="E515" s="134" t="s">
        <v>43</v>
      </c>
      <c r="F515" s="134"/>
      <c r="G515" s="135" t="s">
        <v>25</v>
      </c>
      <c r="H515" s="143"/>
      <c r="I515" s="23"/>
      <c r="J515" s="24"/>
    </row>
    <row r="516" spans="1:10" ht="12.75" customHeight="1">
      <c r="A516" s="246"/>
      <c r="B516" s="247"/>
      <c r="C516" s="248"/>
      <c r="D516" s="239"/>
      <c r="E516" s="146" t="s">
        <v>21</v>
      </c>
      <c r="F516" s="147"/>
      <c r="G516" s="138">
        <f>SUM(G508:G515)</f>
        <v>100</v>
      </c>
      <c r="H516" s="146" t="s">
        <v>44</v>
      </c>
      <c r="I516" s="147"/>
      <c r="J516" s="138">
        <f>D515-G516</f>
        <v>23900</v>
      </c>
    </row>
    <row r="517" spans="1:10" ht="12.75" customHeight="1">
      <c r="A517" s="136" t="s">
        <v>45</v>
      </c>
      <c r="B517" s="136"/>
      <c r="C517" s="136"/>
      <c r="D517" s="136"/>
      <c r="E517" s="136"/>
      <c r="F517" s="136"/>
      <c r="G517" s="136"/>
      <c r="H517" s="136"/>
      <c r="I517" s="136"/>
      <c r="J517" s="136"/>
    </row>
    <row r="518" spans="1:10" ht="12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</row>
    <row r="519" spans="1:10" ht="12.75" customHeight="1">
      <c r="A519" s="136"/>
      <c r="B519" s="136" t="s">
        <v>47</v>
      </c>
      <c r="C519" s="136"/>
      <c r="D519" s="136"/>
      <c r="E519" s="136" t="s">
        <v>48</v>
      </c>
      <c r="F519" s="136"/>
      <c r="G519" s="136"/>
      <c r="H519" s="136" t="s">
        <v>49</v>
      </c>
      <c r="I519" s="136"/>
      <c r="J519" s="136"/>
    </row>
    <row r="520" spans="1:10" ht="32.25" customHeight="1">
      <c r="A520" s="249" t="s">
        <v>264</v>
      </c>
      <c r="B520" s="250"/>
      <c r="C520" s="250"/>
      <c r="D520" s="250"/>
      <c r="E520" s="251"/>
      <c r="F520" s="249">
        <f>J516+J496+J476+J456+J436+J416+J396+J376+J356+J336+J316+J296+J277+J257+J237+J217+J197+J177+J157+J137+J117+J97+J77+J57+J37+J17</f>
        <v>667447</v>
      </c>
      <c r="G520" s="250"/>
      <c r="H520" s="250"/>
      <c r="I520" s="250"/>
      <c r="J520" s="251"/>
    </row>
    <row r="521" spans="1:10">
      <c r="A521" s="3"/>
      <c r="B521" s="3"/>
      <c r="C521" s="3"/>
      <c r="D521" s="3"/>
      <c r="E521" s="3"/>
      <c r="F521" s="3"/>
      <c r="G521" s="3"/>
      <c r="H521" s="3"/>
      <c r="I521" s="3"/>
    </row>
    <row r="522" spans="1:10">
      <c r="A522" s="3"/>
      <c r="B522" s="3"/>
      <c r="C522" s="3"/>
      <c r="D522" s="3"/>
      <c r="E522" s="3"/>
      <c r="F522" s="3"/>
      <c r="G522" s="3"/>
      <c r="H522" s="3"/>
      <c r="I522" s="3"/>
    </row>
    <row r="523" spans="1:10">
      <c r="A523" s="3"/>
      <c r="B523" s="3"/>
      <c r="C523" s="3"/>
      <c r="D523" s="3"/>
      <c r="E523" s="3"/>
      <c r="F523" s="3"/>
      <c r="G523" s="3"/>
      <c r="H523" s="3"/>
      <c r="I523" s="3"/>
    </row>
    <row r="524" spans="1:10">
      <c r="A524" s="3"/>
      <c r="B524" s="3"/>
      <c r="C524" s="3"/>
      <c r="D524" s="3"/>
      <c r="E524" s="3"/>
      <c r="F524" s="3"/>
      <c r="G524" s="3"/>
      <c r="H524" s="3"/>
      <c r="I524" s="3"/>
    </row>
    <row r="525" spans="1:10">
      <c r="A525" s="29"/>
      <c r="B525" s="29"/>
      <c r="C525" s="29"/>
      <c r="D525" s="29"/>
      <c r="E525" s="29"/>
      <c r="F525" s="30"/>
      <c r="G525" s="30"/>
      <c r="H525" s="30"/>
      <c r="I525" s="30"/>
    </row>
    <row r="526" spans="1:10">
      <c r="A526" s="31"/>
      <c r="B526" s="252" t="s">
        <v>265</v>
      </c>
      <c r="C526" s="252"/>
      <c r="D526" s="252"/>
      <c r="E526" s="33"/>
      <c r="F526" s="253" t="s">
        <v>266</v>
      </c>
      <c r="G526" s="253"/>
      <c r="H526" s="253"/>
      <c r="I526" s="253"/>
    </row>
    <row r="527" spans="1:10">
      <c r="A527" s="31"/>
      <c r="B527" s="34"/>
      <c r="C527" s="34"/>
      <c r="D527" s="34"/>
      <c r="E527" s="33"/>
      <c r="F527" s="35"/>
      <c r="G527" s="35"/>
      <c r="H527" s="35"/>
      <c r="I527" s="35"/>
    </row>
    <row r="528" spans="1:10">
      <c r="A528" s="31"/>
      <c r="B528" s="34"/>
      <c r="C528" s="34"/>
      <c r="D528" s="34"/>
      <c r="E528" s="33"/>
      <c r="F528" s="35"/>
      <c r="G528" s="35"/>
      <c r="H528" s="35"/>
      <c r="I528" s="35"/>
    </row>
    <row r="529" spans="1:9">
      <c r="A529" s="31"/>
      <c r="B529" s="34"/>
      <c r="C529" s="34"/>
      <c r="D529" s="34"/>
      <c r="E529" s="33"/>
      <c r="F529" s="35"/>
      <c r="G529" s="35"/>
      <c r="H529" s="35"/>
      <c r="I529" s="35"/>
    </row>
    <row r="530" spans="1:9">
      <c r="A530" s="31"/>
      <c r="B530" s="34"/>
      <c r="C530" s="34"/>
      <c r="D530" s="34"/>
      <c r="E530" s="33"/>
      <c r="F530" s="35"/>
      <c r="G530" s="35"/>
      <c r="H530" s="35"/>
      <c r="I530" s="35"/>
    </row>
    <row r="531" spans="1:9">
      <c r="A531" s="31"/>
      <c r="B531" s="31"/>
      <c r="C531" s="31"/>
      <c r="D531" s="31"/>
      <c r="E531" s="31"/>
      <c r="F531" s="36"/>
      <c r="G531" s="36"/>
      <c r="H531" s="36"/>
      <c r="I531" s="36"/>
    </row>
    <row r="532" spans="1:9">
      <c r="A532" s="31"/>
      <c r="B532" s="37"/>
      <c r="C532" s="32" t="s">
        <v>267</v>
      </c>
      <c r="D532" s="32"/>
      <c r="E532" s="31"/>
      <c r="F532" s="253" t="s">
        <v>268</v>
      </c>
      <c r="G532" s="253"/>
      <c r="H532" s="253"/>
      <c r="I532" s="253"/>
    </row>
    <row r="533" spans="1:9">
      <c r="A533" s="31"/>
      <c r="B533" s="79"/>
      <c r="C533" s="34"/>
      <c r="D533" s="34"/>
      <c r="E533" s="31"/>
      <c r="F533" s="35"/>
      <c r="G533" s="35"/>
      <c r="H533" s="35"/>
      <c r="I533" s="35"/>
    </row>
  </sheetData>
  <mergeCells count="370">
    <mergeCell ref="A176:C177"/>
    <mergeCell ref="A156:C157"/>
    <mergeCell ref="A196:C197"/>
    <mergeCell ref="A236:C237"/>
    <mergeCell ref="A216:C217"/>
    <mergeCell ref="A256:C257"/>
    <mergeCell ref="A276:C277"/>
    <mergeCell ref="A295:C296"/>
    <mergeCell ref="A268:C268"/>
    <mergeCell ref="C243:D243"/>
    <mergeCell ref="C205:D205"/>
    <mergeCell ref="B170:C170"/>
    <mergeCell ref="A181:J181"/>
    <mergeCell ref="A182:J182"/>
    <mergeCell ref="C183:D183"/>
    <mergeCell ref="H183:J183"/>
    <mergeCell ref="C184:D184"/>
    <mergeCell ref="H184:J184"/>
    <mergeCell ref="C185:D185"/>
    <mergeCell ref="H185:J185"/>
    <mergeCell ref="C163:D163"/>
    <mergeCell ref="H163:J163"/>
    <mergeCell ref="C164:D164"/>
    <mergeCell ref="H284:J284"/>
    <mergeCell ref="B526:D526"/>
    <mergeCell ref="F526:I526"/>
    <mergeCell ref="F532:I532"/>
    <mergeCell ref="D16:D17"/>
    <mergeCell ref="D36:D37"/>
    <mergeCell ref="D56:D57"/>
    <mergeCell ref="D76:D77"/>
    <mergeCell ref="D96:D97"/>
    <mergeCell ref="D116:D117"/>
    <mergeCell ref="D136:D137"/>
    <mergeCell ref="D156:D157"/>
    <mergeCell ref="D176:D177"/>
    <mergeCell ref="D196:D197"/>
    <mergeCell ref="D216:D217"/>
    <mergeCell ref="D236:D237"/>
    <mergeCell ref="D256:D257"/>
    <mergeCell ref="D276:D277"/>
    <mergeCell ref="D295:D296"/>
    <mergeCell ref="D315:D316"/>
    <mergeCell ref="D335:D336"/>
    <mergeCell ref="D355:D356"/>
    <mergeCell ref="D375:D376"/>
    <mergeCell ref="D395:D396"/>
    <mergeCell ref="D415:D416"/>
    <mergeCell ref="H504:J504"/>
    <mergeCell ref="H505:J505"/>
    <mergeCell ref="H506:J506"/>
    <mergeCell ref="A507:C507"/>
    <mergeCell ref="H507:J507"/>
    <mergeCell ref="B509:C509"/>
    <mergeCell ref="A520:E520"/>
    <mergeCell ref="F520:J520"/>
    <mergeCell ref="H486:J486"/>
    <mergeCell ref="A487:C487"/>
    <mergeCell ref="H487:J487"/>
    <mergeCell ref="B489:C489"/>
    <mergeCell ref="A500:J500"/>
    <mergeCell ref="A501:J501"/>
    <mergeCell ref="C502:D502"/>
    <mergeCell ref="H502:J502"/>
    <mergeCell ref="C503:D503"/>
    <mergeCell ref="H503:J503"/>
    <mergeCell ref="A495:C496"/>
    <mergeCell ref="A515:C516"/>
    <mergeCell ref="D495:D496"/>
    <mergeCell ref="D515:D516"/>
    <mergeCell ref="C504:D504"/>
    <mergeCell ref="C483:D483"/>
    <mergeCell ref="H483:J483"/>
    <mergeCell ref="C484:D484"/>
    <mergeCell ref="H484:J484"/>
    <mergeCell ref="H485:J485"/>
    <mergeCell ref="C462:D462"/>
    <mergeCell ref="H462:J462"/>
    <mergeCell ref="H463:J463"/>
    <mergeCell ref="C464:D464"/>
    <mergeCell ref="H464:J464"/>
    <mergeCell ref="H465:J465"/>
    <mergeCell ref="A467:C467"/>
    <mergeCell ref="H467:J467"/>
    <mergeCell ref="B469:C469"/>
    <mergeCell ref="A475:C476"/>
    <mergeCell ref="D475:D476"/>
    <mergeCell ref="A480:J480"/>
    <mergeCell ref="A481:J481"/>
    <mergeCell ref="C482:D482"/>
    <mergeCell ref="H482:J482"/>
    <mergeCell ref="H443:J443"/>
    <mergeCell ref="C444:D444"/>
    <mergeCell ref="H444:J444"/>
    <mergeCell ref="H445:J445"/>
    <mergeCell ref="A447:C447"/>
    <mergeCell ref="H447:J447"/>
    <mergeCell ref="B449:C449"/>
    <mergeCell ref="A460:J460"/>
    <mergeCell ref="A461:J461"/>
    <mergeCell ref="D455:D456"/>
    <mergeCell ref="A455:C456"/>
    <mergeCell ref="H423:J423"/>
    <mergeCell ref="H424:J424"/>
    <mergeCell ref="H425:J425"/>
    <mergeCell ref="A427:C427"/>
    <mergeCell ref="H427:J427"/>
    <mergeCell ref="B429:C429"/>
    <mergeCell ref="A440:J440"/>
    <mergeCell ref="A441:J441"/>
    <mergeCell ref="C442:D442"/>
    <mergeCell ref="H442:J442"/>
    <mergeCell ref="D435:D436"/>
    <mergeCell ref="A435:C436"/>
    <mergeCell ref="H405:J405"/>
    <mergeCell ref="H406:J406"/>
    <mergeCell ref="A407:C407"/>
    <mergeCell ref="H407:J407"/>
    <mergeCell ref="B409:C409"/>
    <mergeCell ref="A420:J420"/>
    <mergeCell ref="A421:J421"/>
    <mergeCell ref="C422:D422"/>
    <mergeCell ref="H422:J422"/>
    <mergeCell ref="A415:C416"/>
    <mergeCell ref="B389:C389"/>
    <mergeCell ref="A400:J400"/>
    <mergeCell ref="A401:J401"/>
    <mergeCell ref="C402:D402"/>
    <mergeCell ref="H402:J402"/>
    <mergeCell ref="C403:D403"/>
    <mergeCell ref="H403:J403"/>
    <mergeCell ref="C404:D404"/>
    <mergeCell ref="H404:J404"/>
    <mergeCell ref="A395:C396"/>
    <mergeCell ref="C382:D382"/>
    <mergeCell ref="H382:J382"/>
    <mergeCell ref="C383:D383"/>
    <mergeCell ref="H383:J383"/>
    <mergeCell ref="C384:D384"/>
    <mergeCell ref="H384:J384"/>
    <mergeCell ref="H385:J385"/>
    <mergeCell ref="A387:C387"/>
    <mergeCell ref="H387:J387"/>
    <mergeCell ref="C364:D364"/>
    <mergeCell ref="H364:J364"/>
    <mergeCell ref="H365:J365"/>
    <mergeCell ref="H366:J366"/>
    <mergeCell ref="A367:C367"/>
    <mergeCell ref="H367:J367"/>
    <mergeCell ref="B369:C369"/>
    <mergeCell ref="A380:J380"/>
    <mergeCell ref="A381:J381"/>
    <mergeCell ref="A375:C376"/>
    <mergeCell ref="H345:J345"/>
    <mergeCell ref="A347:C347"/>
    <mergeCell ref="H347:J347"/>
    <mergeCell ref="B349:C349"/>
    <mergeCell ref="A360:J360"/>
    <mergeCell ref="A361:J361"/>
    <mergeCell ref="C362:D362"/>
    <mergeCell ref="H362:J362"/>
    <mergeCell ref="C363:D363"/>
    <mergeCell ref="H363:J363"/>
    <mergeCell ref="A355:C356"/>
    <mergeCell ref="B329:C329"/>
    <mergeCell ref="A340:J340"/>
    <mergeCell ref="A341:J341"/>
    <mergeCell ref="C342:D342"/>
    <mergeCell ref="H342:J342"/>
    <mergeCell ref="C343:D343"/>
    <mergeCell ref="H343:J343"/>
    <mergeCell ref="C344:D344"/>
    <mergeCell ref="H344:J344"/>
    <mergeCell ref="A335:C336"/>
    <mergeCell ref="A321:J321"/>
    <mergeCell ref="C322:D322"/>
    <mergeCell ref="H322:J322"/>
    <mergeCell ref="H323:J323"/>
    <mergeCell ref="C324:D324"/>
    <mergeCell ref="H324:J324"/>
    <mergeCell ref="H325:J325"/>
    <mergeCell ref="H326:J326"/>
    <mergeCell ref="A327:C327"/>
    <mergeCell ref="H327:J327"/>
    <mergeCell ref="C303:D303"/>
    <mergeCell ref="H303:J303"/>
    <mergeCell ref="H304:J304"/>
    <mergeCell ref="H305:J305"/>
    <mergeCell ref="H306:J306"/>
    <mergeCell ref="A307:C307"/>
    <mergeCell ref="H307:J307"/>
    <mergeCell ref="B309:C309"/>
    <mergeCell ref="A320:J320"/>
    <mergeCell ref="A315:C316"/>
    <mergeCell ref="H285:J285"/>
    <mergeCell ref="H286:J286"/>
    <mergeCell ref="A287:C287"/>
    <mergeCell ref="H287:J287"/>
    <mergeCell ref="B289:C289"/>
    <mergeCell ref="A300:J300"/>
    <mergeCell ref="A301:J301"/>
    <mergeCell ref="C302:D302"/>
    <mergeCell ref="H302:J302"/>
    <mergeCell ref="H268:J268"/>
    <mergeCell ref="B270:C270"/>
    <mergeCell ref="A280:J280"/>
    <mergeCell ref="A281:J281"/>
    <mergeCell ref="C282:D282"/>
    <mergeCell ref="H282:J282"/>
    <mergeCell ref="C283:D283"/>
    <mergeCell ref="H283:J283"/>
    <mergeCell ref="A261:J261"/>
    <mergeCell ref="A262:J262"/>
    <mergeCell ref="C263:D263"/>
    <mergeCell ref="H263:J263"/>
    <mergeCell ref="C264:D264"/>
    <mergeCell ref="H264:J264"/>
    <mergeCell ref="C265:D265"/>
    <mergeCell ref="H265:J265"/>
    <mergeCell ref="H266:J266"/>
    <mergeCell ref="H243:J243"/>
    <mergeCell ref="H244:J244"/>
    <mergeCell ref="C245:D245"/>
    <mergeCell ref="H245:J245"/>
    <mergeCell ref="H246:J246"/>
    <mergeCell ref="A248:C248"/>
    <mergeCell ref="H248:J248"/>
    <mergeCell ref="B250:C250"/>
    <mergeCell ref="H224:J224"/>
    <mergeCell ref="C225:D225"/>
    <mergeCell ref="H225:J225"/>
    <mergeCell ref="H226:J226"/>
    <mergeCell ref="A228:C228"/>
    <mergeCell ref="H228:J228"/>
    <mergeCell ref="B230:C230"/>
    <mergeCell ref="A241:J241"/>
    <mergeCell ref="A242:J242"/>
    <mergeCell ref="H205:J205"/>
    <mergeCell ref="H206:J206"/>
    <mergeCell ref="A208:C208"/>
    <mergeCell ref="H208:J208"/>
    <mergeCell ref="B210:C210"/>
    <mergeCell ref="A221:J221"/>
    <mergeCell ref="A222:J222"/>
    <mergeCell ref="C223:D223"/>
    <mergeCell ref="H223:J223"/>
    <mergeCell ref="H186:J186"/>
    <mergeCell ref="A188:C188"/>
    <mergeCell ref="H188:J188"/>
    <mergeCell ref="B190:C190"/>
    <mergeCell ref="A201:J201"/>
    <mergeCell ref="A202:J202"/>
    <mergeCell ref="C203:D203"/>
    <mergeCell ref="H203:J203"/>
    <mergeCell ref="H204:J204"/>
    <mergeCell ref="H164:J164"/>
    <mergeCell ref="C165:D165"/>
    <mergeCell ref="H165:J165"/>
    <mergeCell ref="H166:J166"/>
    <mergeCell ref="A168:C168"/>
    <mergeCell ref="H168:J168"/>
    <mergeCell ref="C145:D145"/>
    <mergeCell ref="H145:J145"/>
    <mergeCell ref="H146:J146"/>
    <mergeCell ref="H147:J147"/>
    <mergeCell ref="A148:C148"/>
    <mergeCell ref="H148:J148"/>
    <mergeCell ref="B150:C150"/>
    <mergeCell ref="A161:J161"/>
    <mergeCell ref="A162:J162"/>
    <mergeCell ref="A128:C128"/>
    <mergeCell ref="H128:J128"/>
    <mergeCell ref="B130:C130"/>
    <mergeCell ref="A141:J141"/>
    <mergeCell ref="A142:J142"/>
    <mergeCell ref="C143:D143"/>
    <mergeCell ref="H143:J143"/>
    <mergeCell ref="C144:D144"/>
    <mergeCell ref="H144:J144"/>
    <mergeCell ref="A136:C137"/>
    <mergeCell ref="A122:J122"/>
    <mergeCell ref="C123:D123"/>
    <mergeCell ref="H123:J123"/>
    <mergeCell ref="C124:D124"/>
    <mergeCell ref="H124:J124"/>
    <mergeCell ref="C125:D125"/>
    <mergeCell ref="H125:J125"/>
    <mergeCell ref="H126:J126"/>
    <mergeCell ref="H127:J127"/>
    <mergeCell ref="C104:D104"/>
    <mergeCell ref="H104:J104"/>
    <mergeCell ref="C105:D105"/>
    <mergeCell ref="H105:J105"/>
    <mergeCell ref="H106:J106"/>
    <mergeCell ref="A108:C108"/>
    <mergeCell ref="H108:J108"/>
    <mergeCell ref="B110:C110"/>
    <mergeCell ref="A121:J121"/>
    <mergeCell ref="A116:C117"/>
    <mergeCell ref="C85:D85"/>
    <mergeCell ref="H85:J85"/>
    <mergeCell ref="H86:J86"/>
    <mergeCell ref="A88:C88"/>
    <mergeCell ref="H88:J88"/>
    <mergeCell ref="B90:C90"/>
    <mergeCell ref="A101:J101"/>
    <mergeCell ref="A102:J102"/>
    <mergeCell ref="C103:D103"/>
    <mergeCell ref="H103:J103"/>
    <mergeCell ref="A96:C97"/>
    <mergeCell ref="H66:J66"/>
    <mergeCell ref="A68:C68"/>
    <mergeCell ref="H68:J68"/>
    <mergeCell ref="B70:C70"/>
    <mergeCell ref="A81:J81"/>
    <mergeCell ref="A82:J82"/>
    <mergeCell ref="C83:D83"/>
    <mergeCell ref="H83:J83"/>
    <mergeCell ref="C84:D84"/>
    <mergeCell ref="H84:J84"/>
    <mergeCell ref="A76:C77"/>
    <mergeCell ref="B51:C51"/>
    <mergeCell ref="A61:J61"/>
    <mergeCell ref="A62:J62"/>
    <mergeCell ref="C63:D63"/>
    <mergeCell ref="H63:J63"/>
    <mergeCell ref="C64:D64"/>
    <mergeCell ref="H64:J64"/>
    <mergeCell ref="C65:D65"/>
    <mergeCell ref="H65:J65"/>
    <mergeCell ref="A56:C57"/>
    <mergeCell ref="C44:E44"/>
    <mergeCell ref="H44:J44"/>
    <mergeCell ref="C45:D45"/>
    <mergeCell ref="H45:J45"/>
    <mergeCell ref="H46:J46"/>
    <mergeCell ref="H47:J47"/>
    <mergeCell ref="A48:C48"/>
    <mergeCell ref="H48:J48"/>
    <mergeCell ref="B50:C50"/>
    <mergeCell ref="H26:J26"/>
    <mergeCell ref="H27:J27"/>
    <mergeCell ref="A28:C28"/>
    <mergeCell ref="H28:J28"/>
    <mergeCell ref="B30:C30"/>
    <mergeCell ref="A41:J41"/>
    <mergeCell ref="A42:J42"/>
    <mergeCell ref="C43:D43"/>
    <mergeCell ref="H43:J43"/>
    <mergeCell ref="A36:C37"/>
    <mergeCell ref="A8:C8"/>
    <mergeCell ref="H8:J8"/>
    <mergeCell ref="B10:C10"/>
    <mergeCell ref="A21:J21"/>
    <mergeCell ref="A22:J22"/>
    <mergeCell ref="C23:D23"/>
    <mergeCell ref="H23:J23"/>
    <mergeCell ref="H24:J24"/>
    <mergeCell ref="C25:D25"/>
    <mergeCell ref="H25:J25"/>
    <mergeCell ref="A16:C17"/>
    <mergeCell ref="A1:J1"/>
    <mergeCell ref="A2:J2"/>
    <mergeCell ref="C3:D3"/>
    <mergeCell ref="H3:J3"/>
    <mergeCell ref="C4:D4"/>
    <mergeCell ref="H4:J4"/>
    <mergeCell ref="H5:J5"/>
    <mergeCell ref="H6:J6"/>
    <mergeCell ref="H7:J7"/>
  </mergeCells>
  <pageMargins left="0.7" right="0.7" top="0.75" bottom="0.75" header="0.3" footer="0.3"/>
  <pageSetup scale="91" orientation="portrait" r:id="rId1"/>
  <rowBreaks count="8" manualBreakCount="8">
    <brk id="60" max="16383" man="1"/>
    <brk id="120" max="9" man="1"/>
    <brk id="180" max="16383" man="1"/>
    <brk id="240" max="16383" man="1"/>
    <brk id="299" max="16383" man="1"/>
    <brk id="359" max="16383" man="1"/>
    <brk id="419" max="16383" man="1"/>
    <brk id="4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J1361"/>
  <sheetViews>
    <sheetView topLeftCell="A325" zoomScaleNormal="100" workbookViewId="0">
      <selection activeCell="C243" sqref="C243:D243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0" t="s">
        <v>545</v>
      </c>
      <c r="D3" s="190"/>
      <c r="E3" s="2"/>
      <c r="F3" s="3"/>
      <c r="G3" s="1" t="s">
        <v>4</v>
      </c>
      <c r="H3" s="191" t="s">
        <v>5</v>
      </c>
      <c r="I3" s="191"/>
      <c r="J3" s="191"/>
    </row>
    <row r="4" spans="1:10" ht="13.5" customHeight="1">
      <c r="A4" s="1" t="s">
        <v>6</v>
      </c>
      <c r="B4" s="1"/>
      <c r="C4" s="192" t="s">
        <v>546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194" t="s">
        <v>547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6" t="s">
        <v>14</v>
      </c>
      <c r="B6" s="6"/>
      <c r="C6" s="2" t="s">
        <v>15</v>
      </c>
      <c r="D6" s="2"/>
      <c r="E6" s="2"/>
      <c r="F6" s="3"/>
      <c r="G6" s="1" t="s">
        <v>16</v>
      </c>
      <c r="H6" s="196" t="s">
        <v>55</v>
      </c>
      <c r="I6" s="196"/>
      <c r="J6" s="196"/>
    </row>
    <row r="7" spans="1:10" ht="13.5" customHeight="1">
      <c r="A7" s="2">
        <v>30</v>
      </c>
      <c r="B7" s="6"/>
      <c r="C7" s="2">
        <f>A7-H7</f>
        <v>0</v>
      </c>
      <c r="D7" s="2"/>
      <c r="E7" s="2"/>
      <c r="F7" s="3"/>
      <c r="G7" s="8" t="s">
        <v>18</v>
      </c>
      <c r="H7" s="197">
        <v>30</v>
      </c>
      <c r="I7" s="197"/>
      <c r="J7" s="197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370</v>
      </c>
      <c r="B9" s="1"/>
      <c r="C9" s="1"/>
      <c r="D9" s="2">
        <v>40000</v>
      </c>
      <c r="E9" s="17" t="s">
        <v>24</v>
      </c>
      <c r="F9" s="1"/>
      <c r="G9" s="2" t="s">
        <v>25</v>
      </c>
      <c r="H9" s="18" t="s">
        <v>26</v>
      </c>
      <c r="I9" s="23"/>
      <c r="J9" s="24"/>
    </row>
    <row r="10" spans="1:10" ht="13.5" customHeight="1">
      <c r="A10" s="17" t="s">
        <v>77</v>
      </c>
      <c r="B10" s="209" t="s">
        <v>120</v>
      </c>
      <c r="C10" s="209"/>
      <c r="D10" s="2">
        <v>1333</v>
      </c>
      <c r="E10" s="17" t="s">
        <v>58</v>
      </c>
      <c r="F10" s="1"/>
      <c r="G10" s="2" t="s">
        <v>25</v>
      </c>
      <c r="H10" s="18" t="s">
        <v>29</v>
      </c>
      <c r="I10" s="23"/>
      <c r="J10" s="24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548</v>
      </c>
      <c r="F11" s="1"/>
      <c r="G11" s="2" t="s">
        <v>25</v>
      </c>
      <c r="H11" s="18" t="s">
        <v>32</v>
      </c>
      <c r="I11" s="23"/>
      <c r="J11" s="24"/>
    </row>
    <row r="12" spans="1:10" ht="13.5" customHeight="1">
      <c r="A12" s="17" t="s">
        <v>147</v>
      </c>
      <c r="B12" s="1"/>
      <c r="C12" s="1"/>
      <c r="D12" s="2" t="s">
        <v>25</v>
      </c>
      <c r="E12" s="17" t="s">
        <v>35</v>
      </c>
      <c r="F12" s="1"/>
      <c r="G12" s="2" t="s">
        <v>25</v>
      </c>
      <c r="H12" s="18"/>
      <c r="I12" s="6"/>
      <c r="J12" s="26"/>
    </row>
    <row r="13" spans="1:10" ht="13.5" customHeight="1">
      <c r="A13" s="17" t="s">
        <v>147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18" t="s">
        <v>549</v>
      </c>
      <c r="I13" s="6"/>
      <c r="J13" s="26"/>
    </row>
    <row r="14" spans="1:10" ht="13.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26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78</v>
      </c>
      <c r="F15" s="1"/>
      <c r="G15" s="2" t="s">
        <v>25</v>
      </c>
      <c r="H15" s="18"/>
      <c r="I15" s="6"/>
      <c r="J15" s="2"/>
    </row>
    <row r="16" spans="1:10" ht="13.5" customHeight="1">
      <c r="A16" s="204" t="s">
        <v>63</v>
      </c>
      <c r="B16" s="205"/>
      <c r="C16" s="206"/>
      <c r="D16" s="229">
        <f>SUM(D9:D15)</f>
        <v>41333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100</v>
      </c>
      <c r="H17" s="198" t="s">
        <v>44</v>
      </c>
      <c r="I17" s="200"/>
      <c r="J17" s="13">
        <f>D16-G17</f>
        <v>41233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9" customHeight="1">
      <c r="A19" s="3"/>
      <c r="B19" s="3"/>
      <c r="C19" s="3"/>
      <c r="D19" s="3"/>
      <c r="E19" s="3" t="s">
        <v>550</v>
      </c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C23" s="190" t="s">
        <v>551</v>
      </c>
      <c r="D23" s="190"/>
      <c r="E23" s="2"/>
      <c r="F23" s="3"/>
      <c r="G23" s="1" t="s">
        <v>4</v>
      </c>
      <c r="H23" s="191" t="s">
        <v>5</v>
      </c>
      <c r="I23" s="191"/>
      <c r="J23" s="191"/>
    </row>
    <row r="24" spans="1:10" ht="13.5" customHeight="1">
      <c r="A24" s="1" t="s">
        <v>6</v>
      </c>
      <c r="C24" s="25" t="s">
        <v>552</v>
      </c>
      <c r="D24" s="25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2" t="s">
        <v>553</v>
      </c>
      <c r="D25" s="2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196" t="s">
        <v>446</v>
      </c>
      <c r="I26" s="196"/>
      <c r="J26" s="196"/>
    </row>
    <row r="27" spans="1:10" ht="13.5" customHeight="1">
      <c r="A27" s="2">
        <v>30</v>
      </c>
      <c r="B27" s="2"/>
      <c r="C27" s="2">
        <f>A27-H27</f>
        <v>3</v>
      </c>
      <c r="D27" s="2"/>
      <c r="E27" s="2"/>
      <c r="F27" s="3"/>
      <c r="G27" s="8" t="s">
        <v>18</v>
      </c>
      <c r="H27" s="197">
        <v>27</v>
      </c>
      <c r="I27" s="197"/>
      <c r="J27" s="197"/>
    </row>
    <row r="28" spans="1:10" ht="13.5" customHeight="1">
      <c r="A28" s="14" t="s">
        <v>19</v>
      </c>
      <c r="B28" s="15"/>
      <c r="C28" s="15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2">
        <v>30000</v>
      </c>
      <c r="E29" s="17" t="s">
        <v>89</v>
      </c>
      <c r="F29" s="1"/>
      <c r="G29" s="2" t="s">
        <v>25</v>
      </c>
      <c r="H29" s="18" t="s">
        <v>26</v>
      </c>
      <c r="I29" s="23"/>
      <c r="J29" s="24"/>
    </row>
    <row r="30" spans="1:10" ht="13.5" customHeight="1">
      <c r="A30" s="17" t="s">
        <v>77</v>
      </c>
      <c r="B30" s="209" t="s">
        <v>355</v>
      </c>
      <c r="C30" s="209"/>
      <c r="D30" s="2">
        <v>4000</v>
      </c>
      <c r="E30" s="17" t="s">
        <v>58</v>
      </c>
      <c r="F30" s="1"/>
      <c r="G30" s="2">
        <v>605</v>
      </c>
      <c r="H30" s="18" t="s">
        <v>29</v>
      </c>
      <c r="I30" s="23"/>
      <c r="J30" s="24"/>
    </row>
    <row r="31" spans="1:10" ht="13.5" customHeight="1">
      <c r="A31" s="17" t="s">
        <v>30</v>
      </c>
      <c r="B31" s="1"/>
      <c r="C31" s="1"/>
      <c r="D31" s="2">
        <v>11705</v>
      </c>
      <c r="E31" s="17" t="s">
        <v>214</v>
      </c>
      <c r="F31" s="1"/>
      <c r="G31" s="2" t="s">
        <v>25</v>
      </c>
      <c r="H31" s="18" t="s">
        <v>32</v>
      </c>
      <c r="I31" s="23"/>
      <c r="J31" s="24"/>
    </row>
    <row r="32" spans="1:10" ht="13.5" customHeight="1">
      <c r="A32" s="17" t="s">
        <v>34</v>
      </c>
      <c r="B32" s="1"/>
      <c r="C32" s="1"/>
      <c r="D32" s="2" t="s">
        <v>25</v>
      </c>
      <c r="E32" s="17" t="s">
        <v>35</v>
      </c>
      <c r="F32" s="1"/>
      <c r="G32" s="2">
        <v>3000</v>
      </c>
      <c r="H32" s="18"/>
      <c r="I32" s="6"/>
      <c r="J32" s="19"/>
    </row>
    <row r="33" spans="1:10" ht="13.5" customHeight="1">
      <c r="A33" s="17" t="s">
        <v>78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18" t="s">
        <v>554</v>
      </c>
      <c r="I33" s="6"/>
      <c r="J33" s="19"/>
    </row>
    <row r="34" spans="1:10" ht="13.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 t="s">
        <v>555</v>
      </c>
      <c r="I34" s="6"/>
      <c r="J34" s="19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78</v>
      </c>
      <c r="F35" s="1"/>
      <c r="G35" s="2" t="s">
        <v>25</v>
      </c>
      <c r="H35" s="18"/>
      <c r="I35" s="6"/>
      <c r="J35" s="19"/>
    </row>
    <row r="36" spans="1:10" ht="13.5" customHeight="1">
      <c r="A36" s="204" t="s">
        <v>63</v>
      </c>
      <c r="B36" s="205"/>
      <c r="C36" s="206"/>
      <c r="D36" s="229">
        <f>SUM(D29:D35)</f>
        <v>45705</v>
      </c>
      <c r="E36" s="1" t="s">
        <v>283</v>
      </c>
      <c r="F36" s="1"/>
      <c r="G36" s="2" t="s">
        <v>25</v>
      </c>
      <c r="H36" s="18"/>
      <c r="I36" s="6"/>
      <c r="J36" s="1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3705</v>
      </c>
      <c r="H37" s="21" t="s">
        <v>44</v>
      </c>
      <c r="I37" s="22"/>
      <c r="J37" s="13">
        <f>D36-G37</f>
        <v>42000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C43" s="190" t="s">
        <v>556</v>
      </c>
      <c r="D43" s="190"/>
      <c r="E43" s="2"/>
      <c r="F43" s="3"/>
      <c r="G43" s="1" t="s">
        <v>4</v>
      </c>
      <c r="H43" s="191" t="s">
        <v>5</v>
      </c>
      <c r="I43" s="191"/>
      <c r="J43" s="191"/>
    </row>
    <row r="44" spans="1:10" ht="13.5" customHeight="1">
      <c r="A44" s="1" t="s">
        <v>6</v>
      </c>
      <c r="C44" s="25" t="s">
        <v>557</v>
      </c>
      <c r="D44" s="25"/>
      <c r="E44" s="2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2" t="s">
        <v>553</v>
      </c>
      <c r="D45" s="2"/>
      <c r="E45" s="2"/>
      <c r="F45" s="3"/>
      <c r="G45" s="1" t="s">
        <v>12</v>
      </c>
      <c r="H45" s="195" t="s">
        <v>13</v>
      </c>
      <c r="I45" s="195"/>
      <c r="J45" s="195"/>
    </row>
    <row r="46" spans="1:10" ht="13.5" customHeight="1">
      <c r="A46" s="2" t="s">
        <v>14</v>
      </c>
      <c r="B46" s="2"/>
      <c r="C46" s="2" t="s">
        <v>15</v>
      </c>
      <c r="D46" s="2"/>
      <c r="E46" s="2"/>
      <c r="F46" s="3"/>
      <c r="G46" s="1" t="s">
        <v>16</v>
      </c>
      <c r="H46" s="196" t="s">
        <v>140</v>
      </c>
      <c r="I46" s="196"/>
      <c r="J46" s="196"/>
    </row>
    <row r="47" spans="1:10" ht="13.5" customHeight="1">
      <c r="A47" s="2">
        <v>30</v>
      </c>
      <c r="B47" s="2"/>
      <c r="C47" s="2">
        <f>A47-H47</f>
        <v>0</v>
      </c>
      <c r="D47" s="2"/>
      <c r="E47" s="2"/>
      <c r="F47" s="3"/>
      <c r="G47" s="8" t="s">
        <v>18</v>
      </c>
      <c r="H47" s="197">
        <v>30</v>
      </c>
      <c r="I47" s="197"/>
      <c r="J47" s="197"/>
    </row>
    <row r="48" spans="1:10" ht="13.5" customHeight="1">
      <c r="A48" s="14" t="s">
        <v>19</v>
      </c>
      <c r="B48" s="15"/>
      <c r="C48" s="15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23</v>
      </c>
      <c r="B49" s="1"/>
      <c r="C49" s="1"/>
      <c r="D49" s="2">
        <v>30000</v>
      </c>
      <c r="E49" s="17" t="s">
        <v>24</v>
      </c>
      <c r="F49" s="1"/>
      <c r="G49" s="2" t="s">
        <v>25</v>
      </c>
      <c r="H49" s="18" t="s">
        <v>26</v>
      </c>
      <c r="I49" s="23"/>
      <c r="J49" s="24"/>
    </row>
    <row r="50" spans="1:10" ht="13.5" customHeight="1">
      <c r="A50" s="17" t="s">
        <v>77</v>
      </c>
      <c r="B50" s="209" t="s">
        <v>355</v>
      </c>
      <c r="C50" s="209"/>
      <c r="D50" s="2">
        <v>4000</v>
      </c>
      <c r="E50" s="17" t="s">
        <v>58</v>
      </c>
      <c r="F50" s="1"/>
      <c r="G50" s="2" t="s">
        <v>25</v>
      </c>
      <c r="H50" s="18" t="s">
        <v>29</v>
      </c>
      <c r="I50" s="23"/>
      <c r="J50" s="24"/>
    </row>
    <row r="51" spans="1:10" ht="13.5" customHeight="1">
      <c r="A51" s="17" t="s">
        <v>30</v>
      </c>
      <c r="B51" s="1"/>
      <c r="C51" s="1"/>
      <c r="D51" s="2">
        <v>20480</v>
      </c>
      <c r="E51" s="17" t="s">
        <v>214</v>
      </c>
      <c r="F51" s="1"/>
      <c r="G51" s="2">
        <v>2880</v>
      </c>
      <c r="H51" s="18" t="s">
        <v>32</v>
      </c>
      <c r="I51" s="23"/>
      <c r="J51" s="24"/>
    </row>
    <row r="52" spans="1:10" ht="13.5" customHeight="1">
      <c r="A52" s="17" t="s">
        <v>34</v>
      </c>
      <c r="B52" s="1"/>
      <c r="C52" s="1"/>
      <c r="D52" s="2" t="s">
        <v>25</v>
      </c>
      <c r="E52" s="17" t="s">
        <v>35</v>
      </c>
      <c r="F52" s="1"/>
      <c r="G52" s="2" t="s">
        <v>25</v>
      </c>
      <c r="H52" s="18"/>
      <c r="I52" s="6"/>
      <c r="J52" s="19"/>
    </row>
    <row r="53" spans="1:10" ht="13.5" customHeight="1">
      <c r="A53" s="17" t="s">
        <v>60</v>
      </c>
      <c r="B53" s="1"/>
      <c r="C53" s="1"/>
      <c r="D53" s="2">
        <v>3500</v>
      </c>
      <c r="E53" s="17" t="s">
        <v>61</v>
      </c>
      <c r="F53" s="1"/>
      <c r="G53" s="2" t="s">
        <v>25</v>
      </c>
      <c r="H53" s="18" t="s">
        <v>549</v>
      </c>
      <c r="I53" s="6"/>
      <c r="J53" s="19"/>
    </row>
    <row r="54" spans="1:10" ht="13.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19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78</v>
      </c>
      <c r="F55" s="1"/>
      <c r="G55" s="2" t="s">
        <v>25</v>
      </c>
      <c r="H55" s="18"/>
      <c r="I55" s="6"/>
      <c r="J55" s="19"/>
    </row>
    <row r="56" spans="1:10" ht="13.5" customHeight="1">
      <c r="A56" s="204" t="s">
        <v>63</v>
      </c>
      <c r="B56" s="205"/>
      <c r="C56" s="206"/>
      <c r="D56" s="229">
        <f>SUM(D49:D55)</f>
        <v>57980</v>
      </c>
      <c r="E56" s="1" t="s">
        <v>283</v>
      </c>
      <c r="F56" s="1"/>
      <c r="G56" s="2" t="s">
        <v>25</v>
      </c>
      <c r="H56" s="18"/>
      <c r="I56" s="6"/>
      <c r="J56" s="19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2980</v>
      </c>
      <c r="H57" s="21" t="s">
        <v>44</v>
      </c>
      <c r="I57" s="22"/>
      <c r="J57" s="13">
        <f>D56-G57</f>
        <v>55000</v>
      </c>
    </row>
    <row r="58" spans="1:10" ht="13.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3.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3.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3.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3.5" customHeight="1">
      <c r="A63" s="1" t="s">
        <v>2</v>
      </c>
      <c r="B63" s="1"/>
      <c r="C63" s="194" t="s">
        <v>558</v>
      </c>
      <c r="D63" s="194"/>
      <c r="E63" s="2"/>
      <c r="F63" s="3"/>
      <c r="G63" s="1" t="s">
        <v>4</v>
      </c>
      <c r="H63" s="191" t="s">
        <v>5</v>
      </c>
      <c r="I63" s="191"/>
      <c r="J63" s="191"/>
    </row>
    <row r="64" spans="1:10" ht="13.5" customHeight="1">
      <c r="A64" s="1" t="s">
        <v>6</v>
      </c>
      <c r="B64" s="1"/>
      <c r="C64" s="192" t="s">
        <v>559</v>
      </c>
      <c r="D64" s="192"/>
      <c r="E64" s="2"/>
      <c r="F64" s="3"/>
      <c r="G64" s="1" t="s">
        <v>8</v>
      </c>
      <c r="H64" s="193" t="s">
        <v>9</v>
      </c>
      <c r="I64" s="193"/>
      <c r="J64" s="193"/>
    </row>
    <row r="65" spans="1:10" ht="13.5" customHeight="1">
      <c r="A65" s="6" t="s">
        <v>10</v>
      </c>
      <c r="B65" s="6"/>
      <c r="C65" s="6" t="s">
        <v>560</v>
      </c>
      <c r="D65" s="6"/>
      <c r="E65" s="2"/>
      <c r="F65" s="3"/>
      <c r="G65" s="1" t="s">
        <v>12</v>
      </c>
      <c r="H65" s="195" t="s">
        <v>13</v>
      </c>
      <c r="I65" s="195"/>
      <c r="J65" s="195"/>
    </row>
    <row r="66" spans="1:10" ht="13.5" customHeight="1">
      <c r="A66" s="2" t="s">
        <v>14</v>
      </c>
      <c r="B66" s="2"/>
      <c r="C66" s="1" t="s">
        <v>15</v>
      </c>
      <c r="D66" s="1"/>
      <c r="E66" s="2"/>
      <c r="F66" s="3"/>
      <c r="G66" s="1" t="s">
        <v>16</v>
      </c>
      <c r="H66" s="209" t="s">
        <v>55</v>
      </c>
      <c r="I66" s="209"/>
      <c r="J66" s="209"/>
    </row>
    <row r="67" spans="1:10" ht="13.5" customHeight="1">
      <c r="A67" s="2">
        <v>30</v>
      </c>
      <c r="B67" s="2"/>
      <c r="C67" s="2">
        <f>A67-H67</f>
        <v>0</v>
      </c>
      <c r="D67" s="2"/>
      <c r="E67" s="2"/>
      <c r="F67" s="3"/>
      <c r="G67" s="8" t="s">
        <v>18</v>
      </c>
      <c r="H67" s="197">
        <v>30</v>
      </c>
      <c r="I67" s="197"/>
      <c r="J67" s="197"/>
    </row>
    <row r="68" spans="1:10" ht="13.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3.5" customHeight="1">
      <c r="A69" s="17" t="s">
        <v>23</v>
      </c>
      <c r="B69" s="1"/>
      <c r="C69" s="1"/>
      <c r="D69" s="2">
        <v>18000</v>
      </c>
      <c r="E69" s="17" t="s">
        <v>24</v>
      </c>
      <c r="F69" s="1"/>
      <c r="G69" s="2" t="s">
        <v>25</v>
      </c>
      <c r="H69" s="18" t="s">
        <v>26</v>
      </c>
      <c r="I69" s="23"/>
      <c r="J69" s="24"/>
    </row>
    <row r="70" spans="1:10" ht="13.5" customHeight="1">
      <c r="A70" s="17" t="s">
        <v>77</v>
      </c>
      <c r="B70" s="209"/>
      <c r="C70" s="209"/>
      <c r="D70" s="2" t="s">
        <v>25</v>
      </c>
      <c r="E70" s="17" t="s">
        <v>58</v>
      </c>
      <c r="F70" s="1"/>
      <c r="G70" s="2" t="s">
        <v>25</v>
      </c>
      <c r="H70" s="18" t="s">
        <v>29</v>
      </c>
      <c r="I70" s="23"/>
      <c r="J70" s="24"/>
    </row>
    <row r="71" spans="1:10" ht="13.5" customHeight="1">
      <c r="A71" s="17" t="s">
        <v>30</v>
      </c>
      <c r="B71" s="1"/>
      <c r="C71" s="1"/>
      <c r="D71" s="2">
        <v>600</v>
      </c>
      <c r="E71" s="17" t="s">
        <v>141</v>
      </c>
      <c r="F71" s="1"/>
      <c r="G71" s="2" t="s">
        <v>25</v>
      </c>
      <c r="H71" s="18" t="s">
        <v>32</v>
      </c>
      <c r="I71" s="23"/>
      <c r="J71" s="24"/>
    </row>
    <row r="72" spans="1:10" ht="13.5" customHeight="1">
      <c r="A72" s="17" t="s">
        <v>345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3.5" customHeight="1">
      <c r="A73" s="17" t="s">
        <v>72</v>
      </c>
      <c r="B73" s="1"/>
      <c r="C73" s="1"/>
      <c r="D73" s="2" t="s">
        <v>25</v>
      </c>
      <c r="E73" s="17" t="s">
        <v>61</v>
      </c>
      <c r="F73" s="1"/>
      <c r="G73" s="2" t="s">
        <v>25</v>
      </c>
      <c r="H73" s="18"/>
      <c r="I73" s="6"/>
      <c r="J73" s="19"/>
    </row>
    <row r="74" spans="1:10" ht="13.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19"/>
    </row>
    <row r="75" spans="1:10" ht="13.5" customHeight="1">
      <c r="A75" s="18" t="s">
        <v>40</v>
      </c>
      <c r="B75" s="6"/>
      <c r="C75" s="6"/>
      <c r="D75" s="2" t="s">
        <v>25</v>
      </c>
      <c r="E75" s="17" t="s">
        <v>78</v>
      </c>
      <c r="F75" s="1"/>
      <c r="G75" s="2" t="s">
        <v>25</v>
      </c>
      <c r="H75" s="18"/>
      <c r="I75" s="6"/>
      <c r="J75" s="19"/>
    </row>
    <row r="76" spans="1:10" ht="13.5" customHeight="1">
      <c r="A76" s="204" t="s">
        <v>63</v>
      </c>
      <c r="B76" s="205"/>
      <c r="C76" s="206"/>
      <c r="D76" s="229">
        <f>SUM(D69:D75)</f>
        <v>18600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3.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18500</v>
      </c>
    </row>
    <row r="78" spans="1:10" ht="13.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3.5" customHeight="1">
      <c r="A80" s="3"/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3.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3.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3.5" customHeight="1">
      <c r="A83" s="1" t="s">
        <v>2</v>
      </c>
      <c r="B83" s="1"/>
      <c r="C83" s="209" t="s">
        <v>561</v>
      </c>
      <c r="D83" s="209"/>
      <c r="E83" s="2"/>
      <c r="F83" s="3"/>
      <c r="G83" s="1" t="s">
        <v>4</v>
      </c>
      <c r="H83" s="191" t="s">
        <v>5</v>
      </c>
      <c r="I83" s="191"/>
      <c r="J83" s="191"/>
    </row>
    <row r="84" spans="1:10" ht="13.5" customHeight="1">
      <c r="A84" s="1" t="s">
        <v>6</v>
      </c>
      <c r="B84" s="1"/>
      <c r="C84" s="196" t="s">
        <v>562</v>
      </c>
      <c r="D84" s="196"/>
      <c r="E84" s="7"/>
      <c r="F84" s="3"/>
      <c r="G84" s="1" t="s">
        <v>8</v>
      </c>
      <c r="H84" s="193" t="s">
        <v>9</v>
      </c>
      <c r="I84" s="193"/>
      <c r="J84" s="193"/>
    </row>
    <row r="85" spans="1:10" ht="13.5" customHeight="1">
      <c r="A85" s="6" t="s">
        <v>10</v>
      </c>
      <c r="B85" s="6"/>
      <c r="C85" s="278" t="s">
        <v>563</v>
      </c>
      <c r="D85" s="209"/>
      <c r="E85" s="2"/>
      <c r="F85" s="3"/>
      <c r="G85" s="1" t="s">
        <v>12</v>
      </c>
      <c r="H85" s="195" t="s">
        <v>13</v>
      </c>
      <c r="I85" s="195"/>
      <c r="J85" s="195"/>
    </row>
    <row r="86" spans="1:10" ht="13.5" customHeight="1">
      <c r="A86" s="6" t="s">
        <v>14</v>
      </c>
      <c r="B86" s="6"/>
      <c r="C86" s="2" t="s">
        <v>15</v>
      </c>
      <c r="D86" s="2"/>
      <c r="E86" s="2"/>
      <c r="F86" s="3"/>
      <c r="G86" s="1" t="s">
        <v>16</v>
      </c>
      <c r="H86" s="196" t="s">
        <v>140</v>
      </c>
      <c r="I86" s="196"/>
      <c r="J86" s="196"/>
    </row>
    <row r="87" spans="1:10" ht="13.5" customHeight="1">
      <c r="A87" s="6">
        <v>30</v>
      </c>
      <c r="B87" s="6"/>
      <c r="C87" s="2">
        <f>A87-I87</f>
        <v>1</v>
      </c>
      <c r="D87" s="2"/>
      <c r="E87" s="2"/>
      <c r="F87" s="3"/>
      <c r="G87" s="8" t="s">
        <v>18</v>
      </c>
      <c r="H87" s="8"/>
      <c r="I87" s="9">
        <v>29</v>
      </c>
      <c r="J87" s="9"/>
    </row>
    <row r="88" spans="1:10" ht="13.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3.5" customHeight="1">
      <c r="A89" s="17" t="s">
        <v>23</v>
      </c>
      <c r="B89" s="1"/>
      <c r="C89" s="1"/>
      <c r="D89" s="2">
        <v>22000</v>
      </c>
      <c r="E89" s="17" t="s">
        <v>24</v>
      </c>
      <c r="F89" s="1"/>
      <c r="G89" s="2" t="s">
        <v>25</v>
      </c>
      <c r="H89" s="18" t="s">
        <v>26</v>
      </c>
      <c r="I89" s="23"/>
      <c r="J89" s="24"/>
    </row>
    <row r="90" spans="1:10" ht="13.5" customHeight="1">
      <c r="A90" s="17" t="s">
        <v>77</v>
      </c>
      <c r="B90" s="228"/>
      <c r="C90" s="228"/>
      <c r="D90" s="2" t="s">
        <v>25</v>
      </c>
      <c r="E90" s="17" t="s">
        <v>28</v>
      </c>
      <c r="F90" s="1"/>
      <c r="G90" s="2" t="s">
        <v>25</v>
      </c>
      <c r="H90" s="18" t="s">
        <v>29</v>
      </c>
      <c r="I90" s="23"/>
      <c r="J90" s="24"/>
    </row>
    <row r="91" spans="1:10" ht="13.5" customHeight="1">
      <c r="A91" s="17" t="s">
        <v>30</v>
      </c>
      <c r="B91" s="1"/>
      <c r="C91" s="1"/>
      <c r="D91" s="2">
        <v>1133</v>
      </c>
      <c r="E91" s="17" t="s">
        <v>141</v>
      </c>
      <c r="F91" s="1"/>
      <c r="G91" s="2">
        <v>800</v>
      </c>
      <c r="H91" s="18" t="s">
        <v>32</v>
      </c>
      <c r="I91" s="23"/>
      <c r="J91" s="24"/>
    </row>
    <row r="92" spans="1:10" ht="13.5" customHeight="1">
      <c r="A92" s="17" t="s">
        <v>34</v>
      </c>
      <c r="B92" s="1"/>
      <c r="C92" s="1"/>
      <c r="D92" s="2" t="s">
        <v>25</v>
      </c>
      <c r="E92" s="17" t="s">
        <v>71</v>
      </c>
      <c r="F92" s="1"/>
      <c r="G92" s="2">
        <v>733</v>
      </c>
      <c r="H92" s="18"/>
      <c r="I92" s="6"/>
      <c r="J92" s="19"/>
    </row>
    <row r="93" spans="1:10" ht="13.5" customHeight="1">
      <c r="A93" s="17" t="s">
        <v>78</v>
      </c>
      <c r="B93" s="1"/>
      <c r="C93" s="1"/>
      <c r="D93" s="2" t="s">
        <v>25</v>
      </c>
      <c r="E93" s="17" t="s">
        <v>61</v>
      </c>
      <c r="F93" s="1"/>
      <c r="G93" s="2" t="s">
        <v>25</v>
      </c>
      <c r="H93" s="18"/>
      <c r="I93" s="6"/>
      <c r="J93" s="26"/>
    </row>
    <row r="94" spans="1:10" ht="13.5" customHeight="1">
      <c r="A94" s="17" t="s">
        <v>136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/>
      <c r="I94" s="6"/>
      <c r="J94" s="26"/>
    </row>
    <row r="95" spans="1:10" ht="13.5" customHeight="1">
      <c r="A95" s="18" t="s">
        <v>40</v>
      </c>
      <c r="B95" s="6"/>
      <c r="C95" s="6"/>
      <c r="D95" s="2" t="s">
        <v>25</v>
      </c>
      <c r="E95" s="17" t="s">
        <v>78</v>
      </c>
      <c r="F95" s="1"/>
      <c r="G95" s="2" t="s">
        <v>25</v>
      </c>
      <c r="H95" s="18"/>
      <c r="I95" s="6"/>
      <c r="J95" s="26"/>
    </row>
    <row r="96" spans="1:10" ht="13.5" customHeight="1">
      <c r="A96" s="204" t="s">
        <v>63</v>
      </c>
      <c r="B96" s="205"/>
      <c r="C96" s="206"/>
      <c r="D96" s="229">
        <f>SUM(D89:D95)</f>
        <v>23133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3.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1633</v>
      </c>
      <c r="H97" s="21" t="s">
        <v>44</v>
      </c>
      <c r="I97" s="22"/>
      <c r="J97" s="13">
        <f>D96-G97</f>
        <v>21500</v>
      </c>
    </row>
    <row r="98" spans="1:10" ht="13.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3.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3.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3.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3.5" customHeight="1">
      <c r="A103" s="1" t="s">
        <v>2</v>
      </c>
      <c r="B103" s="1"/>
      <c r="C103" s="194"/>
      <c r="D103" s="194"/>
      <c r="E103" s="2"/>
      <c r="F103" s="3"/>
      <c r="G103" s="1" t="s">
        <v>4</v>
      </c>
      <c r="H103" s="191" t="s">
        <v>5</v>
      </c>
      <c r="I103" s="191"/>
      <c r="J103" s="191"/>
    </row>
    <row r="104" spans="1:10" ht="13.5" customHeight="1">
      <c r="A104" s="1" t="s">
        <v>6</v>
      </c>
      <c r="B104" s="1"/>
      <c r="C104" s="192" t="s">
        <v>564</v>
      </c>
      <c r="D104" s="192"/>
      <c r="E104" s="2"/>
      <c r="F104" s="3"/>
      <c r="G104" s="1" t="s">
        <v>8</v>
      </c>
      <c r="H104" s="193" t="s">
        <v>9</v>
      </c>
      <c r="I104" s="193"/>
      <c r="J104" s="193"/>
    </row>
    <row r="105" spans="1:10" ht="13.5" customHeight="1">
      <c r="A105" s="6" t="s">
        <v>10</v>
      </c>
      <c r="B105" s="6"/>
      <c r="C105" s="194" t="s">
        <v>565</v>
      </c>
      <c r="D105" s="194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3.5" customHeight="1">
      <c r="A106" s="2" t="s">
        <v>14</v>
      </c>
      <c r="B106" s="2"/>
      <c r="C106" s="2" t="s">
        <v>15</v>
      </c>
      <c r="D106" s="2"/>
      <c r="E106" s="2"/>
      <c r="F106" s="3"/>
      <c r="G106" s="1" t="s">
        <v>16</v>
      </c>
      <c r="H106" s="196" t="s">
        <v>140</v>
      </c>
      <c r="I106" s="196"/>
      <c r="J106" s="196"/>
    </row>
    <row r="107" spans="1:10" ht="13.5" customHeight="1">
      <c r="A107" s="2">
        <v>30</v>
      </c>
      <c r="B107" s="2"/>
      <c r="C107" s="2">
        <f>A107-H107</f>
        <v>1</v>
      </c>
      <c r="D107" s="2"/>
      <c r="E107" s="2"/>
      <c r="F107" s="3"/>
      <c r="G107" s="8" t="s">
        <v>18</v>
      </c>
      <c r="H107" s="197">
        <v>29</v>
      </c>
      <c r="I107" s="197"/>
      <c r="J107" s="197"/>
    </row>
    <row r="108" spans="1:10" ht="13.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3.5" customHeight="1">
      <c r="A109" s="17" t="s">
        <v>23</v>
      </c>
      <c r="B109" s="1"/>
      <c r="C109" s="1"/>
      <c r="D109" s="2">
        <v>20000</v>
      </c>
      <c r="E109" s="17" t="s">
        <v>24</v>
      </c>
      <c r="F109" s="1"/>
      <c r="G109" s="2" t="s">
        <v>25</v>
      </c>
      <c r="H109" s="18" t="s">
        <v>26</v>
      </c>
      <c r="I109" s="23"/>
      <c r="J109" s="24"/>
    </row>
    <row r="110" spans="1:10" ht="13.5" customHeight="1">
      <c r="A110" s="17" t="s">
        <v>57</v>
      </c>
      <c r="B110" s="209" t="s">
        <v>320</v>
      </c>
      <c r="C110" s="209"/>
      <c r="D110" s="2">
        <v>1333</v>
      </c>
      <c r="E110" s="17" t="s">
        <v>58</v>
      </c>
      <c r="F110" s="1"/>
      <c r="G110" s="2" t="s">
        <v>25</v>
      </c>
      <c r="H110" s="18" t="s">
        <v>29</v>
      </c>
      <c r="I110" s="23"/>
      <c r="J110" s="24"/>
    </row>
    <row r="111" spans="1:10" ht="13.5" customHeight="1">
      <c r="A111" s="17" t="s">
        <v>30</v>
      </c>
      <c r="B111" s="1"/>
      <c r="C111" s="1"/>
      <c r="D111" s="2">
        <v>767</v>
      </c>
      <c r="E111" s="17" t="s">
        <v>566</v>
      </c>
      <c r="F111" s="1"/>
      <c r="G111" s="2" t="s">
        <v>25</v>
      </c>
      <c r="H111" s="18" t="s">
        <v>32</v>
      </c>
      <c r="I111" s="23"/>
      <c r="J111" s="24"/>
    </row>
    <row r="112" spans="1:10" ht="13.5" customHeight="1">
      <c r="A112" s="17" t="s">
        <v>567</v>
      </c>
      <c r="B112" s="1"/>
      <c r="C112" s="1"/>
      <c r="D112" s="2" t="s">
        <v>25</v>
      </c>
      <c r="E112" s="17" t="s">
        <v>35</v>
      </c>
      <c r="F112" s="1"/>
      <c r="G112" s="2">
        <v>667</v>
      </c>
      <c r="H112" s="18"/>
      <c r="I112" s="6"/>
      <c r="J112" s="19"/>
    </row>
    <row r="113" spans="1:10" ht="13.5" customHeight="1">
      <c r="A113" s="17" t="s">
        <v>78</v>
      </c>
      <c r="B113" s="1"/>
      <c r="C113" s="1"/>
      <c r="D113" s="2" t="s">
        <v>25</v>
      </c>
      <c r="E113" s="17" t="s">
        <v>39</v>
      </c>
      <c r="F113" s="1"/>
      <c r="G113" s="2">
        <v>100</v>
      </c>
      <c r="H113" s="18" t="s">
        <v>568</v>
      </c>
      <c r="I113" s="6"/>
      <c r="J113" s="40"/>
    </row>
    <row r="114" spans="1:10" ht="13.5" customHeight="1">
      <c r="A114" s="17" t="s">
        <v>136</v>
      </c>
      <c r="B114" s="1"/>
      <c r="C114" s="1"/>
      <c r="D114" s="2" t="s">
        <v>25</v>
      </c>
      <c r="E114" s="17" t="s">
        <v>1108</v>
      </c>
      <c r="F114" s="1"/>
      <c r="G114" s="2">
        <v>1333</v>
      </c>
      <c r="H114" s="18"/>
      <c r="I114" s="6"/>
      <c r="J114" s="40"/>
    </row>
    <row r="115" spans="1:10" ht="13.5" customHeight="1">
      <c r="A115" s="18" t="s">
        <v>40</v>
      </c>
      <c r="B115" s="6"/>
      <c r="C115" s="6"/>
      <c r="D115" s="2" t="s">
        <v>25</v>
      </c>
      <c r="E115" s="17" t="s">
        <v>41</v>
      </c>
      <c r="F115" s="1"/>
      <c r="G115" s="2" t="s">
        <v>25</v>
      </c>
      <c r="H115" s="18"/>
      <c r="I115" s="6"/>
      <c r="J115" s="19"/>
    </row>
    <row r="116" spans="1:10" ht="13.5" customHeight="1">
      <c r="A116" s="204" t="s">
        <v>63</v>
      </c>
      <c r="B116" s="205"/>
      <c r="C116" s="206"/>
      <c r="D116" s="229">
        <f>SUM(D109:D115)</f>
        <v>22100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3.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2100</v>
      </c>
      <c r="H117" s="21" t="s">
        <v>44</v>
      </c>
      <c r="I117" s="22"/>
      <c r="J117" s="13">
        <f>D116-G117</f>
        <v>20000</v>
      </c>
    </row>
    <row r="118" spans="1:10" ht="13.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3.5" customHeight="1"/>
    <row r="120" spans="1:10" ht="14.2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3.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3.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3.5" customHeight="1">
      <c r="A123" s="1" t="s">
        <v>2</v>
      </c>
      <c r="B123" s="1"/>
      <c r="C123" s="191" t="s">
        <v>569</v>
      </c>
      <c r="D123" s="191"/>
      <c r="E123" s="2"/>
      <c r="F123" s="3"/>
      <c r="G123" s="1" t="s">
        <v>4</v>
      </c>
      <c r="H123" s="191" t="s">
        <v>5</v>
      </c>
      <c r="I123" s="191"/>
      <c r="J123" s="191"/>
    </row>
    <row r="124" spans="1:10" ht="13.5" customHeight="1">
      <c r="A124" s="1" t="s">
        <v>6</v>
      </c>
      <c r="B124" s="1"/>
      <c r="C124" s="25" t="s">
        <v>570</v>
      </c>
      <c r="D124" s="25"/>
      <c r="E124" s="2"/>
      <c r="F124" s="3"/>
      <c r="G124" s="1" t="s">
        <v>8</v>
      </c>
      <c r="H124" s="193" t="s">
        <v>9</v>
      </c>
      <c r="I124" s="193"/>
      <c r="J124" s="193"/>
    </row>
    <row r="125" spans="1:10" ht="13.5" customHeight="1">
      <c r="A125" s="6" t="s">
        <v>10</v>
      </c>
      <c r="B125" s="6"/>
      <c r="C125" s="194" t="s">
        <v>571</v>
      </c>
      <c r="D125" s="194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3.5" customHeight="1">
      <c r="A126" s="2" t="s">
        <v>14</v>
      </c>
      <c r="B126" s="2"/>
      <c r="C126" s="2" t="s">
        <v>15</v>
      </c>
      <c r="D126" s="2"/>
      <c r="E126" s="2"/>
      <c r="F126" s="3"/>
      <c r="G126" s="1" t="s">
        <v>16</v>
      </c>
      <c r="H126" s="196" t="s">
        <v>140</v>
      </c>
      <c r="I126" s="196"/>
      <c r="J126" s="196"/>
    </row>
    <row r="127" spans="1:10" ht="13.5" customHeight="1">
      <c r="A127" s="2">
        <v>30</v>
      </c>
      <c r="B127" s="2"/>
      <c r="C127" s="2">
        <f>A127-H127</f>
        <v>0</v>
      </c>
      <c r="D127" s="2"/>
      <c r="E127" s="2"/>
      <c r="F127" s="3"/>
      <c r="G127" s="8" t="s">
        <v>18</v>
      </c>
      <c r="H127" s="282">
        <v>30</v>
      </c>
      <c r="I127" s="282"/>
      <c r="J127" s="282"/>
    </row>
    <row r="128" spans="1:10" ht="13.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3.5" customHeight="1">
      <c r="A129" s="17" t="s">
        <v>23</v>
      </c>
      <c r="B129" s="1"/>
      <c r="C129" s="1"/>
      <c r="D129" s="2">
        <v>20000</v>
      </c>
      <c r="E129" s="17" t="s">
        <v>376</v>
      </c>
      <c r="F129" s="1"/>
      <c r="G129" s="2" t="s">
        <v>25</v>
      </c>
      <c r="H129" s="18" t="s">
        <v>26</v>
      </c>
      <c r="I129" s="23"/>
      <c r="J129" s="24"/>
    </row>
    <row r="130" spans="1:10" ht="13.5" customHeight="1">
      <c r="A130" s="17" t="s">
        <v>77</v>
      </c>
      <c r="B130" s="283"/>
      <c r="C130" s="283"/>
      <c r="D130" s="2" t="s">
        <v>25</v>
      </c>
      <c r="E130" s="17" t="s">
        <v>58</v>
      </c>
      <c r="F130" s="1"/>
      <c r="G130" s="2" t="s">
        <v>25</v>
      </c>
      <c r="H130" s="18" t="s">
        <v>29</v>
      </c>
      <c r="I130" s="23"/>
      <c r="J130" s="24"/>
    </row>
    <row r="131" spans="1:10" ht="13.5" customHeight="1">
      <c r="A131" s="17" t="s">
        <v>30</v>
      </c>
      <c r="B131" s="1"/>
      <c r="C131" s="1"/>
      <c r="D131" s="2">
        <v>1600</v>
      </c>
      <c r="E131" s="17" t="s">
        <v>52</v>
      </c>
      <c r="F131" s="1"/>
      <c r="G131" s="2" t="s">
        <v>25</v>
      </c>
      <c r="H131" s="18" t="s">
        <v>32</v>
      </c>
      <c r="I131" s="23"/>
      <c r="J131" s="24"/>
    </row>
    <row r="132" spans="1:10" ht="13.5" customHeight="1">
      <c r="A132" s="17" t="s">
        <v>34</v>
      </c>
      <c r="B132" s="1"/>
      <c r="C132" s="1"/>
      <c r="D132" s="2" t="s">
        <v>25</v>
      </c>
      <c r="E132" s="17" t="s">
        <v>35</v>
      </c>
      <c r="F132" s="1"/>
      <c r="G132" s="2" t="s">
        <v>25</v>
      </c>
      <c r="H132" s="18"/>
      <c r="I132" s="6"/>
      <c r="J132" s="19"/>
    </row>
    <row r="133" spans="1:10" ht="13.5" customHeight="1">
      <c r="A133" s="17" t="s">
        <v>60</v>
      </c>
      <c r="B133" s="1"/>
      <c r="C133" s="1"/>
      <c r="D133" s="2">
        <v>3500</v>
      </c>
      <c r="E133" s="17" t="s">
        <v>79</v>
      </c>
      <c r="F133" s="2"/>
      <c r="G133" s="2" t="s">
        <v>25</v>
      </c>
      <c r="H133" s="148"/>
      <c r="I133" s="149"/>
      <c r="J133" s="150"/>
    </row>
    <row r="134" spans="1:10" ht="13.5" customHeight="1">
      <c r="A134" s="17" t="s">
        <v>136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42"/>
      <c r="I134" s="36"/>
      <c r="J134" s="43"/>
    </row>
    <row r="135" spans="1:10" ht="13.5" customHeight="1">
      <c r="A135" s="18" t="s">
        <v>40</v>
      </c>
      <c r="B135" s="6"/>
      <c r="C135" s="6"/>
      <c r="D135" s="2" t="s">
        <v>25</v>
      </c>
      <c r="E135" s="17" t="s">
        <v>61</v>
      </c>
      <c r="F135" s="1"/>
      <c r="G135" s="2" t="s">
        <v>25</v>
      </c>
      <c r="H135" s="18"/>
      <c r="I135" s="6"/>
      <c r="J135" s="19"/>
    </row>
    <row r="136" spans="1:10" ht="13.5" customHeight="1">
      <c r="A136" s="204" t="s">
        <v>63</v>
      </c>
      <c r="B136" s="205"/>
      <c r="C136" s="206"/>
      <c r="D136" s="229">
        <f>SUM(D129:D135)</f>
        <v>25100</v>
      </c>
      <c r="E136" s="1" t="s">
        <v>43</v>
      </c>
      <c r="F136" s="1"/>
      <c r="G136" s="2" t="s">
        <v>25</v>
      </c>
      <c r="H136" s="18"/>
      <c r="I136" s="6"/>
      <c r="J136" s="19"/>
    </row>
    <row r="137" spans="1:10" ht="13.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100</v>
      </c>
      <c r="H137" s="21" t="s">
        <v>44</v>
      </c>
      <c r="I137" s="22"/>
      <c r="J137" s="13">
        <f>D136-G137</f>
        <v>25000</v>
      </c>
    </row>
    <row r="138" spans="1:10" ht="13.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3.5" customHeight="1">
      <c r="A140" s="3"/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3.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3.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3.5" customHeight="1">
      <c r="A143" s="1" t="s">
        <v>2</v>
      </c>
      <c r="B143" s="1"/>
      <c r="C143" s="194"/>
      <c r="D143" s="194"/>
      <c r="E143" s="2"/>
      <c r="F143" s="3"/>
      <c r="G143" s="1" t="s">
        <v>4</v>
      </c>
      <c r="H143" s="191" t="s">
        <v>5</v>
      </c>
      <c r="I143" s="191"/>
      <c r="J143" s="191"/>
    </row>
    <row r="144" spans="1:10" ht="13.5" customHeight="1">
      <c r="A144" s="1" t="s">
        <v>6</v>
      </c>
      <c r="B144" s="1"/>
      <c r="C144" s="25" t="s">
        <v>572</v>
      </c>
      <c r="D144" s="25"/>
      <c r="E144" s="2"/>
      <c r="F144" s="3"/>
      <c r="G144" s="1" t="s">
        <v>8</v>
      </c>
      <c r="H144" s="193" t="s">
        <v>9</v>
      </c>
      <c r="I144" s="193"/>
      <c r="J144" s="193"/>
    </row>
    <row r="145" spans="1:10" ht="13.5" customHeight="1">
      <c r="A145" s="6" t="s">
        <v>10</v>
      </c>
      <c r="B145" s="6"/>
      <c r="C145" s="194" t="s">
        <v>571</v>
      </c>
      <c r="D145" s="194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3.5" customHeight="1">
      <c r="A146" s="2" t="s">
        <v>14</v>
      </c>
      <c r="B146" s="2"/>
      <c r="C146" s="1" t="s">
        <v>15</v>
      </c>
      <c r="D146" s="1"/>
      <c r="E146" s="2"/>
      <c r="F146" s="3"/>
      <c r="G146" s="1" t="s">
        <v>16</v>
      </c>
      <c r="H146" s="209" t="s">
        <v>140</v>
      </c>
      <c r="I146" s="209"/>
      <c r="J146" s="209"/>
    </row>
    <row r="147" spans="1:10" ht="13.5" customHeight="1">
      <c r="A147" s="2">
        <v>30</v>
      </c>
      <c r="B147" s="2"/>
      <c r="C147" s="2">
        <f>A147-H147</f>
        <v>0</v>
      </c>
      <c r="D147" s="2"/>
      <c r="E147" s="2"/>
      <c r="F147" s="3"/>
      <c r="G147" s="8" t="s">
        <v>18</v>
      </c>
      <c r="H147" s="197">
        <v>30</v>
      </c>
      <c r="I147" s="197"/>
      <c r="J147" s="197"/>
    </row>
    <row r="148" spans="1:10" ht="13.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3.5" customHeight="1">
      <c r="A149" s="17" t="s">
        <v>56</v>
      </c>
      <c r="B149" s="1"/>
      <c r="C149" s="1"/>
      <c r="D149" s="2">
        <v>23000</v>
      </c>
      <c r="E149" s="17" t="s">
        <v>24</v>
      </c>
      <c r="F149" s="1"/>
      <c r="G149" s="2" t="s">
        <v>25</v>
      </c>
      <c r="H149" s="18" t="s">
        <v>26</v>
      </c>
      <c r="I149" s="23"/>
      <c r="J149" s="24"/>
    </row>
    <row r="150" spans="1:10" ht="13.5" customHeight="1">
      <c r="A150" s="18" t="s">
        <v>57</v>
      </c>
      <c r="B150" s="283" t="s">
        <v>320</v>
      </c>
      <c r="C150" s="283"/>
      <c r="D150" s="2">
        <v>1533</v>
      </c>
      <c r="E150" s="17" t="s">
        <v>28</v>
      </c>
      <c r="F150" s="1"/>
      <c r="G150" s="2" t="s">
        <v>25</v>
      </c>
      <c r="H150" s="18" t="s">
        <v>29</v>
      </c>
      <c r="I150" s="23"/>
      <c r="J150" s="24"/>
    </row>
    <row r="151" spans="1:10" ht="13.5" customHeight="1">
      <c r="A151" s="17" t="s">
        <v>30</v>
      </c>
      <c r="B151" s="1"/>
      <c r="C151" s="1"/>
      <c r="D151" s="2">
        <v>3067</v>
      </c>
      <c r="E151" s="17" t="s">
        <v>376</v>
      </c>
      <c r="F151" s="1"/>
      <c r="G151" s="2" t="s">
        <v>25</v>
      </c>
      <c r="H151" s="18" t="s">
        <v>32</v>
      </c>
      <c r="I151" s="23"/>
      <c r="J151" s="24"/>
    </row>
    <row r="152" spans="1:10" ht="13.5" customHeight="1">
      <c r="A152" s="17" t="s">
        <v>147</v>
      </c>
      <c r="B152" s="1"/>
      <c r="C152" s="1"/>
      <c r="D152" s="2" t="s">
        <v>25</v>
      </c>
      <c r="E152" s="17" t="s">
        <v>35</v>
      </c>
      <c r="F152" s="1"/>
      <c r="G152" s="2" t="s">
        <v>25</v>
      </c>
      <c r="H152" s="18"/>
      <c r="I152" s="6"/>
      <c r="J152" s="19"/>
    </row>
    <row r="153" spans="1:10" ht="13.5" customHeight="1">
      <c r="A153" s="17" t="s">
        <v>147</v>
      </c>
      <c r="B153" s="1"/>
      <c r="C153" s="1"/>
      <c r="D153" s="2" t="s">
        <v>25</v>
      </c>
      <c r="E153" s="17" t="s">
        <v>61</v>
      </c>
      <c r="F153" s="1"/>
      <c r="G153" s="2" t="s">
        <v>25</v>
      </c>
      <c r="H153" s="18" t="s">
        <v>573</v>
      </c>
      <c r="I153" s="6"/>
      <c r="J153" s="19"/>
    </row>
    <row r="154" spans="1:10" ht="13.5" customHeight="1">
      <c r="A154" s="17" t="s">
        <v>136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3.5" customHeight="1">
      <c r="A155" s="18" t="s">
        <v>40</v>
      </c>
      <c r="B155" s="6"/>
      <c r="C155" s="6"/>
      <c r="D155" s="2" t="s">
        <v>25</v>
      </c>
      <c r="E155" s="17" t="s">
        <v>78</v>
      </c>
      <c r="F155" s="1"/>
      <c r="G155" s="2" t="s">
        <v>25</v>
      </c>
      <c r="H155" s="18"/>
      <c r="I155" s="6"/>
      <c r="J155" s="19"/>
    </row>
    <row r="156" spans="1:10" ht="13.5" customHeight="1">
      <c r="A156" s="204" t="s">
        <v>63</v>
      </c>
      <c r="B156" s="205"/>
      <c r="C156" s="206"/>
      <c r="D156" s="229">
        <f>SUM(D149:D155)</f>
        <v>27600</v>
      </c>
      <c r="E156" s="1" t="s">
        <v>43</v>
      </c>
      <c r="F156" s="1"/>
      <c r="G156" s="2" t="s">
        <v>25</v>
      </c>
      <c r="H156" s="18"/>
      <c r="I156" s="6"/>
      <c r="J156" s="19"/>
    </row>
    <row r="157" spans="1:10" ht="13.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100</v>
      </c>
      <c r="H157" s="21" t="s">
        <v>44</v>
      </c>
      <c r="I157" s="22"/>
      <c r="J157" s="13">
        <f>D156-G157</f>
        <v>27500</v>
      </c>
    </row>
    <row r="158" spans="1:10" ht="13.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3.5" customHeight="1">
      <c r="A160" s="184" t="s">
        <v>0</v>
      </c>
      <c r="B160" s="185"/>
      <c r="C160" s="185"/>
      <c r="D160" s="185"/>
      <c r="E160" s="185"/>
      <c r="F160" s="185"/>
      <c r="G160" s="185"/>
      <c r="H160" s="185"/>
      <c r="I160" s="185"/>
      <c r="J160" s="186"/>
    </row>
    <row r="161" spans="1:10" ht="13.5" customHeight="1">
      <c r="A161" s="187" t="s">
        <v>1</v>
      </c>
      <c r="B161" s="188"/>
      <c r="C161" s="188"/>
      <c r="D161" s="188"/>
      <c r="E161" s="188"/>
      <c r="F161" s="188"/>
      <c r="G161" s="188"/>
      <c r="H161" s="188"/>
      <c r="I161" s="188"/>
      <c r="J161" s="189"/>
    </row>
    <row r="162" spans="1:10" ht="13.5" customHeight="1">
      <c r="A162" s="1" t="s">
        <v>2</v>
      </c>
      <c r="B162" s="1"/>
      <c r="C162" s="190" t="s">
        <v>418</v>
      </c>
      <c r="D162" s="190"/>
      <c r="E162" s="2"/>
      <c r="F162" s="3"/>
      <c r="G162" s="1" t="s">
        <v>4</v>
      </c>
      <c r="H162" s="191" t="s">
        <v>5</v>
      </c>
      <c r="I162" s="191"/>
      <c r="J162" s="191"/>
    </row>
    <row r="163" spans="1:10" ht="13.5" customHeight="1">
      <c r="A163" s="1" t="s">
        <v>6</v>
      </c>
      <c r="B163" s="1"/>
      <c r="C163" s="192" t="s">
        <v>574</v>
      </c>
      <c r="D163" s="192"/>
      <c r="E163" s="2"/>
      <c r="F163" s="3"/>
      <c r="G163" s="1" t="s">
        <v>8</v>
      </c>
      <c r="H163" s="193" t="s">
        <v>9</v>
      </c>
      <c r="I163" s="193"/>
      <c r="J163" s="193"/>
    </row>
    <row r="164" spans="1:10" ht="13.5" customHeight="1">
      <c r="A164" s="6" t="s">
        <v>10</v>
      </c>
      <c r="B164" s="6"/>
      <c r="C164" s="194" t="s">
        <v>563</v>
      </c>
      <c r="D164" s="194"/>
      <c r="E164" s="2"/>
      <c r="F164" s="3"/>
      <c r="G164" s="1" t="s">
        <v>12</v>
      </c>
      <c r="H164" s="195" t="s">
        <v>13</v>
      </c>
      <c r="I164" s="195"/>
      <c r="J164" s="195"/>
    </row>
    <row r="165" spans="1:10" ht="13.5" customHeight="1">
      <c r="A165" s="2" t="s">
        <v>14</v>
      </c>
      <c r="B165" s="2"/>
      <c r="C165" s="2" t="s">
        <v>15</v>
      </c>
      <c r="D165" s="2"/>
      <c r="E165" s="2"/>
      <c r="F165" s="3"/>
      <c r="G165" s="1" t="s">
        <v>16</v>
      </c>
      <c r="H165" s="196" t="s">
        <v>140</v>
      </c>
      <c r="I165" s="196"/>
      <c r="J165" s="196"/>
    </row>
    <row r="166" spans="1:10" ht="13.5" customHeight="1">
      <c r="A166" s="2">
        <v>30</v>
      </c>
      <c r="B166" s="2"/>
      <c r="C166" s="2">
        <f>A166-H166</f>
        <v>2</v>
      </c>
      <c r="D166" s="2"/>
      <c r="E166" s="2"/>
      <c r="F166" s="3"/>
      <c r="G166" s="8" t="s">
        <v>18</v>
      </c>
      <c r="H166" s="197">
        <v>28</v>
      </c>
      <c r="I166" s="197"/>
      <c r="J166" s="197"/>
    </row>
    <row r="167" spans="1:10" ht="13.5" customHeight="1">
      <c r="A167" s="198" t="s">
        <v>19</v>
      </c>
      <c r="B167" s="199"/>
      <c r="C167" s="200"/>
      <c r="D167" s="13" t="s">
        <v>20</v>
      </c>
      <c r="E167" s="14" t="s">
        <v>21</v>
      </c>
      <c r="F167" s="15"/>
      <c r="G167" s="16" t="s">
        <v>20</v>
      </c>
      <c r="H167" s="201" t="s">
        <v>22</v>
      </c>
      <c r="I167" s="202"/>
      <c r="J167" s="203"/>
    </row>
    <row r="168" spans="1:10" ht="13.5" customHeight="1">
      <c r="A168" s="17" t="s">
        <v>23</v>
      </c>
      <c r="B168" s="1"/>
      <c r="C168" s="1"/>
      <c r="D168" s="2">
        <v>18000</v>
      </c>
      <c r="E168" s="17" t="s">
        <v>24</v>
      </c>
      <c r="F168" s="1"/>
      <c r="G168" s="2" t="s">
        <v>25</v>
      </c>
      <c r="H168" s="18" t="s">
        <v>26</v>
      </c>
      <c r="I168" s="23"/>
      <c r="J168" s="24"/>
    </row>
    <row r="169" spans="1:10" ht="13.5" customHeight="1">
      <c r="A169" s="17" t="s">
        <v>57</v>
      </c>
      <c r="B169" s="209" t="s">
        <v>120</v>
      </c>
      <c r="C169" s="209"/>
      <c r="D169" s="2">
        <v>600</v>
      </c>
      <c r="E169" s="17" t="s">
        <v>420</v>
      </c>
      <c r="F169" s="1"/>
      <c r="G169" s="2" t="s">
        <v>25</v>
      </c>
      <c r="H169" s="18" t="s">
        <v>29</v>
      </c>
      <c r="I169" s="23"/>
      <c r="J169" s="24"/>
    </row>
    <row r="170" spans="1:10" ht="13.5" customHeight="1">
      <c r="A170" s="17" t="s">
        <v>30</v>
      </c>
      <c r="B170" s="1"/>
      <c r="C170" s="1"/>
      <c r="D170" s="2">
        <v>2200</v>
      </c>
      <c r="E170" s="17" t="s">
        <v>40</v>
      </c>
      <c r="F170" s="1"/>
      <c r="G170" s="2" t="s">
        <v>25</v>
      </c>
      <c r="H170" s="18" t="s">
        <v>32</v>
      </c>
      <c r="I170" s="23"/>
      <c r="J170" s="24"/>
    </row>
    <row r="171" spans="1:10" ht="13.5" customHeight="1">
      <c r="A171" s="17" t="s">
        <v>34</v>
      </c>
      <c r="B171" s="1"/>
      <c r="C171" s="1"/>
      <c r="D171" s="2" t="s">
        <v>25</v>
      </c>
      <c r="E171" s="17" t="s">
        <v>71</v>
      </c>
      <c r="F171" s="1"/>
      <c r="G171" s="2">
        <v>1200</v>
      </c>
      <c r="H171" s="42"/>
      <c r="I171" s="36"/>
      <c r="J171" s="19"/>
    </row>
    <row r="172" spans="1:10" ht="13.5" customHeight="1">
      <c r="A172" s="17" t="s">
        <v>575</v>
      </c>
      <c r="B172" s="1"/>
      <c r="C172" s="1"/>
      <c r="D172" s="2">
        <v>2500</v>
      </c>
      <c r="E172" s="17" t="s">
        <v>37</v>
      </c>
      <c r="F172" s="1"/>
      <c r="G172" s="2">
        <v>500</v>
      </c>
      <c r="H172" s="42" t="s">
        <v>576</v>
      </c>
      <c r="I172" s="36"/>
      <c r="J172" s="43"/>
    </row>
    <row r="173" spans="1:10" ht="13.5" customHeight="1">
      <c r="A173" s="17" t="s">
        <v>136</v>
      </c>
      <c r="B173" s="1"/>
      <c r="C173" s="1"/>
      <c r="D173" s="2" t="s">
        <v>25</v>
      </c>
      <c r="E173" s="17" t="s">
        <v>39</v>
      </c>
      <c r="F173" s="1"/>
      <c r="G173" s="2">
        <v>100</v>
      </c>
      <c r="H173" s="42"/>
      <c r="J173" s="43"/>
    </row>
    <row r="174" spans="1:10" ht="13.5" customHeight="1">
      <c r="A174" s="18" t="s">
        <v>40</v>
      </c>
      <c r="B174" s="6"/>
      <c r="C174" s="6"/>
      <c r="D174" s="2" t="s">
        <v>25</v>
      </c>
      <c r="E174" s="17" t="s">
        <v>62</v>
      </c>
      <c r="F174" s="1"/>
      <c r="G174" s="2" t="s">
        <v>25</v>
      </c>
      <c r="H174" s="42"/>
      <c r="I174" s="36"/>
      <c r="J174" s="43"/>
    </row>
    <row r="175" spans="1:10" ht="13.5" customHeight="1">
      <c r="A175" s="204" t="s">
        <v>63</v>
      </c>
      <c r="B175" s="205"/>
      <c r="C175" s="206"/>
      <c r="D175" s="229">
        <f>SUM(D168:D174)</f>
        <v>23300</v>
      </c>
      <c r="E175" s="1" t="s">
        <v>43</v>
      </c>
      <c r="F175" s="1"/>
      <c r="G175" s="2" t="s">
        <v>25</v>
      </c>
      <c r="H175" s="18"/>
      <c r="I175" s="6"/>
      <c r="J175" s="19"/>
    </row>
    <row r="176" spans="1:10" ht="13.5" customHeight="1">
      <c r="A176" s="207"/>
      <c r="B176" s="197"/>
      <c r="C176" s="208"/>
      <c r="D176" s="230"/>
      <c r="E176" s="21" t="s">
        <v>21</v>
      </c>
      <c r="F176" s="22"/>
      <c r="G176" s="13">
        <f>SUM(G168:G175)</f>
        <v>1800</v>
      </c>
      <c r="H176" s="21" t="s">
        <v>44</v>
      </c>
      <c r="I176" s="22"/>
      <c r="J176" s="13">
        <f>D175-G176</f>
        <v>21500</v>
      </c>
    </row>
    <row r="177" spans="1:10" ht="13.5" customHeight="1">
      <c r="A177" s="3" t="s">
        <v>45</v>
      </c>
      <c r="B177" s="3"/>
      <c r="C177" s="3"/>
      <c r="D177" s="3"/>
      <c r="E177" s="3"/>
      <c r="F177" s="3"/>
      <c r="G177" s="2"/>
      <c r="H177" s="1"/>
      <c r="I177" s="1"/>
      <c r="J177" s="2"/>
    </row>
    <row r="178" spans="1:10" ht="13.5" customHeight="1">
      <c r="A178" s="3"/>
      <c r="B178" s="3"/>
      <c r="C178" s="3"/>
      <c r="D178" s="3"/>
      <c r="E178" s="3"/>
      <c r="F178" s="3"/>
      <c r="G178" s="2"/>
      <c r="H178" s="1"/>
      <c r="I178" s="1"/>
      <c r="J178" s="2"/>
    </row>
    <row r="179" spans="1:10" ht="13.5" customHeight="1">
      <c r="A179" s="3"/>
      <c r="B179" s="3" t="s">
        <v>47</v>
      </c>
      <c r="C179" s="3"/>
      <c r="D179" s="3"/>
      <c r="E179" s="3" t="s">
        <v>48</v>
      </c>
      <c r="F179" s="3"/>
      <c r="G179" s="3"/>
      <c r="H179" s="3" t="s">
        <v>49</v>
      </c>
      <c r="I179" s="3"/>
      <c r="J179" s="2"/>
    </row>
    <row r="180" spans="1:10" ht="13.5" customHeight="1">
      <c r="A180" s="184" t="s">
        <v>0</v>
      </c>
      <c r="B180" s="185"/>
      <c r="C180" s="185"/>
      <c r="D180" s="185"/>
      <c r="E180" s="185"/>
      <c r="F180" s="185"/>
      <c r="G180" s="185"/>
      <c r="H180" s="185"/>
      <c r="I180" s="185"/>
      <c r="J180" s="186"/>
    </row>
    <row r="181" spans="1:10" ht="13.5" customHeight="1">
      <c r="A181" s="187" t="s">
        <v>1</v>
      </c>
      <c r="B181" s="188"/>
      <c r="C181" s="188"/>
      <c r="D181" s="188"/>
      <c r="E181" s="188"/>
      <c r="F181" s="188"/>
      <c r="G181" s="188"/>
      <c r="H181" s="188"/>
      <c r="I181" s="188"/>
      <c r="J181" s="189"/>
    </row>
    <row r="182" spans="1:10" ht="13.5" customHeight="1">
      <c r="A182" s="1" t="s">
        <v>2</v>
      </c>
      <c r="B182" s="1"/>
      <c r="C182" s="190" t="s">
        <v>418</v>
      </c>
      <c r="D182" s="190"/>
      <c r="E182" s="2"/>
      <c r="F182" s="3"/>
      <c r="G182" s="1" t="s">
        <v>4</v>
      </c>
      <c r="H182" s="191" t="s">
        <v>5</v>
      </c>
      <c r="I182" s="191"/>
      <c r="J182" s="191"/>
    </row>
    <row r="183" spans="1:10" ht="13.5" customHeight="1">
      <c r="A183" s="1" t="s">
        <v>6</v>
      </c>
      <c r="B183" s="1"/>
      <c r="C183" s="192" t="s">
        <v>577</v>
      </c>
      <c r="D183" s="192"/>
      <c r="E183" s="2"/>
      <c r="F183" s="3"/>
      <c r="G183" s="1" t="s">
        <v>8</v>
      </c>
      <c r="H183" s="193" t="s">
        <v>9</v>
      </c>
      <c r="I183" s="193"/>
      <c r="J183" s="193"/>
    </row>
    <row r="184" spans="1:10" ht="13.5" customHeight="1">
      <c r="A184" s="6" t="s">
        <v>10</v>
      </c>
      <c r="B184" s="6"/>
      <c r="C184" s="194" t="s">
        <v>563</v>
      </c>
      <c r="D184" s="194"/>
      <c r="E184" s="2"/>
      <c r="F184" s="3"/>
      <c r="G184" s="1" t="s">
        <v>12</v>
      </c>
      <c r="H184" s="195" t="s">
        <v>13</v>
      </c>
      <c r="I184" s="195"/>
      <c r="J184" s="195"/>
    </row>
    <row r="185" spans="1:10" ht="13.5" customHeight="1">
      <c r="A185" s="2" t="s">
        <v>14</v>
      </c>
      <c r="B185" s="2"/>
      <c r="C185" s="2" t="s">
        <v>15</v>
      </c>
      <c r="D185" s="2"/>
      <c r="E185" s="2"/>
      <c r="F185" s="3"/>
      <c r="G185" s="1" t="s">
        <v>16</v>
      </c>
      <c r="H185" s="196" t="s">
        <v>140</v>
      </c>
      <c r="I185" s="196"/>
      <c r="J185" s="196"/>
    </row>
    <row r="186" spans="1:10" ht="13.5" customHeight="1">
      <c r="A186" s="2">
        <v>30</v>
      </c>
      <c r="B186" s="2"/>
      <c r="C186" s="2">
        <f>A186-H186</f>
        <v>0</v>
      </c>
      <c r="D186" s="2"/>
      <c r="E186" s="2"/>
      <c r="F186" s="3"/>
      <c r="G186" s="8" t="s">
        <v>18</v>
      </c>
      <c r="H186" s="197">
        <v>30</v>
      </c>
      <c r="I186" s="197"/>
      <c r="J186" s="197"/>
    </row>
    <row r="187" spans="1:10" ht="13.5" customHeight="1">
      <c r="A187" s="198" t="s">
        <v>19</v>
      </c>
      <c r="B187" s="199"/>
      <c r="C187" s="200"/>
      <c r="D187" s="13" t="s">
        <v>20</v>
      </c>
      <c r="E187" s="14" t="s">
        <v>21</v>
      </c>
      <c r="F187" s="15"/>
      <c r="G187" s="16" t="s">
        <v>20</v>
      </c>
      <c r="H187" s="201" t="s">
        <v>22</v>
      </c>
      <c r="I187" s="202"/>
      <c r="J187" s="203"/>
    </row>
    <row r="188" spans="1:10" ht="13.5" customHeight="1">
      <c r="A188" s="17" t="s">
        <v>23</v>
      </c>
      <c r="B188" s="1"/>
      <c r="C188" s="1"/>
      <c r="D188" s="2">
        <v>22000</v>
      </c>
      <c r="E188" s="17" t="s">
        <v>24</v>
      </c>
      <c r="F188" s="1"/>
      <c r="G188" s="2" t="s">
        <v>25</v>
      </c>
      <c r="H188" s="18" t="s">
        <v>26</v>
      </c>
      <c r="I188" s="23"/>
      <c r="J188" s="24"/>
    </row>
    <row r="189" spans="1:10" ht="13.5" customHeight="1">
      <c r="A189" s="17" t="s">
        <v>57</v>
      </c>
      <c r="B189" s="209"/>
      <c r="C189" s="209"/>
      <c r="D189" s="2" t="s">
        <v>25</v>
      </c>
      <c r="E189" s="17" t="s">
        <v>420</v>
      </c>
      <c r="F189" s="1"/>
      <c r="G189" s="2" t="s">
        <v>25</v>
      </c>
      <c r="H189" s="18" t="s">
        <v>29</v>
      </c>
      <c r="I189" s="23"/>
      <c r="J189" s="24"/>
    </row>
    <row r="190" spans="1:10" ht="13.5" customHeight="1">
      <c r="A190" s="17" t="s">
        <v>30</v>
      </c>
      <c r="B190" s="1"/>
      <c r="C190" s="1"/>
      <c r="D190" s="2">
        <v>633</v>
      </c>
      <c r="E190" s="17" t="s">
        <v>40</v>
      </c>
      <c r="F190" s="1"/>
      <c r="G190" s="2" t="s">
        <v>25</v>
      </c>
      <c r="H190" s="18" t="s">
        <v>32</v>
      </c>
      <c r="I190" s="23"/>
      <c r="J190" s="24"/>
    </row>
    <row r="191" spans="1:10" ht="13.5" customHeight="1">
      <c r="A191" s="17" t="s">
        <v>34</v>
      </c>
      <c r="B191" s="1"/>
      <c r="C191" s="1"/>
      <c r="D191" s="2" t="s">
        <v>25</v>
      </c>
      <c r="E191" s="17" t="s">
        <v>71</v>
      </c>
      <c r="F191" s="1"/>
      <c r="G191" s="2">
        <v>1200</v>
      </c>
      <c r="H191" s="42"/>
      <c r="I191" s="36"/>
      <c r="J191" s="19"/>
    </row>
    <row r="192" spans="1:10" ht="13.5" customHeight="1">
      <c r="A192" s="17" t="s">
        <v>478</v>
      </c>
      <c r="B192" s="1"/>
      <c r="C192" s="1"/>
      <c r="D192" s="2">
        <v>3667</v>
      </c>
      <c r="E192" s="17" t="s">
        <v>37</v>
      </c>
      <c r="F192" s="1"/>
      <c r="G192" s="2" t="s">
        <v>25</v>
      </c>
      <c r="H192" s="42" t="s">
        <v>578</v>
      </c>
      <c r="I192" s="36"/>
      <c r="J192" s="43"/>
    </row>
    <row r="193" spans="1:10" ht="13.5" customHeight="1">
      <c r="A193" s="17" t="s">
        <v>136</v>
      </c>
      <c r="B193" s="1"/>
      <c r="C193" s="1"/>
      <c r="D193" s="2" t="s">
        <v>25</v>
      </c>
      <c r="E193" s="17" t="s">
        <v>39</v>
      </c>
      <c r="F193" s="1"/>
      <c r="G193" s="2">
        <v>100</v>
      </c>
      <c r="H193" s="42"/>
      <c r="J193" s="43"/>
    </row>
    <row r="194" spans="1:10" ht="13.5" customHeight="1">
      <c r="A194" s="18" t="s">
        <v>40</v>
      </c>
      <c r="B194" s="6"/>
      <c r="C194" s="6"/>
      <c r="D194" s="2" t="s">
        <v>25</v>
      </c>
      <c r="E194" s="17" t="s">
        <v>62</v>
      </c>
      <c r="F194" s="1"/>
      <c r="G194" s="2" t="s">
        <v>25</v>
      </c>
      <c r="H194" s="42"/>
      <c r="I194" s="36"/>
      <c r="J194" s="43"/>
    </row>
    <row r="195" spans="1:10" ht="13.5" customHeight="1">
      <c r="A195" s="204" t="s">
        <v>63</v>
      </c>
      <c r="B195" s="205"/>
      <c r="C195" s="206"/>
      <c r="D195" s="229">
        <f>SUM(D188:D194)</f>
        <v>26300</v>
      </c>
      <c r="E195" s="1" t="s">
        <v>43</v>
      </c>
      <c r="F195" s="1"/>
      <c r="G195" s="2" t="s">
        <v>25</v>
      </c>
      <c r="H195" s="18"/>
      <c r="I195" s="6"/>
      <c r="J195" s="19"/>
    </row>
    <row r="196" spans="1:10" ht="13.5" customHeight="1">
      <c r="A196" s="207"/>
      <c r="B196" s="197"/>
      <c r="C196" s="208"/>
      <c r="D196" s="230"/>
      <c r="E196" s="21" t="s">
        <v>21</v>
      </c>
      <c r="F196" s="22"/>
      <c r="G196" s="13">
        <f>SUM(G188:G195)</f>
        <v>1300</v>
      </c>
      <c r="H196" s="21" t="s">
        <v>44</v>
      </c>
      <c r="I196" s="22"/>
      <c r="J196" s="13">
        <f>D195-G196</f>
        <v>25000</v>
      </c>
    </row>
    <row r="197" spans="1:10" ht="13.5" customHeight="1">
      <c r="A197" s="3" t="s">
        <v>45</v>
      </c>
      <c r="B197" s="3"/>
      <c r="C197" s="3"/>
      <c r="D197" s="3"/>
      <c r="E197" s="3"/>
      <c r="F197" s="3"/>
      <c r="G197" s="2"/>
      <c r="H197" s="1"/>
      <c r="I197" s="1"/>
      <c r="J197" s="2"/>
    </row>
    <row r="198" spans="1:10" ht="13.5" customHeight="1">
      <c r="A198" s="3"/>
      <c r="B198" s="3"/>
      <c r="C198" s="3"/>
      <c r="D198" s="3"/>
      <c r="E198" s="3"/>
      <c r="F198" s="3"/>
      <c r="G198" s="2"/>
      <c r="H198" s="1"/>
      <c r="I198" s="1"/>
      <c r="J198" s="2"/>
    </row>
    <row r="199" spans="1:10" ht="13.5" customHeight="1">
      <c r="A199" s="3"/>
      <c r="B199" s="3" t="s">
        <v>47</v>
      </c>
      <c r="C199" s="3"/>
      <c r="D199" s="3"/>
      <c r="E199" s="3" t="s">
        <v>48</v>
      </c>
      <c r="F199" s="3"/>
      <c r="G199" s="3"/>
      <c r="H199" s="3" t="s">
        <v>49</v>
      </c>
      <c r="I199" s="3"/>
      <c r="J199" s="2"/>
    </row>
    <row r="200" spans="1:10" ht="13.5" customHeight="1">
      <c r="A200" s="184" t="s">
        <v>0</v>
      </c>
      <c r="B200" s="185"/>
      <c r="C200" s="185"/>
      <c r="D200" s="185"/>
      <c r="E200" s="185"/>
      <c r="F200" s="185"/>
      <c r="G200" s="185"/>
      <c r="H200" s="185"/>
      <c r="I200" s="185"/>
      <c r="J200" s="186"/>
    </row>
    <row r="201" spans="1:10" ht="13.5" customHeight="1">
      <c r="A201" s="187" t="s">
        <v>1</v>
      </c>
      <c r="B201" s="188"/>
      <c r="C201" s="188"/>
      <c r="D201" s="188"/>
      <c r="E201" s="188"/>
      <c r="F201" s="188"/>
      <c r="G201" s="188"/>
      <c r="H201" s="188"/>
      <c r="I201" s="188"/>
      <c r="J201" s="189"/>
    </row>
    <row r="202" spans="1:10" ht="13.5" customHeight="1">
      <c r="A202" s="1" t="s">
        <v>2</v>
      </c>
      <c r="B202" s="1"/>
      <c r="C202" s="209" t="s">
        <v>561</v>
      </c>
      <c r="D202" s="209"/>
      <c r="E202" s="2"/>
      <c r="F202" s="3"/>
      <c r="G202" s="1" t="s">
        <v>4</v>
      </c>
      <c r="H202" s="191" t="s">
        <v>5</v>
      </c>
      <c r="I202" s="191"/>
      <c r="J202" s="191"/>
    </row>
    <row r="203" spans="1:10" ht="13.5" customHeight="1">
      <c r="A203" s="1" t="s">
        <v>6</v>
      </c>
      <c r="B203" s="1"/>
      <c r="C203" s="196" t="s">
        <v>579</v>
      </c>
      <c r="D203" s="196"/>
      <c r="E203" s="7"/>
      <c r="F203" s="3"/>
      <c r="G203" s="1" t="s">
        <v>8</v>
      </c>
      <c r="H203" s="193" t="s">
        <v>9</v>
      </c>
      <c r="I203" s="193"/>
      <c r="J203" s="193"/>
    </row>
    <row r="204" spans="1:10" ht="13.5" customHeight="1">
      <c r="A204" s="6" t="s">
        <v>10</v>
      </c>
      <c r="B204" s="6"/>
      <c r="C204" s="278" t="s">
        <v>580</v>
      </c>
      <c r="D204" s="209"/>
      <c r="E204" s="2"/>
      <c r="F204" s="3"/>
      <c r="G204" s="1" t="s">
        <v>12</v>
      </c>
      <c r="H204" s="195" t="s">
        <v>13</v>
      </c>
      <c r="I204" s="195"/>
      <c r="J204" s="195"/>
    </row>
    <row r="205" spans="1:10" ht="13.5" customHeight="1">
      <c r="A205" s="6" t="s">
        <v>14</v>
      </c>
      <c r="B205" s="6"/>
      <c r="C205" s="2" t="s">
        <v>15</v>
      </c>
      <c r="D205" s="2"/>
      <c r="E205" s="2"/>
      <c r="F205" s="3"/>
      <c r="G205" s="1" t="s">
        <v>16</v>
      </c>
      <c r="H205" s="196" t="s">
        <v>140</v>
      </c>
      <c r="I205" s="196"/>
      <c r="J205" s="196"/>
    </row>
    <row r="206" spans="1:10" ht="13.5" customHeight="1">
      <c r="A206" s="6">
        <v>30</v>
      </c>
      <c r="B206" s="6"/>
      <c r="C206" s="2">
        <f>A206-I206</f>
        <v>0</v>
      </c>
      <c r="D206" s="2"/>
      <c r="E206" s="2"/>
      <c r="F206" s="3"/>
      <c r="G206" s="8" t="s">
        <v>18</v>
      </c>
      <c r="H206" s="8"/>
      <c r="I206" s="9">
        <v>30</v>
      </c>
      <c r="J206" s="9"/>
    </row>
    <row r="207" spans="1:10" ht="13.5" customHeight="1">
      <c r="A207" s="198" t="s">
        <v>19</v>
      </c>
      <c r="B207" s="199"/>
      <c r="C207" s="200"/>
      <c r="D207" s="13" t="s">
        <v>20</v>
      </c>
      <c r="E207" s="14" t="s">
        <v>21</v>
      </c>
      <c r="F207" s="15"/>
      <c r="G207" s="16" t="s">
        <v>20</v>
      </c>
      <c r="H207" s="201" t="s">
        <v>22</v>
      </c>
      <c r="I207" s="202"/>
      <c r="J207" s="203"/>
    </row>
    <row r="208" spans="1:10" ht="13.5" customHeight="1">
      <c r="A208" s="17" t="s">
        <v>23</v>
      </c>
      <c r="B208" s="1"/>
      <c r="C208" s="1"/>
      <c r="D208" s="2">
        <v>30000</v>
      </c>
      <c r="E208" s="17" t="s">
        <v>24</v>
      </c>
      <c r="F208" s="1"/>
      <c r="G208" s="2" t="s">
        <v>25</v>
      </c>
      <c r="H208" s="18" t="s">
        <v>26</v>
      </c>
      <c r="I208" s="23"/>
      <c r="J208" s="24"/>
    </row>
    <row r="209" spans="1:10" ht="13.5" customHeight="1">
      <c r="A209" s="17" t="s">
        <v>77</v>
      </c>
      <c r="B209" s="228" t="s">
        <v>320</v>
      </c>
      <c r="C209" s="228"/>
      <c r="D209" s="2">
        <v>2000</v>
      </c>
      <c r="E209" s="17" t="s">
        <v>28</v>
      </c>
      <c r="F209" s="1"/>
      <c r="G209" s="2" t="s">
        <v>25</v>
      </c>
      <c r="H209" s="18" t="s">
        <v>29</v>
      </c>
      <c r="I209" s="23"/>
      <c r="J209" s="24"/>
    </row>
    <row r="210" spans="1:10" ht="13.5" customHeight="1">
      <c r="A210" s="17" t="s">
        <v>30</v>
      </c>
      <c r="B210" s="1"/>
      <c r="C210" s="1"/>
      <c r="D210" s="2" t="s">
        <v>25</v>
      </c>
      <c r="E210" s="17" t="s">
        <v>52</v>
      </c>
      <c r="F210" s="1"/>
      <c r="G210" s="2">
        <v>60</v>
      </c>
      <c r="H210" s="18" t="s">
        <v>32</v>
      </c>
      <c r="I210" s="23"/>
      <c r="J210" s="24"/>
    </row>
    <row r="211" spans="1:10" ht="13.5" customHeight="1">
      <c r="A211" s="17" t="s">
        <v>581</v>
      </c>
      <c r="B211" s="1"/>
      <c r="C211" s="1"/>
      <c r="D211" s="2">
        <v>5000</v>
      </c>
      <c r="E211" s="17" t="s">
        <v>71</v>
      </c>
      <c r="F211" s="1"/>
      <c r="G211" s="2" t="s">
        <v>25</v>
      </c>
      <c r="H211" s="18"/>
      <c r="I211" s="6"/>
      <c r="J211" s="19"/>
    </row>
    <row r="212" spans="1:10" ht="13.5" customHeight="1">
      <c r="A212" s="17" t="s">
        <v>27</v>
      </c>
      <c r="B212" s="1"/>
      <c r="C212" s="1"/>
      <c r="D212" s="2" t="s">
        <v>25</v>
      </c>
      <c r="E212" s="17" t="s">
        <v>1108</v>
      </c>
      <c r="F212" s="1"/>
      <c r="G212" s="2">
        <v>2000</v>
      </c>
      <c r="H212" s="18" t="s">
        <v>582</v>
      </c>
      <c r="I212" s="6"/>
      <c r="J212" s="26"/>
    </row>
    <row r="213" spans="1:10" ht="13.5" customHeight="1">
      <c r="A213" s="17" t="s">
        <v>136</v>
      </c>
      <c r="B213" s="1"/>
      <c r="C213" s="1"/>
      <c r="D213" s="2" t="s">
        <v>25</v>
      </c>
      <c r="E213" s="17" t="s">
        <v>39</v>
      </c>
      <c r="F213" s="1"/>
      <c r="G213" s="2">
        <v>100</v>
      </c>
      <c r="H213" s="18" t="s">
        <v>583</v>
      </c>
      <c r="I213" s="6"/>
      <c r="J213" s="26"/>
    </row>
    <row r="214" spans="1:10" ht="13.5" customHeight="1">
      <c r="A214" s="18" t="s">
        <v>40</v>
      </c>
      <c r="B214" s="6"/>
      <c r="C214" s="6"/>
      <c r="D214" s="2" t="s">
        <v>25</v>
      </c>
      <c r="E214" s="17" t="s">
        <v>78</v>
      </c>
      <c r="F214" s="1"/>
      <c r="G214" s="2" t="s">
        <v>25</v>
      </c>
      <c r="H214" s="18"/>
      <c r="I214" s="6"/>
      <c r="J214" s="26"/>
    </row>
    <row r="215" spans="1:10" ht="13.5" customHeight="1">
      <c r="A215" s="204" t="s">
        <v>63</v>
      </c>
      <c r="B215" s="205"/>
      <c r="C215" s="206"/>
      <c r="D215" s="229">
        <f>SUM(D208:D214)</f>
        <v>37000</v>
      </c>
      <c r="E215" s="1" t="s">
        <v>43</v>
      </c>
      <c r="F215" s="1"/>
      <c r="G215" s="2" t="s">
        <v>25</v>
      </c>
      <c r="H215" s="18"/>
      <c r="I215" s="6"/>
      <c r="J215" s="19"/>
    </row>
    <row r="216" spans="1:10" ht="13.5" customHeight="1">
      <c r="A216" s="207"/>
      <c r="B216" s="197"/>
      <c r="C216" s="208"/>
      <c r="D216" s="230"/>
      <c r="E216" s="21" t="s">
        <v>21</v>
      </c>
      <c r="F216" s="22"/>
      <c r="G216" s="13">
        <f>SUM(G208:G215)</f>
        <v>2160</v>
      </c>
      <c r="H216" s="21" t="s">
        <v>44</v>
      </c>
      <c r="I216" s="22"/>
      <c r="J216" s="13">
        <f>D215-G216</f>
        <v>34840</v>
      </c>
    </row>
    <row r="217" spans="1:10" ht="13.5" customHeight="1">
      <c r="A217" s="3" t="s">
        <v>45</v>
      </c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3.5" customHeight="1">
      <c r="A219" s="3"/>
      <c r="B219" s="3" t="s">
        <v>47</v>
      </c>
      <c r="C219" s="3"/>
      <c r="D219" s="3"/>
      <c r="E219" s="3" t="s">
        <v>48</v>
      </c>
      <c r="F219" s="3"/>
      <c r="G219" s="3"/>
      <c r="H219" s="3" t="s">
        <v>49</v>
      </c>
      <c r="I219" s="3"/>
      <c r="J219" s="3"/>
    </row>
    <row r="220" spans="1:10" ht="13.5" customHeight="1">
      <c r="A220" s="184" t="s">
        <v>0</v>
      </c>
      <c r="B220" s="185"/>
      <c r="C220" s="185"/>
      <c r="D220" s="185"/>
      <c r="E220" s="185"/>
      <c r="F220" s="185"/>
      <c r="G220" s="185"/>
      <c r="H220" s="185"/>
      <c r="I220" s="185"/>
      <c r="J220" s="186"/>
    </row>
    <row r="221" spans="1:10" ht="13.5" customHeight="1">
      <c r="A221" s="187" t="s">
        <v>1</v>
      </c>
      <c r="B221" s="188"/>
      <c r="C221" s="188"/>
      <c r="D221" s="188"/>
      <c r="E221" s="188"/>
      <c r="F221" s="188"/>
      <c r="G221" s="188"/>
      <c r="H221" s="188"/>
      <c r="I221" s="188"/>
      <c r="J221" s="189"/>
    </row>
    <row r="222" spans="1:10" ht="13.5" customHeight="1">
      <c r="A222" s="1" t="s">
        <v>2</v>
      </c>
      <c r="B222" s="1"/>
      <c r="C222" s="209" t="s">
        <v>561</v>
      </c>
      <c r="D222" s="209"/>
      <c r="E222" s="2"/>
      <c r="F222" s="3"/>
      <c r="G222" s="1" t="s">
        <v>4</v>
      </c>
      <c r="H222" s="191" t="s">
        <v>5</v>
      </c>
      <c r="I222" s="191"/>
      <c r="J222" s="191"/>
    </row>
    <row r="223" spans="1:10" ht="13.5" customHeight="1">
      <c r="A223" s="1" t="s">
        <v>6</v>
      </c>
      <c r="B223" s="1"/>
      <c r="C223" s="196" t="s">
        <v>584</v>
      </c>
      <c r="D223" s="196"/>
      <c r="E223" s="7"/>
      <c r="F223" s="3"/>
      <c r="G223" s="1" t="s">
        <v>8</v>
      </c>
      <c r="H223" s="193" t="s">
        <v>9</v>
      </c>
      <c r="I223" s="193"/>
      <c r="J223" s="193"/>
    </row>
    <row r="224" spans="1:10" ht="13.5" customHeight="1">
      <c r="A224" s="6" t="s">
        <v>10</v>
      </c>
      <c r="B224" s="6"/>
      <c r="C224" s="278" t="s">
        <v>580</v>
      </c>
      <c r="D224" s="209"/>
      <c r="E224" s="2"/>
      <c r="F224" s="3"/>
      <c r="G224" s="1" t="s">
        <v>12</v>
      </c>
      <c r="H224" s="195" t="s">
        <v>13</v>
      </c>
      <c r="I224" s="195"/>
      <c r="J224" s="195"/>
    </row>
    <row r="225" spans="1:10" ht="13.5" customHeight="1">
      <c r="A225" s="6" t="s">
        <v>14</v>
      </c>
      <c r="B225" s="6"/>
      <c r="C225" s="2" t="s">
        <v>15</v>
      </c>
      <c r="D225" s="2"/>
      <c r="E225" s="2"/>
      <c r="F225" s="3"/>
      <c r="G225" s="1" t="s">
        <v>16</v>
      </c>
      <c r="H225" s="196" t="s">
        <v>140</v>
      </c>
      <c r="I225" s="196"/>
      <c r="J225" s="196"/>
    </row>
    <row r="226" spans="1:10" ht="13.5" customHeight="1">
      <c r="A226" s="6">
        <v>30</v>
      </c>
      <c r="B226" s="6"/>
      <c r="C226" s="2">
        <f>A226-I226</f>
        <v>11</v>
      </c>
      <c r="D226" s="2"/>
      <c r="E226" s="2"/>
      <c r="F226" s="3"/>
      <c r="G226" s="8" t="s">
        <v>18</v>
      </c>
      <c r="H226" s="8"/>
      <c r="I226" s="9">
        <v>19</v>
      </c>
      <c r="J226" s="9"/>
    </row>
    <row r="227" spans="1:10" ht="13.5" customHeight="1">
      <c r="A227" s="198" t="s">
        <v>19</v>
      </c>
      <c r="B227" s="199"/>
      <c r="C227" s="200"/>
      <c r="D227" s="13" t="s">
        <v>20</v>
      </c>
      <c r="E227" s="14" t="s">
        <v>21</v>
      </c>
      <c r="F227" s="15"/>
      <c r="G227" s="16" t="s">
        <v>20</v>
      </c>
      <c r="H227" s="201" t="s">
        <v>22</v>
      </c>
      <c r="I227" s="202"/>
      <c r="J227" s="203"/>
    </row>
    <row r="228" spans="1:10" ht="13.5" customHeight="1">
      <c r="A228" s="17" t="s">
        <v>23</v>
      </c>
      <c r="B228" s="1"/>
      <c r="C228" s="1"/>
      <c r="D228" s="2">
        <v>25000</v>
      </c>
      <c r="E228" s="17" t="s">
        <v>585</v>
      </c>
      <c r="F228" s="1"/>
      <c r="G228" s="2" t="s">
        <v>25</v>
      </c>
      <c r="H228" s="18" t="s">
        <v>26</v>
      </c>
      <c r="I228" s="23"/>
      <c r="J228" s="24"/>
    </row>
    <row r="229" spans="1:10" ht="13.5" customHeight="1">
      <c r="A229" s="17" t="s">
        <v>77</v>
      </c>
      <c r="B229" s="228"/>
      <c r="C229" s="228"/>
      <c r="D229" s="2" t="s">
        <v>25</v>
      </c>
      <c r="E229" s="17" t="s">
        <v>28</v>
      </c>
      <c r="F229" s="1"/>
      <c r="G229" s="2" t="s">
        <v>25</v>
      </c>
      <c r="H229" s="18" t="s">
        <v>29</v>
      </c>
      <c r="I229" s="23"/>
      <c r="J229" s="24"/>
    </row>
    <row r="230" spans="1:10" ht="13.5" customHeight="1">
      <c r="A230" s="17" t="s">
        <v>30</v>
      </c>
      <c r="B230" s="1"/>
      <c r="C230" s="1"/>
      <c r="D230" s="2" t="s">
        <v>25</v>
      </c>
      <c r="E230" s="17" t="s">
        <v>58</v>
      </c>
      <c r="F230" s="1"/>
      <c r="G230" s="2" t="s">
        <v>25</v>
      </c>
      <c r="H230" s="18" t="s">
        <v>32</v>
      </c>
      <c r="I230" s="23"/>
      <c r="J230" s="24"/>
    </row>
    <row r="231" spans="1:10" ht="13.5" customHeight="1">
      <c r="A231" s="17" t="s">
        <v>581</v>
      </c>
      <c r="B231" s="1"/>
      <c r="C231" s="1"/>
      <c r="D231" s="2">
        <v>5000</v>
      </c>
      <c r="E231" s="17" t="s">
        <v>71</v>
      </c>
      <c r="F231" s="1"/>
      <c r="G231" s="2">
        <v>9167</v>
      </c>
      <c r="H231" s="18"/>
      <c r="I231" s="6"/>
      <c r="J231" s="19"/>
    </row>
    <row r="232" spans="1:10" ht="13.5" customHeight="1">
      <c r="A232" s="17" t="s">
        <v>586</v>
      </c>
      <c r="B232" s="1"/>
      <c r="C232" s="1"/>
      <c r="D232" s="2" t="s">
        <v>25</v>
      </c>
      <c r="E232" s="17" t="s">
        <v>61</v>
      </c>
      <c r="F232" s="1"/>
      <c r="G232" s="2" t="s">
        <v>25</v>
      </c>
      <c r="H232" s="18"/>
      <c r="I232" s="6"/>
      <c r="J232" s="26"/>
    </row>
    <row r="233" spans="1:10" ht="13.5" customHeight="1">
      <c r="A233" s="17" t="s">
        <v>136</v>
      </c>
      <c r="B233" s="1"/>
      <c r="C233" s="1"/>
      <c r="D233" s="2" t="s">
        <v>25</v>
      </c>
      <c r="E233" s="17" t="s">
        <v>39</v>
      </c>
      <c r="F233" s="1"/>
      <c r="G233" s="2">
        <v>100</v>
      </c>
      <c r="H233" s="18"/>
      <c r="I233" s="6"/>
      <c r="J233" s="26"/>
    </row>
    <row r="234" spans="1:10" ht="13.5" customHeight="1">
      <c r="A234" s="18" t="s">
        <v>40</v>
      </c>
      <c r="B234" s="6"/>
      <c r="C234" s="6"/>
      <c r="D234" s="2" t="s">
        <v>25</v>
      </c>
      <c r="E234" s="17" t="s">
        <v>78</v>
      </c>
      <c r="F234" s="1"/>
      <c r="G234" s="2" t="s">
        <v>25</v>
      </c>
      <c r="H234" s="18"/>
      <c r="I234" s="6"/>
      <c r="J234" s="26"/>
    </row>
    <row r="235" spans="1:10" ht="13.5" customHeight="1">
      <c r="A235" s="204" t="s">
        <v>63</v>
      </c>
      <c r="B235" s="205"/>
      <c r="C235" s="206"/>
      <c r="D235" s="229">
        <f>SUM(D228:D234)</f>
        <v>30000</v>
      </c>
      <c r="E235" s="1" t="s">
        <v>43</v>
      </c>
      <c r="F235" s="1"/>
      <c r="G235" s="2" t="s">
        <v>25</v>
      </c>
      <c r="H235" s="18"/>
      <c r="I235" s="6"/>
      <c r="J235" s="19"/>
    </row>
    <row r="236" spans="1:10" ht="13.5" customHeight="1">
      <c r="A236" s="207"/>
      <c r="B236" s="197"/>
      <c r="C236" s="208"/>
      <c r="D236" s="230"/>
      <c r="E236" s="21" t="s">
        <v>21</v>
      </c>
      <c r="F236" s="22"/>
      <c r="G236" s="13">
        <f>SUM(G228:G235)</f>
        <v>9267</v>
      </c>
      <c r="H236" s="21" t="s">
        <v>44</v>
      </c>
      <c r="I236" s="22"/>
      <c r="J236" s="13">
        <f>D235-G236</f>
        <v>20733</v>
      </c>
    </row>
    <row r="237" spans="1:10" ht="13.5" customHeight="1">
      <c r="A237" s="3" t="s">
        <v>45</v>
      </c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3.5" customHeight="1">
      <c r="A239" s="3"/>
      <c r="B239" s="3" t="s">
        <v>47</v>
      </c>
      <c r="C239" s="3"/>
      <c r="D239" s="3"/>
      <c r="E239" s="3" t="s">
        <v>48</v>
      </c>
      <c r="F239" s="3"/>
      <c r="G239" s="3"/>
      <c r="H239" s="3" t="s">
        <v>49</v>
      </c>
      <c r="I239" s="3"/>
      <c r="J239" s="3"/>
    </row>
    <row r="240" spans="1:10" ht="13.5" customHeight="1">
      <c r="A240" s="184" t="s">
        <v>0</v>
      </c>
      <c r="B240" s="185"/>
      <c r="C240" s="185"/>
      <c r="D240" s="185"/>
      <c r="E240" s="185"/>
      <c r="F240" s="185"/>
      <c r="G240" s="185"/>
      <c r="H240" s="185"/>
      <c r="I240" s="185"/>
      <c r="J240" s="186"/>
    </row>
    <row r="241" spans="1:10" ht="13.5" customHeight="1">
      <c r="A241" s="187" t="s">
        <v>1</v>
      </c>
      <c r="B241" s="188"/>
      <c r="C241" s="188"/>
      <c r="D241" s="188"/>
      <c r="E241" s="188"/>
      <c r="F241" s="188"/>
      <c r="G241" s="188"/>
      <c r="H241" s="188"/>
      <c r="I241" s="188"/>
      <c r="J241" s="189"/>
    </row>
    <row r="242" spans="1:10" ht="13.5" customHeight="1">
      <c r="A242" s="1" t="s">
        <v>2</v>
      </c>
      <c r="B242" s="1"/>
      <c r="C242" s="194" t="s">
        <v>587</v>
      </c>
      <c r="D242" s="194"/>
      <c r="E242" s="2"/>
      <c r="F242" s="3"/>
      <c r="G242" s="1" t="s">
        <v>4</v>
      </c>
      <c r="H242" s="191" t="s">
        <v>5</v>
      </c>
      <c r="I242" s="191"/>
      <c r="J242" s="191"/>
    </row>
    <row r="243" spans="1:10" ht="13.5" customHeight="1">
      <c r="A243" s="1" t="s">
        <v>6</v>
      </c>
      <c r="B243" s="1"/>
      <c r="C243" s="192" t="s">
        <v>588</v>
      </c>
      <c r="D243" s="192"/>
      <c r="E243" s="2"/>
      <c r="F243" s="3"/>
      <c r="G243" s="1" t="s">
        <v>8</v>
      </c>
      <c r="H243" s="193" t="s">
        <v>9</v>
      </c>
      <c r="I243" s="193"/>
      <c r="J243" s="193"/>
    </row>
    <row r="244" spans="1:10" ht="13.5" customHeight="1">
      <c r="A244" s="6" t="s">
        <v>10</v>
      </c>
      <c r="B244" s="6"/>
      <c r="C244" s="194" t="s">
        <v>563</v>
      </c>
      <c r="D244" s="194"/>
      <c r="E244" s="2"/>
      <c r="F244" s="3"/>
      <c r="G244" s="1" t="s">
        <v>12</v>
      </c>
      <c r="H244" s="195" t="s">
        <v>13</v>
      </c>
      <c r="I244" s="195"/>
      <c r="J244" s="195"/>
    </row>
    <row r="245" spans="1:10" ht="13.5" customHeight="1">
      <c r="A245" s="2" t="s">
        <v>14</v>
      </c>
      <c r="B245" s="2"/>
      <c r="C245" s="2" t="s">
        <v>15</v>
      </c>
      <c r="D245" s="2"/>
      <c r="E245" s="2"/>
      <c r="F245" s="3"/>
      <c r="G245" s="1" t="s">
        <v>16</v>
      </c>
      <c r="H245" s="196" t="s">
        <v>55</v>
      </c>
      <c r="I245" s="196"/>
      <c r="J245" s="196"/>
    </row>
    <row r="246" spans="1:10" ht="13.5" customHeight="1">
      <c r="A246" s="2">
        <v>30</v>
      </c>
      <c r="B246" s="2"/>
      <c r="C246" s="2">
        <f>A246-H246</f>
        <v>1</v>
      </c>
      <c r="D246" s="2"/>
      <c r="E246" s="2"/>
      <c r="F246" s="3"/>
      <c r="G246" s="8" t="s">
        <v>18</v>
      </c>
      <c r="H246" s="197">
        <v>29</v>
      </c>
      <c r="I246" s="197"/>
      <c r="J246" s="197"/>
    </row>
    <row r="247" spans="1:10" ht="13.5" customHeight="1">
      <c r="A247" s="198" t="s">
        <v>19</v>
      </c>
      <c r="B247" s="199"/>
      <c r="C247" s="200"/>
      <c r="D247" s="13" t="s">
        <v>20</v>
      </c>
      <c r="E247" s="14" t="s">
        <v>21</v>
      </c>
      <c r="F247" s="15"/>
      <c r="G247" s="16" t="s">
        <v>20</v>
      </c>
      <c r="H247" s="201" t="s">
        <v>22</v>
      </c>
      <c r="I247" s="202"/>
      <c r="J247" s="203"/>
    </row>
    <row r="248" spans="1:10" ht="13.5" customHeight="1">
      <c r="A248" s="17" t="s">
        <v>23</v>
      </c>
      <c r="B248" s="1"/>
      <c r="C248" s="1"/>
      <c r="D248" s="2">
        <v>20000</v>
      </c>
      <c r="E248" s="17" t="s">
        <v>24</v>
      </c>
      <c r="F248" s="1"/>
      <c r="G248" s="2" t="s">
        <v>25</v>
      </c>
      <c r="H248" s="18" t="s">
        <v>26</v>
      </c>
      <c r="I248" s="23"/>
      <c r="J248" s="24"/>
    </row>
    <row r="249" spans="1:10" ht="13.5" customHeight="1">
      <c r="A249" s="17" t="s">
        <v>57</v>
      </c>
      <c r="B249" s="209"/>
      <c r="C249" s="209"/>
      <c r="D249" s="2">
        <v>667</v>
      </c>
      <c r="E249" s="17" t="s">
        <v>58</v>
      </c>
      <c r="F249" s="1"/>
      <c r="G249" s="2" t="s">
        <v>25</v>
      </c>
      <c r="H249" s="18" t="s">
        <v>29</v>
      </c>
      <c r="I249" s="23"/>
      <c r="J249" s="24"/>
    </row>
    <row r="250" spans="1:10" ht="13.5" customHeight="1">
      <c r="A250" s="17" t="s">
        <v>30</v>
      </c>
      <c r="B250" s="1"/>
      <c r="C250" s="1"/>
      <c r="D250" s="2">
        <v>1400</v>
      </c>
      <c r="E250" s="17" t="s">
        <v>141</v>
      </c>
      <c r="F250" s="1"/>
      <c r="G250" s="2">
        <v>800</v>
      </c>
      <c r="H250" s="18" t="s">
        <v>32</v>
      </c>
      <c r="I250" s="23"/>
      <c r="J250" s="24"/>
    </row>
    <row r="251" spans="1:10" ht="13.5" customHeight="1">
      <c r="A251" s="17" t="s">
        <v>72</v>
      </c>
      <c r="B251" s="1"/>
      <c r="C251" s="1"/>
      <c r="D251" s="2" t="s">
        <v>25</v>
      </c>
      <c r="E251" s="17" t="s">
        <v>35</v>
      </c>
      <c r="F251" s="1"/>
      <c r="G251" s="2">
        <v>667</v>
      </c>
      <c r="H251" s="18"/>
      <c r="I251" s="6"/>
      <c r="J251" s="19"/>
    </row>
    <row r="252" spans="1:10" ht="13.5" customHeight="1">
      <c r="A252" s="17" t="s">
        <v>345</v>
      </c>
      <c r="B252" s="1"/>
      <c r="C252" s="1"/>
      <c r="D252" s="2" t="s">
        <v>25</v>
      </c>
      <c r="E252" s="17" t="s">
        <v>39</v>
      </c>
      <c r="F252" s="1"/>
      <c r="G252" s="2">
        <v>100</v>
      </c>
      <c r="H252" s="18"/>
      <c r="I252" s="6"/>
      <c r="J252" s="40"/>
    </row>
    <row r="253" spans="1:10" ht="13.5" customHeight="1">
      <c r="A253" s="17" t="s">
        <v>136</v>
      </c>
      <c r="B253" s="1"/>
      <c r="C253" s="1"/>
      <c r="D253" s="2" t="s">
        <v>25</v>
      </c>
      <c r="E253" s="17" t="s">
        <v>61</v>
      </c>
      <c r="F253" s="1"/>
      <c r="G253" s="2" t="s">
        <v>25</v>
      </c>
      <c r="H253" s="18" t="s">
        <v>589</v>
      </c>
      <c r="I253" s="6"/>
      <c r="J253" s="40"/>
    </row>
    <row r="254" spans="1:10" ht="13.5" customHeight="1">
      <c r="A254" s="18" t="s">
        <v>40</v>
      </c>
      <c r="B254" s="6"/>
      <c r="C254" s="6"/>
      <c r="D254" s="2" t="s">
        <v>25</v>
      </c>
      <c r="E254" s="17" t="s">
        <v>41</v>
      </c>
      <c r="F254" s="1"/>
      <c r="G254" s="2" t="s">
        <v>25</v>
      </c>
      <c r="H254" s="18"/>
      <c r="I254" s="6"/>
      <c r="J254" s="19"/>
    </row>
    <row r="255" spans="1:10" ht="13.5" customHeight="1">
      <c r="A255" s="204" t="s">
        <v>63</v>
      </c>
      <c r="B255" s="205"/>
      <c r="C255" s="206"/>
      <c r="D255" s="229">
        <f>SUM(D248:D254)</f>
        <v>22067</v>
      </c>
      <c r="E255" s="1" t="s">
        <v>43</v>
      </c>
      <c r="F255" s="1"/>
      <c r="G255" s="2" t="s">
        <v>25</v>
      </c>
      <c r="H255" s="18"/>
      <c r="I255" s="6"/>
      <c r="J255" s="19"/>
    </row>
    <row r="256" spans="1:10" ht="13.5" customHeight="1">
      <c r="A256" s="207"/>
      <c r="B256" s="197"/>
      <c r="C256" s="208"/>
      <c r="D256" s="230"/>
      <c r="E256" s="21" t="s">
        <v>21</v>
      </c>
      <c r="F256" s="22"/>
      <c r="G256" s="13">
        <f>SUM(G248:G255)</f>
        <v>1567</v>
      </c>
      <c r="H256" s="21" t="s">
        <v>44</v>
      </c>
      <c r="I256" s="22"/>
      <c r="J256" s="13">
        <f>D255-G256</f>
        <v>20500</v>
      </c>
    </row>
    <row r="257" spans="1:10" ht="13.5" customHeight="1">
      <c r="A257" s="3" t="s">
        <v>45</v>
      </c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3.5" customHeight="1"/>
    <row r="259" spans="1:10" ht="13.5" customHeight="1">
      <c r="A259" s="3"/>
      <c r="B259" s="3" t="s">
        <v>47</v>
      </c>
      <c r="C259" s="3"/>
      <c r="D259" s="3"/>
      <c r="E259" s="3" t="s">
        <v>48</v>
      </c>
      <c r="F259" s="3"/>
      <c r="G259" s="3"/>
      <c r="H259" s="3" t="s">
        <v>49</v>
      </c>
      <c r="I259" s="3"/>
      <c r="J259" s="3"/>
    </row>
    <row r="260" spans="1:10" ht="13.5" customHeight="1">
      <c r="A260" s="184" t="s">
        <v>0</v>
      </c>
      <c r="B260" s="185"/>
      <c r="C260" s="185"/>
      <c r="D260" s="185"/>
      <c r="E260" s="185"/>
      <c r="F260" s="185"/>
      <c r="G260" s="185"/>
      <c r="H260" s="185"/>
      <c r="I260" s="185"/>
      <c r="J260" s="186"/>
    </row>
    <row r="261" spans="1:10" ht="13.5" customHeight="1">
      <c r="A261" s="187" t="s">
        <v>1</v>
      </c>
      <c r="B261" s="188"/>
      <c r="C261" s="188"/>
      <c r="D261" s="188"/>
      <c r="E261" s="188"/>
      <c r="F261" s="188"/>
      <c r="G261" s="188"/>
      <c r="H261" s="188"/>
      <c r="I261" s="188"/>
      <c r="J261" s="189"/>
    </row>
    <row r="262" spans="1:10" ht="13.5" customHeight="1">
      <c r="A262" s="1" t="s">
        <v>2</v>
      </c>
      <c r="B262" s="1"/>
      <c r="C262" s="209" t="s">
        <v>590</v>
      </c>
      <c r="D262" s="209"/>
      <c r="E262" s="2"/>
      <c r="F262" s="3"/>
      <c r="G262" s="1" t="s">
        <v>4</v>
      </c>
      <c r="H262" s="191" t="s">
        <v>5</v>
      </c>
      <c r="I262" s="191"/>
      <c r="J262" s="191"/>
    </row>
    <row r="263" spans="1:10" ht="13.5" customHeight="1">
      <c r="A263" s="1" t="s">
        <v>6</v>
      </c>
      <c r="B263" s="1"/>
      <c r="C263" s="196" t="s">
        <v>591</v>
      </c>
      <c r="D263" s="196"/>
      <c r="E263" s="7"/>
      <c r="F263" s="3"/>
      <c r="G263" s="1" t="s">
        <v>8</v>
      </c>
      <c r="H263" s="193" t="s">
        <v>9</v>
      </c>
      <c r="I263" s="193"/>
      <c r="J263" s="193"/>
    </row>
    <row r="264" spans="1:10" ht="13.5" customHeight="1">
      <c r="A264" s="6" t="s">
        <v>10</v>
      </c>
      <c r="B264" s="6"/>
      <c r="C264" s="278" t="s">
        <v>592</v>
      </c>
      <c r="D264" s="209"/>
      <c r="E264" s="2"/>
      <c r="F264" s="3"/>
      <c r="G264" s="1" t="s">
        <v>12</v>
      </c>
      <c r="H264" s="195" t="s">
        <v>13</v>
      </c>
      <c r="I264" s="195"/>
      <c r="J264" s="195"/>
    </row>
    <row r="265" spans="1:10" ht="13.5" customHeight="1">
      <c r="A265" s="6" t="s">
        <v>14</v>
      </c>
      <c r="B265" s="6"/>
      <c r="C265" s="2" t="s">
        <v>15</v>
      </c>
      <c r="D265" s="2"/>
      <c r="E265" s="2"/>
      <c r="F265" s="3"/>
      <c r="G265" s="1" t="s">
        <v>16</v>
      </c>
      <c r="H265" s="196" t="s">
        <v>140</v>
      </c>
      <c r="I265" s="196"/>
      <c r="J265" s="196"/>
    </row>
    <row r="266" spans="1:10" ht="13.5" customHeight="1">
      <c r="A266" s="6">
        <v>30</v>
      </c>
      <c r="B266" s="6"/>
      <c r="C266" s="2">
        <f>A266-I266</f>
        <v>0</v>
      </c>
      <c r="D266" s="2"/>
      <c r="E266" s="2"/>
      <c r="F266" s="3"/>
      <c r="G266" s="8" t="s">
        <v>18</v>
      </c>
      <c r="H266" s="8"/>
      <c r="I266" s="9">
        <v>30</v>
      </c>
      <c r="J266" s="9"/>
    </row>
    <row r="267" spans="1:10" ht="13.5" customHeight="1">
      <c r="A267" s="198" t="s">
        <v>19</v>
      </c>
      <c r="B267" s="199"/>
      <c r="C267" s="200"/>
      <c r="D267" s="13" t="s">
        <v>20</v>
      </c>
      <c r="E267" s="14" t="s">
        <v>21</v>
      </c>
      <c r="F267" s="15"/>
      <c r="G267" s="16" t="s">
        <v>20</v>
      </c>
      <c r="H267" s="201" t="s">
        <v>22</v>
      </c>
      <c r="I267" s="202"/>
      <c r="J267" s="203"/>
    </row>
    <row r="268" spans="1:10" ht="13.5" customHeight="1">
      <c r="A268" s="17" t="s">
        <v>23</v>
      </c>
      <c r="B268" s="1"/>
      <c r="C268" s="1"/>
      <c r="D268" s="2">
        <v>18000</v>
      </c>
      <c r="E268" s="17" t="s">
        <v>24</v>
      </c>
      <c r="F268" s="1"/>
      <c r="G268" s="2" t="s">
        <v>25</v>
      </c>
      <c r="H268" s="18" t="s">
        <v>26</v>
      </c>
      <c r="I268" s="23"/>
      <c r="J268" s="24"/>
    </row>
    <row r="269" spans="1:10" ht="13.5" customHeight="1">
      <c r="A269" s="17" t="s">
        <v>77</v>
      </c>
      <c r="B269" s="228"/>
      <c r="C269" s="228"/>
      <c r="D269" s="2" t="s">
        <v>25</v>
      </c>
      <c r="E269" s="17" t="s">
        <v>58</v>
      </c>
      <c r="F269" s="1"/>
      <c r="G269" s="2" t="s">
        <v>25</v>
      </c>
      <c r="H269" s="18" t="s">
        <v>29</v>
      </c>
      <c r="I269" s="23"/>
      <c r="J269" s="24"/>
    </row>
    <row r="270" spans="1:10" ht="13.5" customHeight="1">
      <c r="A270" s="17" t="s">
        <v>30</v>
      </c>
      <c r="B270" s="1"/>
      <c r="C270" s="1"/>
      <c r="D270" s="2">
        <v>600</v>
      </c>
      <c r="E270" s="17" t="s">
        <v>141</v>
      </c>
      <c r="F270" s="1"/>
      <c r="G270" s="2" t="s">
        <v>25</v>
      </c>
      <c r="H270" s="18" t="s">
        <v>32</v>
      </c>
      <c r="I270" s="23"/>
      <c r="J270" s="24"/>
    </row>
    <row r="271" spans="1:10" ht="13.5" customHeight="1">
      <c r="A271" s="17" t="s">
        <v>34</v>
      </c>
      <c r="B271" s="1"/>
      <c r="C271" s="1"/>
      <c r="D271" s="2" t="s">
        <v>25</v>
      </c>
      <c r="E271" s="17" t="s">
        <v>71</v>
      </c>
      <c r="F271" s="1"/>
      <c r="G271" s="2" t="s">
        <v>25</v>
      </c>
      <c r="H271" s="18"/>
      <c r="I271" s="6"/>
      <c r="J271" s="19"/>
    </row>
    <row r="272" spans="1:10" ht="13.5" customHeight="1">
      <c r="A272" s="17" t="s">
        <v>78</v>
      </c>
      <c r="B272" s="1"/>
      <c r="C272" s="1"/>
      <c r="D272" s="2" t="s">
        <v>25</v>
      </c>
      <c r="E272" s="17" t="s">
        <v>61</v>
      </c>
      <c r="F272" s="1"/>
      <c r="G272" s="2" t="s">
        <v>25</v>
      </c>
      <c r="H272" s="18"/>
      <c r="I272" s="6"/>
      <c r="J272" s="26"/>
    </row>
    <row r="273" spans="1:10" ht="13.5" customHeight="1">
      <c r="A273" s="17" t="s">
        <v>136</v>
      </c>
      <c r="B273" s="1"/>
      <c r="C273" s="1"/>
      <c r="D273" s="2" t="s">
        <v>25</v>
      </c>
      <c r="E273" s="17" t="s">
        <v>39</v>
      </c>
      <c r="F273" s="1"/>
      <c r="G273" s="2">
        <v>100</v>
      </c>
      <c r="H273" s="18"/>
      <c r="I273" s="6"/>
      <c r="J273" s="26"/>
    </row>
    <row r="274" spans="1:10" ht="13.5" customHeight="1">
      <c r="A274" s="18" t="s">
        <v>40</v>
      </c>
      <c r="B274" s="6"/>
      <c r="C274" s="6"/>
      <c r="D274" s="2" t="s">
        <v>25</v>
      </c>
      <c r="E274" s="17" t="s">
        <v>78</v>
      </c>
      <c r="F274" s="1"/>
      <c r="G274" s="2" t="s">
        <v>25</v>
      </c>
      <c r="H274" s="18"/>
      <c r="I274" s="6"/>
      <c r="J274" s="26"/>
    </row>
    <row r="275" spans="1:10" ht="13.5" customHeight="1">
      <c r="A275" s="204" t="s">
        <v>63</v>
      </c>
      <c r="B275" s="205"/>
      <c r="C275" s="206"/>
      <c r="D275" s="229">
        <f>SUM(D268:D274)</f>
        <v>18600</v>
      </c>
      <c r="E275" s="1" t="s">
        <v>43</v>
      </c>
      <c r="F275" s="1"/>
      <c r="G275" s="2" t="s">
        <v>25</v>
      </c>
      <c r="H275" s="18"/>
      <c r="I275" s="6"/>
      <c r="J275" s="19"/>
    </row>
    <row r="276" spans="1:10" ht="13.5" customHeight="1">
      <c r="A276" s="207"/>
      <c r="B276" s="197"/>
      <c r="C276" s="208"/>
      <c r="D276" s="230"/>
      <c r="E276" s="21" t="s">
        <v>21</v>
      </c>
      <c r="F276" s="22"/>
      <c r="G276" s="13">
        <f>SUM(G268:G275)</f>
        <v>100</v>
      </c>
      <c r="H276" s="21" t="s">
        <v>44</v>
      </c>
      <c r="I276" s="22"/>
      <c r="J276" s="13">
        <f>D275-G276</f>
        <v>18500</v>
      </c>
    </row>
    <row r="277" spans="1:10" ht="13.5" customHeight="1">
      <c r="A277" s="3" t="s">
        <v>45</v>
      </c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3.5" customHeight="1">
      <c r="A279" s="3"/>
      <c r="B279" s="3" t="s">
        <v>47</v>
      </c>
      <c r="C279" s="3"/>
      <c r="D279" s="3"/>
      <c r="E279" s="3" t="s">
        <v>48</v>
      </c>
      <c r="F279" s="3"/>
      <c r="G279" s="3"/>
      <c r="H279" s="3" t="s">
        <v>49</v>
      </c>
      <c r="I279" s="3"/>
      <c r="J279" s="3"/>
    </row>
    <row r="280" spans="1:10" ht="13.5" customHeight="1">
      <c r="A280" s="184" t="s">
        <v>0</v>
      </c>
      <c r="B280" s="185"/>
      <c r="C280" s="185"/>
      <c r="D280" s="185"/>
      <c r="E280" s="185"/>
      <c r="F280" s="185"/>
      <c r="G280" s="185"/>
      <c r="H280" s="185"/>
      <c r="I280" s="185"/>
      <c r="J280" s="186"/>
    </row>
    <row r="281" spans="1:10" ht="13.5" customHeight="1">
      <c r="A281" s="187" t="s">
        <v>1</v>
      </c>
      <c r="B281" s="188"/>
      <c r="C281" s="188"/>
      <c r="D281" s="188"/>
      <c r="E281" s="188"/>
      <c r="F281" s="188"/>
      <c r="G281" s="188"/>
      <c r="H281" s="188"/>
      <c r="I281" s="188"/>
      <c r="J281" s="189"/>
    </row>
    <row r="282" spans="1:10" ht="13.5" customHeight="1">
      <c r="A282" s="1" t="s">
        <v>2</v>
      </c>
      <c r="B282" s="1"/>
      <c r="C282" s="194" t="s">
        <v>587</v>
      </c>
      <c r="D282" s="194"/>
      <c r="E282" s="2"/>
      <c r="F282" s="3"/>
      <c r="G282" s="1" t="s">
        <v>4</v>
      </c>
      <c r="H282" s="191" t="s">
        <v>5</v>
      </c>
      <c r="I282" s="191"/>
      <c r="J282" s="191"/>
    </row>
    <row r="283" spans="1:10" ht="13.5" customHeight="1">
      <c r="A283" s="1" t="s">
        <v>6</v>
      </c>
      <c r="B283" s="1"/>
      <c r="C283" s="192" t="s">
        <v>593</v>
      </c>
      <c r="D283" s="192"/>
      <c r="E283" s="2"/>
      <c r="F283" s="3"/>
      <c r="G283" s="1" t="s">
        <v>8</v>
      </c>
      <c r="H283" s="193" t="s">
        <v>9</v>
      </c>
      <c r="I283" s="193"/>
      <c r="J283" s="193"/>
    </row>
    <row r="284" spans="1:10" ht="13.5" customHeight="1">
      <c r="A284" s="6" t="s">
        <v>10</v>
      </c>
      <c r="B284" s="6"/>
      <c r="C284" s="194" t="s">
        <v>594</v>
      </c>
      <c r="D284" s="194"/>
      <c r="E284" s="2"/>
      <c r="F284" s="3"/>
      <c r="G284" s="1" t="s">
        <v>12</v>
      </c>
      <c r="H284" s="195" t="s">
        <v>13</v>
      </c>
      <c r="I284" s="195"/>
      <c r="J284" s="195"/>
    </row>
    <row r="285" spans="1:10" ht="13.5" customHeight="1">
      <c r="A285" s="2" t="s">
        <v>14</v>
      </c>
      <c r="B285" s="2"/>
      <c r="C285" s="2" t="s">
        <v>15</v>
      </c>
      <c r="D285" s="2"/>
      <c r="E285" s="2"/>
      <c r="F285" s="3"/>
      <c r="G285" s="1" t="s">
        <v>16</v>
      </c>
      <c r="H285" s="196" t="s">
        <v>202</v>
      </c>
      <c r="I285" s="196"/>
      <c r="J285" s="196"/>
    </row>
    <row r="286" spans="1:10" ht="13.5" customHeight="1">
      <c r="A286" s="2">
        <v>30</v>
      </c>
      <c r="B286" s="2"/>
      <c r="C286" s="2">
        <f>A286-H286</f>
        <v>0</v>
      </c>
      <c r="D286" s="2"/>
      <c r="E286" s="2"/>
      <c r="F286" s="3"/>
      <c r="G286" s="8" t="s">
        <v>18</v>
      </c>
      <c r="H286" s="197">
        <v>30</v>
      </c>
      <c r="I286" s="197"/>
      <c r="J286" s="197"/>
    </row>
    <row r="287" spans="1:10" ht="13.5" customHeight="1">
      <c r="A287" s="198" t="s">
        <v>19</v>
      </c>
      <c r="B287" s="199"/>
      <c r="C287" s="200"/>
      <c r="D287" s="13" t="s">
        <v>20</v>
      </c>
      <c r="E287" s="14" t="s">
        <v>21</v>
      </c>
      <c r="F287" s="15"/>
      <c r="G287" s="16" t="s">
        <v>20</v>
      </c>
      <c r="H287" s="201" t="s">
        <v>22</v>
      </c>
      <c r="I287" s="202"/>
      <c r="J287" s="203"/>
    </row>
    <row r="288" spans="1:10" ht="13.5" customHeight="1">
      <c r="A288" s="17" t="s">
        <v>23</v>
      </c>
      <c r="B288" s="1"/>
      <c r="C288" s="1"/>
      <c r="D288" s="2">
        <v>18000</v>
      </c>
      <c r="E288" s="17" t="s">
        <v>24</v>
      </c>
      <c r="F288" s="1"/>
      <c r="G288" s="2" t="s">
        <v>25</v>
      </c>
      <c r="H288" s="18" t="s">
        <v>26</v>
      </c>
      <c r="I288" s="23"/>
      <c r="J288" s="24"/>
    </row>
    <row r="289" spans="1:10" ht="13.5" customHeight="1">
      <c r="A289" s="17" t="s">
        <v>57</v>
      </c>
      <c r="B289" s="209" t="s">
        <v>320</v>
      </c>
      <c r="C289" s="209"/>
      <c r="D289" s="2">
        <v>1200</v>
      </c>
      <c r="E289" s="17" t="s">
        <v>58</v>
      </c>
      <c r="F289" s="1"/>
      <c r="G289" s="2" t="s">
        <v>25</v>
      </c>
      <c r="H289" s="18" t="s">
        <v>29</v>
      </c>
      <c r="I289" s="23"/>
      <c r="J289" s="24"/>
    </row>
    <row r="290" spans="1:10" ht="13.5" customHeight="1">
      <c r="A290" s="17" t="s">
        <v>30</v>
      </c>
      <c r="B290" s="1"/>
      <c r="C290" s="1"/>
      <c r="D290" s="2">
        <v>200</v>
      </c>
      <c r="E290" s="17" t="s">
        <v>141</v>
      </c>
      <c r="F290" s="1"/>
      <c r="G290" s="2">
        <v>800</v>
      </c>
      <c r="H290" s="18" t="s">
        <v>32</v>
      </c>
      <c r="I290" s="23"/>
      <c r="J290" s="24"/>
    </row>
    <row r="291" spans="1:10" ht="13.5" customHeight="1">
      <c r="A291" s="17" t="s">
        <v>72</v>
      </c>
      <c r="B291" s="1"/>
      <c r="C291" s="1"/>
      <c r="D291" s="2" t="s">
        <v>25</v>
      </c>
      <c r="E291" s="17" t="s">
        <v>35</v>
      </c>
      <c r="F291" s="1"/>
      <c r="G291" s="2" t="s">
        <v>25</v>
      </c>
      <c r="H291" s="18"/>
      <c r="I291" s="6"/>
      <c r="J291" s="19"/>
    </row>
    <row r="292" spans="1:10" ht="13.5" customHeight="1">
      <c r="A292" s="17" t="s">
        <v>345</v>
      </c>
      <c r="B292" s="1"/>
      <c r="C292" s="1"/>
      <c r="D292" s="2" t="s">
        <v>25</v>
      </c>
      <c r="E292" s="17" t="s">
        <v>39</v>
      </c>
      <c r="F292" s="1"/>
      <c r="G292" s="2">
        <v>100</v>
      </c>
      <c r="H292" s="18" t="s">
        <v>595</v>
      </c>
      <c r="I292" s="6"/>
      <c r="J292" s="40"/>
    </row>
    <row r="293" spans="1:10" ht="13.5" customHeight="1">
      <c r="A293" s="17" t="s">
        <v>136</v>
      </c>
      <c r="B293" s="1"/>
      <c r="C293" s="1"/>
      <c r="D293" s="2" t="s">
        <v>25</v>
      </c>
      <c r="E293" s="17" t="s">
        <v>61</v>
      </c>
      <c r="F293" s="1"/>
      <c r="G293" s="2" t="s">
        <v>25</v>
      </c>
      <c r="H293" s="18"/>
      <c r="I293" s="6"/>
      <c r="J293" s="40"/>
    </row>
    <row r="294" spans="1:10" ht="13.5" customHeight="1">
      <c r="A294" s="18" t="s">
        <v>40</v>
      </c>
      <c r="B294" s="6"/>
      <c r="C294" s="6"/>
      <c r="D294" s="2" t="s">
        <v>25</v>
      </c>
      <c r="E294" s="17" t="s">
        <v>41</v>
      </c>
      <c r="F294" s="1"/>
      <c r="G294" s="2" t="s">
        <v>25</v>
      </c>
      <c r="H294" s="18"/>
      <c r="I294" s="6"/>
      <c r="J294" s="19"/>
    </row>
    <row r="295" spans="1:10" ht="13.5" customHeight="1">
      <c r="A295" s="204" t="s">
        <v>63</v>
      </c>
      <c r="B295" s="205"/>
      <c r="C295" s="206"/>
      <c r="D295" s="229">
        <f>SUM(D288:D294)</f>
        <v>19400</v>
      </c>
      <c r="E295" s="1" t="s">
        <v>43</v>
      </c>
      <c r="F295" s="1"/>
      <c r="G295" s="2" t="s">
        <v>25</v>
      </c>
      <c r="H295" s="18"/>
      <c r="I295" s="6"/>
      <c r="J295" s="19"/>
    </row>
    <row r="296" spans="1:10" ht="13.5" customHeight="1">
      <c r="A296" s="207"/>
      <c r="B296" s="197"/>
      <c r="C296" s="208"/>
      <c r="D296" s="230"/>
      <c r="E296" s="21" t="s">
        <v>21</v>
      </c>
      <c r="F296" s="22"/>
      <c r="G296" s="13">
        <f>SUM(G288:G295)</f>
        <v>900</v>
      </c>
      <c r="H296" s="21" t="s">
        <v>44</v>
      </c>
      <c r="I296" s="22"/>
      <c r="J296" s="13">
        <f>D295-G296</f>
        <v>18500</v>
      </c>
    </row>
    <row r="297" spans="1:10" ht="13.5" customHeight="1">
      <c r="A297" s="3" t="s">
        <v>45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3.5" customHeight="1"/>
    <row r="299" spans="1:10" ht="13.5" customHeight="1">
      <c r="A299" s="3"/>
      <c r="B299" s="3" t="s">
        <v>47</v>
      </c>
      <c r="C299" s="3"/>
      <c r="D299" s="3"/>
      <c r="E299" s="3" t="s">
        <v>48</v>
      </c>
      <c r="F299" s="3"/>
      <c r="G299" s="3"/>
      <c r="H299" s="3" t="s">
        <v>49</v>
      </c>
      <c r="I299" s="3"/>
      <c r="J299" s="3"/>
    </row>
    <row r="300" spans="1:10" ht="13.5" customHeight="1">
      <c r="A300" s="184" t="s">
        <v>0</v>
      </c>
      <c r="B300" s="185"/>
      <c r="C300" s="185"/>
      <c r="D300" s="185"/>
      <c r="E300" s="185"/>
      <c r="F300" s="185"/>
      <c r="G300" s="185"/>
      <c r="H300" s="185"/>
      <c r="I300" s="185"/>
      <c r="J300" s="186"/>
    </row>
    <row r="301" spans="1:10" ht="13.5" customHeight="1">
      <c r="A301" s="187" t="s">
        <v>1</v>
      </c>
      <c r="B301" s="188"/>
      <c r="C301" s="188"/>
      <c r="D301" s="188"/>
      <c r="E301" s="188"/>
      <c r="F301" s="188"/>
      <c r="G301" s="188"/>
      <c r="H301" s="188"/>
      <c r="I301" s="188"/>
      <c r="J301" s="189"/>
    </row>
    <row r="302" spans="1:10" ht="13.5" customHeight="1">
      <c r="A302" s="1" t="s">
        <v>2</v>
      </c>
      <c r="B302" s="1"/>
      <c r="C302" s="190" t="s">
        <v>596</v>
      </c>
      <c r="D302" s="190"/>
      <c r="E302" s="2"/>
      <c r="F302" s="3"/>
      <c r="G302" s="1" t="s">
        <v>4</v>
      </c>
      <c r="H302" s="191" t="s">
        <v>107</v>
      </c>
      <c r="I302" s="191"/>
      <c r="J302" s="191"/>
    </row>
    <row r="303" spans="1:10" ht="13.5" customHeight="1">
      <c r="A303" s="1" t="s">
        <v>6</v>
      </c>
      <c r="B303" s="1"/>
      <c r="C303" s="192" t="s">
        <v>597</v>
      </c>
      <c r="D303" s="192"/>
      <c r="E303" s="2"/>
      <c r="F303" s="3"/>
      <c r="G303" s="1" t="s">
        <v>8</v>
      </c>
      <c r="H303" s="193" t="s">
        <v>9</v>
      </c>
      <c r="I303" s="193"/>
      <c r="J303" s="193"/>
    </row>
    <row r="304" spans="1:10" ht="13.5" customHeight="1">
      <c r="A304" s="6" t="s">
        <v>10</v>
      </c>
      <c r="B304" s="6"/>
      <c r="C304" s="194" t="s">
        <v>598</v>
      </c>
      <c r="D304" s="194"/>
      <c r="E304" s="2"/>
      <c r="F304" s="3"/>
      <c r="G304" s="1" t="s">
        <v>12</v>
      </c>
      <c r="H304" s="195" t="s">
        <v>13</v>
      </c>
      <c r="I304" s="195"/>
      <c r="J304" s="195"/>
    </row>
    <row r="305" spans="1:10" ht="13.5" customHeight="1">
      <c r="A305" s="6" t="s">
        <v>14</v>
      </c>
      <c r="B305" s="6"/>
      <c r="C305" s="2" t="s">
        <v>15</v>
      </c>
      <c r="D305" s="2"/>
      <c r="E305" s="2"/>
      <c r="F305" s="3"/>
      <c r="G305" s="1" t="s">
        <v>16</v>
      </c>
      <c r="H305" s="196" t="s">
        <v>242</v>
      </c>
      <c r="I305" s="196"/>
      <c r="J305" s="196"/>
    </row>
    <row r="306" spans="1:10" ht="13.5" customHeight="1">
      <c r="A306" s="2">
        <v>30</v>
      </c>
      <c r="B306" s="6"/>
      <c r="C306" s="2">
        <f>A306-H306</f>
        <v>1</v>
      </c>
      <c r="D306" s="2"/>
      <c r="E306" s="2"/>
      <c r="F306" s="3"/>
      <c r="G306" s="8" t="s">
        <v>18</v>
      </c>
      <c r="H306" s="197">
        <v>29</v>
      </c>
      <c r="I306" s="197"/>
      <c r="J306" s="197"/>
    </row>
    <row r="307" spans="1:10" ht="13.5" customHeight="1">
      <c r="A307" s="198" t="s">
        <v>19</v>
      </c>
      <c r="B307" s="199"/>
      <c r="C307" s="200"/>
      <c r="D307" s="13" t="s">
        <v>20</v>
      </c>
      <c r="E307" s="14" t="s">
        <v>21</v>
      </c>
      <c r="F307" s="15"/>
      <c r="G307" s="16" t="s">
        <v>20</v>
      </c>
      <c r="H307" s="201"/>
      <c r="I307" s="202"/>
      <c r="J307" s="203"/>
    </row>
    <row r="308" spans="1:10" ht="13.5" customHeight="1">
      <c r="A308" s="17" t="s">
        <v>370</v>
      </c>
      <c r="B308" s="1"/>
      <c r="C308" s="1"/>
      <c r="D308" s="2">
        <v>12000</v>
      </c>
      <c r="E308" s="17" t="s">
        <v>24</v>
      </c>
      <c r="F308" s="1"/>
      <c r="G308" s="2" t="s">
        <v>25</v>
      </c>
      <c r="H308" s="18" t="s">
        <v>26</v>
      </c>
      <c r="I308" s="23"/>
      <c r="J308" s="24"/>
    </row>
    <row r="309" spans="1:10" ht="13.5" customHeight="1">
      <c r="A309" s="17" t="s">
        <v>77</v>
      </c>
      <c r="B309" s="209"/>
      <c r="C309" s="209"/>
      <c r="D309" s="2" t="s">
        <v>25</v>
      </c>
      <c r="E309" s="17" t="s">
        <v>52</v>
      </c>
      <c r="F309" s="1"/>
      <c r="G309" s="2" t="s">
        <v>25</v>
      </c>
      <c r="H309" s="18" t="s">
        <v>29</v>
      </c>
      <c r="I309" s="23"/>
      <c r="J309" s="24"/>
    </row>
    <row r="310" spans="1:10" ht="13.5" customHeight="1">
      <c r="A310" s="17" t="s">
        <v>30</v>
      </c>
      <c r="B310" s="1"/>
      <c r="C310" s="1"/>
      <c r="D310" s="2">
        <v>1000</v>
      </c>
      <c r="E310" s="17" t="s">
        <v>40</v>
      </c>
      <c r="F310" s="1"/>
      <c r="G310" s="2" t="s">
        <v>25</v>
      </c>
      <c r="H310" s="18" t="s">
        <v>32</v>
      </c>
      <c r="I310" s="23"/>
      <c r="J310" s="24"/>
    </row>
    <row r="311" spans="1:10" ht="13.5" customHeight="1">
      <c r="A311" s="17" t="s">
        <v>34</v>
      </c>
      <c r="B311" s="1"/>
      <c r="C311" s="1"/>
      <c r="D311" s="2" t="s">
        <v>25</v>
      </c>
      <c r="E311" s="17" t="s">
        <v>35</v>
      </c>
      <c r="F311" s="1"/>
      <c r="G311" s="2">
        <v>400</v>
      </c>
      <c r="H311" s="18"/>
      <c r="I311" s="6"/>
      <c r="J311" s="26"/>
    </row>
    <row r="312" spans="1:10" ht="13.5" customHeight="1">
      <c r="A312" s="17" t="s">
        <v>110</v>
      </c>
      <c r="B312" s="1"/>
      <c r="C312" s="1"/>
      <c r="D312" s="2" t="s">
        <v>25</v>
      </c>
      <c r="E312" s="17" t="s">
        <v>61</v>
      </c>
      <c r="F312" s="1"/>
      <c r="G312" s="2" t="s">
        <v>25</v>
      </c>
      <c r="H312" s="18"/>
      <c r="I312" s="6"/>
      <c r="J312" s="26"/>
    </row>
    <row r="313" spans="1:10" ht="13.5" customHeight="1">
      <c r="A313" s="17" t="s">
        <v>136</v>
      </c>
      <c r="B313" s="1"/>
      <c r="C313" s="1"/>
      <c r="D313" s="2" t="s">
        <v>25</v>
      </c>
      <c r="E313" s="17" t="s">
        <v>39</v>
      </c>
      <c r="F313" s="1"/>
      <c r="G313" s="2">
        <v>100</v>
      </c>
      <c r="H313" s="18"/>
      <c r="I313" s="6"/>
      <c r="J313" s="26"/>
    </row>
    <row r="314" spans="1:10" ht="13.5" customHeight="1">
      <c r="A314" s="18" t="s">
        <v>40</v>
      </c>
      <c r="B314" s="6"/>
      <c r="C314" s="6"/>
      <c r="D314" s="2" t="s">
        <v>25</v>
      </c>
      <c r="E314" s="17" t="s">
        <v>111</v>
      </c>
      <c r="F314" s="2"/>
      <c r="G314" s="2" t="s">
        <v>25</v>
      </c>
      <c r="H314" s="18"/>
      <c r="I314" s="6"/>
      <c r="J314" s="2"/>
    </row>
    <row r="315" spans="1:10" ht="13.5" customHeight="1">
      <c r="A315" s="204" t="s">
        <v>63</v>
      </c>
      <c r="B315" s="205"/>
      <c r="C315" s="206"/>
      <c r="D315" s="229">
        <f>SUM(D308:D314)</f>
        <v>13000</v>
      </c>
      <c r="E315" s="1" t="s">
        <v>43</v>
      </c>
      <c r="F315" s="1"/>
      <c r="G315" s="2" t="s">
        <v>25</v>
      </c>
      <c r="H315" s="18"/>
      <c r="I315" s="6"/>
      <c r="J315" s="19"/>
    </row>
    <row r="316" spans="1:10" ht="13.5" customHeight="1">
      <c r="A316" s="207"/>
      <c r="B316" s="197"/>
      <c r="C316" s="208"/>
      <c r="D316" s="230"/>
      <c r="E316" s="21" t="s">
        <v>21</v>
      </c>
      <c r="F316" s="22"/>
      <c r="G316" s="13">
        <f>SUM(G308:G315)</f>
        <v>500</v>
      </c>
      <c r="H316" s="198" t="s">
        <v>44</v>
      </c>
      <c r="I316" s="200"/>
      <c r="J316" s="13">
        <f>D315-G316</f>
        <v>12500</v>
      </c>
    </row>
    <row r="317" spans="1:10" ht="13.5" customHeight="1">
      <c r="A317" s="3" t="s">
        <v>45</v>
      </c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3.5" customHeight="1">
      <c r="A319" s="3"/>
      <c r="B319" s="3" t="s">
        <v>47</v>
      </c>
      <c r="C319" s="3"/>
      <c r="D319" s="3"/>
      <c r="E319" s="3" t="s">
        <v>48</v>
      </c>
      <c r="F319" s="3"/>
      <c r="G319" s="3"/>
      <c r="H319" s="3" t="s">
        <v>49</v>
      </c>
      <c r="I319" s="3"/>
      <c r="J319" s="3"/>
    </row>
    <row r="320" spans="1:10" ht="13.5" customHeight="1">
      <c r="A320" s="184" t="s">
        <v>0</v>
      </c>
      <c r="B320" s="185"/>
      <c r="C320" s="185"/>
      <c r="D320" s="185"/>
      <c r="E320" s="185"/>
      <c r="F320" s="185"/>
      <c r="G320" s="185"/>
      <c r="H320" s="185"/>
      <c r="I320" s="185"/>
      <c r="J320" s="186"/>
    </row>
    <row r="321" spans="1:10" ht="13.5" customHeight="1">
      <c r="A321" s="187" t="s">
        <v>1</v>
      </c>
      <c r="B321" s="188"/>
      <c r="C321" s="188"/>
      <c r="D321" s="188"/>
      <c r="E321" s="188"/>
      <c r="F321" s="188"/>
      <c r="G321" s="188"/>
      <c r="H321" s="188"/>
      <c r="I321" s="188"/>
      <c r="J321" s="189"/>
    </row>
    <row r="322" spans="1:10" ht="13.5" customHeight="1">
      <c r="A322" s="1" t="s">
        <v>2</v>
      </c>
      <c r="B322" s="1"/>
      <c r="C322" s="190" t="s">
        <v>599</v>
      </c>
      <c r="D322" s="190"/>
      <c r="E322" s="2"/>
      <c r="F322" s="3"/>
      <c r="G322" s="1" t="s">
        <v>4</v>
      </c>
      <c r="H322" s="191" t="s">
        <v>143</v>
      </c>
      <c r="I322" s="191"/>
      <c r="J322" s="191"/>
    </row>
    <row r="323" spans="1:10" ht="13.5" customHeight="1">
      <c r="A323" s="1" t="s">
        <v>6</v>
      </c>
      <c r="B323" s="1"/>
      <c r="C323" s="192" t="s">
        <v>600</v>
      </c>
      <c r="D323" s="192"/>
      <c r="E323" s="2"/>
      <c r="F323" s="3"/>
      <c r="G323" s="1" t="s">
        <v>8</v>
      </c>
      <c r="H323" s="193" t="s">
        <v>9</v>
      </c>
      <c r="I323" s="193"/>
      <c r="J323" s="193"/>
    </row>
    <row r="324" spans="1:10" ht="13.5" customHeight="1">
      <c r="A324" s="6" t="s">
        <v>10</v>
      </c>
      <c r="B324" s="6"/>
      <c r="C324" s="6" t="s">
        <v>601</v>
      </c>
      <c r="D324" s="6"/>
      <c r="E324" s="2"/>
      <c r="F324" s="3"/>
      <c r="G324" s="1" t="s">
        <v>12</v>
      </c>
      <c r="H324" s="195" t="s">
        <v>13</v>
      </c>
      <c r="I324" s="195"/>
      <c r="J324" s="195"/>
    </row>
    <row r="325" spans="1:10" ht="13.5" customHeight="1">
      <c r="A325" s="2" t="s">
        <v>14</v>
      </c>
      <c r="B325" s="2"/>
      <c r="C325" s="2" t="s">
        <v>15</v>
      </c>
      <c r="D325" s="2"/>
      <c r="E325" s="2"/>
      <c r="F325" s="3"/>
      <c r="G325" s="1" t="s">
        <v>16</v>
      </c>
      <c r="H325" s="196" t="s">
        <v>55</v>
      </c>
      <c r="I325" s="196"/>
      <c r="J325" s="196"/>
    </row>
    <row r="326" spans="1:10" ht="13.5" customHeight="1">
      <c r="A326" s="2">
        <v>30</v>
      </c>
      <c r="B326" s="2"/>
      <c r="C326" s="2">
        <f>A326-H326</f>
        <v>0</v>
      </c>
      <c r="D326" s="2"/>
      <c r="E326" s="2"/>
      <c r="F326" s="3"/>
      <c r="G326" s="8" t="s">
        <v>18</v>
      </c>
      <c r="H326" s="197">
        <v>30</v>
      </c>
      <c r="I326" s="197"/>
      <c r="J326" s="197"/>
    </row>
    <row r="327" spans="1:10" ht="13.5" customHeight="1">
      <c r="A327" s="198" t="s">
        <v>19</v>
      </c>
      <c r="B327" s="199"/>
      <c r="C327" s="200"/>
      <c r="D327" s="13" t="s">
        <v>20</v>
      </c>
      <c r="E327" s="14" t="s">
        <v>21</v>
      </c>
      <c r="F327" s="15"/>
      <c r="G327" s="16" t="s">
        <v>20</v>
      </c>
      <c r="H327" s="201" t="s">
        <v>22</v>
      </c>
      <c r="I327" s="202"/>
      <c r="J327" s="203"/>
    </row>
    <row r="328" spans="1:10" ht="13.5" customHeight="1">
      <c r="A328" s="17" t="s">
        <v>23</v>
      </c>
      <c r="B328" s="1"/>
      <c r="C328" s="1"/>
      <c r="D328" s="28">
        <v>22000</v>
      </c>
      <c r="E328" s="17" t="s">
        <v>58</v>
      </c>
      <c r="F328" s="1"/>
      <c r="G328" s="2" t="s">
        <v>25</v>
      </c>
      <c r="H328" s="18" t="s">
        <v>26</v>
      </c>
      <c r="I328" s="23"/>
      <c r="J328" s="24"/>
    </row>
    <row r="329" spans="1:10" ht="13.5" customHeight="1">
      <c r="A329" s="17" t="s">
        <v>77</v>
      </c>
      <c r="B329" s="209"/>
      <c r="C329" s="209"/>
      <c r="D329" s="2" t="s">
        <v>25</v>
      </c>
      <c r="E329" s="17" t="s">
        <v>52</v>
      </c>
      <c r="F329" s="1"/>
      <c r="G329" s="2" t="s">
        <v>25</v>
      </c>
      <c r="H329" s="18" t="s">
        <v>29</v>
      </c>
      <c r="I329" s="23"/>
      <c r="J329" s="24"/>
    </row>
    <row r="330" spans="1:10" ht="13.5" customHeight="1">
      <c r="A330" s="17" t="s">
        <v>30</v>
      </c>
      <c r="B330" s="6"/>
      <c r="C330" s="6"/>
      <c r="D330" s="2">
        <v>4937</v>
      </c>
      <c r="E330" s="17" t="s">
        <v>28</v>
      </c>
      <c r="F330" s="1"/>
      <c r="G330" s="2" t="s">
        <v>25</v>
      </c>
      <c r="H330" s="18" t="s">
        <v>32</v>
      </c>
      <c r="I330" s="23"/>
      <c r="J330" s="24"/>
    </row>
    <row r="331" spans="1:10" ht="13.5" customHeight="1">
      <c r="A331" s="17" t="s">
        <v>602</v>
      </c>
      <c r="B331" s="1"/>
      <c r="C331" s="1"/>
      <c r="D331" s="2">
        <v>2500</v>
      </c>
      <c r="E331" s="17" t="s">
        <v>35</v>
      </c>
      <c r="F331" s="1"/>
      <c r="G331" s="2" t="s">
        <v>25</v>
      </c>
      <c r="H331" s="18"/>
      <c r="I331" s="6"/>
      <c r="J331" s="19"/>
    </row>
    <row r="332" spans="1:10" ht="13.5" customHeight="1">
      <c r="A332" s="17" t="s">
        <v>581</v>
      </c>
      <c r="B332" s="1"/>
      <c r="C332" s="1"/>
      <c r="D332" s="2">
        <v>5000</v>
      </c>
      <c r="E332" s="17" t="s">
        <v>61</v>
      </c>
      <c r="F332" s="1"/>
      <c r="G332" s="2" t="s">
        <v>25</v>
      </c>
      <c r="H332" s="18" t="s">
        <v>603</v>
      </c>
      <c r="I332" s="6"/>
      <c r="J332" s="19"/>
    </row>
    <row r="333" spans="1:10" ht="13.5" customHeight="1">
      <c r="A333" s="17" t="s">
        <v>147</v>
      </c>
      <c r="B333" s="1"/>
      <c r="C333" s="1"/>
      <c r="D333" s="2">
        <v>3663</v>
      </c>
      <c r="E333" s="17" t="s">
        <v>39</v>
      </c>
      <c r="F333" s="1"/>
      <c r="G333" s="2">
        <v>100</v>
      </c>
      <c r="H333" s="18"/>
      <c r="I333" s="6"/>
      <c r="J333" s="19"/>
    </row>
    <row r="334" spans="1:10" ht="13.5" customHeight="1">
      <c r="A334" s="18" t="s">
        <v>40</v>
      </c>
      <c r="B334" s="6"/>
      <c r="C334" s="6"/>
      <c r="D334" s="2" t="s">
        <v>25</v>
      </c>
      <c r="E334" s="17" t="s">
        <v>78</v>
      </c>
      <c r="F334" s="1"/>
      <c r="G334" s="2" t="s">
        <v>25</v>
      </c>
      <c r="H334" s="18"/>
      <c r="I334" s="6"/>
      <c r="J334" s="19"/>
    </row>
    <row r="335" spans="1:10" ht="13.5" customHeight="1">
      <c r="A335" s="204" t="s">
        <v>63</v>
      </c>
      <c r="B335" s="205"/>
      <c r="C335" s="206"/>
      <c r="D335" s="229">
        <f>SUM(D328:D334)</f>
        <v>38100</v>
      </c>
      <c r="E335" s="1" t="s">
        <v>283</v>
      </c>
      <c r="F335" s="1"/>
      <c r="G335" s="2" t="s">
        <v>25</v>
      </c>
      <c r="H335" s="18"/>
      <c r="I335" s="6"/>
      <c r="J335" s="19"/>
    </row>
    <row r="336" spans="1:10" ht="13.5" customHeight="1">
      <c r="A336" s="207"/>
      <c r="B336" s="197"/>
      <c r="C336" s="208"/>
      <c r="D336" s="230"/>
      <c r="E336" s="21" t="s">
        <v>21</v>
      </c>
      <c r="F336" s="22"/>
      <c r="G336" s="13">
        <f>SUM(G328:G335)</f>
        <v>100</v>
      </c>
      <c r="H336" s="21" t="s">
        <v>44</v>
      </c>
      <c r="I336" s="22"/>
      <c r="J336" s="13">
        <f>D335-G336</f>
        <v>38000</v>
      </c>
    </row>
    <row r="337" spans="1:10" ht="13.5" customHeight="1">
      <c r="A337" s="3" t="s">
        <v>45</v>
      </c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3.5" customHeight="1">
      <c r="A339" s="3"/>
      <c r="B339" s="3" t="s">
        <v>47</v>
      </c>
      <c r="C339" s="3"/>
      <c r="D339" s="3"/>
      <c r="E339" s="3" t="s">
        <v>48</v>
      </c>
      <c r="F339" s="3"/>
      <c r="G339" s="3"/>
      <c r="H339" s="3" t="s">
        <v>49</v>
      </c>
      <c r="I339" s="3"/>
      <c r="J339" s="3"/>
    </row>
    <row r="340" spans="1:10" ht="13.5" customHeight="1">
      <c r="A340" s="184" t="s">
        <v>0</v>
      </c>
      <c r="B340" s="185"/>
      <c r="C340" s="185"/>
      <c r="D340" s="185"/>
      <c r="E340" s="185"/>
      <c r="F340" s="185"/>
      <c r="G340" s="185"/>
      <c r="H340" s="185"/>
      <c r="I340" s="185"/>
      <c r="J340" s="186"/>
    </row>
    <row r="341" spans="1:10" ht="13.5" customHeight="1">
      <c r="A341" s="187" t="s">
        <v>1</v>
      </c>
      <c r="B341" s="188"/>
      <c r="C341" s="188"/>
      <c r="D341" s="188"/>
      <c r="E341" s="188"/>
      <c r="F341" s="188"/>
      <c r="G341" s="188"/>
      <c r="H341" s="188"/>
      <c r="I341" s="188"/>
      <c r="J341" s="189"/>
    </row>
    <row r="342" spans="1:10" ht="13.5" customHeight="1">
      <c r="A342" s="1" t="s">
        <v>2</v>
      </c>
      <c r="B342" s="1"/>
      <c r="C342" s="190"/>
      <c r="D342" s="190"/>
      <c r="E342" s="2"/>
      <c r="F342" s="3"/>
      <c r="G342" s="1" t="s">
        <v>4</v>
      </c>
      <c r="H342" s="191" t="s">
        <v>143</v>
      </c>
      <c r="I342" s="191"/>
      <c r="J342" s="191"/>
    </row>
    <row r="343" spans="1:10" ht="13.5" customHeight="1">
      <c r="A343" s="1" t="s">
        <v>6</v>
      </c>
      <c r="B343" s="1"/>
      <c r="C343" s="192" t="s">
        <v>604</v>
      </c>
      <c r="D343" s="192"/>
      <c r="E343" s="2"/>
      <c r="F343" s="3"/>
      <c r="G343" s="1" t="s">
        <v>8</v>
      </c>
      <c r="H343" s="193" t="s">
        <v>9</v>
      </c>
      <c r="I343" s="193"/>
      <c r="J343" s="193"/>
    </row>
    <row r="344" spans="1:10" ht="13.5" customHeight="1">
      <c r="A344" s="6" t="s">
        <v>10</v>
      </c>
      <c r="B344" s="6"/>
      <c r="C344" s="6" t="s">
        <v>571</v>
      </c>
      <c r="D344" s="6"/>
      <c r="E344" s="2"/>
      <c r="F344" s="3"/>
      <c r="G344" s="1" t="s">
        <v>12</v>
      </c>
      <c r="H344" s="195" t="s">
        <v>13</v>
      </c>
      <c r="I344" s="195"/>
      <c r="J344" s="195"/>
    </row>
    <row r="345" spans="1:10" ht="13.5" customHeight="1">
      <c r="A345" s="2" t="s">
        <v>14</v>
      </c>
      <c r="B345" s="2"/>
      <c r="C345" s="2" t="s">
        <v>15</v>
      </c>
      <c r="D345" s="2"/>
      <c r="E345" s="2"/>
      <c r="F345" s="3"/>
      <c r="G345" s="1" t="s">
        <v>16</v>
      </c>
      <c r="H345" s="196" t="s">
        <v>140</v>
      </c>
      <c r="I345" s="196"/>
      <c r="J345" s="196"/>
    </row>
    <row r="346" spans="1:10" ht="13.5" customHeight="1">
      <c r="A346" s="2">
        <v>30</v>
      </c>
      <c r="B346" s="2"/>
      <c r="C346" s="2">
        <f>A346-I346</f>
        <v>0</v>
      </c>
      <c r="D346" s="2"/>
      <c r="E346" s="2"/>
      <c r="F346" s="3"/>
      <c r="G346" s="8" t="s">
        <v>18</v>
      </c>
      <c r="H346" s="197">
        <v>30</v>
      </c>
      <c r="I346" s="197">
        <v>30</v>
      </c>
      <c r="J346" s="197"/>
    </row>
    <row r="347" spans="1:10" ht="13.5" customHeight="1">
      <c r="A347" s="198" t="s">
        <v>19</v>
      </c>
      <c r="B347" s="199"/>
      <c r="C347" s="200"/>
      <c r="D347" s="13" t="s">
        <v>20</v>
      </c>
      <c r="E347" s="14" t="s">
        <v>21</v>
      </c>
      <c r="F347" s="15"/>
      <c r="G347" s="16" t="s">
        <v>20</v>
      </c>
      <c r="H347" s="201" t="s">
        <v>22</v>
      </c>
      <c r="I347" s="202"/>
      <c r="J347" s="203"/>
    </row>
    <row r="348" spans="1:10" ht="13.5" customHeight="1">
      <c r="A348" s="17" t="s">
        <v>23</v>
      </c>
      <c r="B348" s="1"/>
      <c r="C348" s="1"/>
      <c r="D348" s="28">
        <v>20000</v>
      </c>
      <c r="E348" s="17" t="s">
        <v>24</v>
      </c>
      <c r="F348" s="1"/>
      <c r="G348" s="2" t="s">
        <v>25</v>
      </c>
      <c r="H348" s="18" t="s">
        <v>26</v>
      </c>
      <c r="I348" s="23"/>
      <c r="J348" s="24"/>
    </row>
    <row r="349" spans="1:10" ht="13.5" customHeight="1">
      <c r="A349" s="17" t="s">
        <v>77</v>
      </c>
      <c r="B349" s="209" t="s">
        <v>120</v>
      </c>
      <c r="C349" s="209"/>
      <c r="D349" s="2">
        <v>667</v>
      </c>
      <c r="E349" s="17" t="s">
        <v>28</v>
      </c>
      <c r="F349" s="1"/>
      <c r="G349" s="2" t="s">
        <v>25</v>
      </c>
      <c r="H349" s="18" t="s">
        <v>29</v>
      </c>
      <c r="I349" s="23"/>
      <c r="J349" s="24"/>
    </row>
    <row r="350" spans="1:10" ht="13.5" customHeight="1">
      <c r="A350" s="17" t="s">
        <v>30</v>
      </c>
      <c r="B350" s="6"/>
      <c r="C350" s="6"/>
      <c r="D350" s="2">
        <v>6133</v>
      </c>
      <c r="E350" s="17" t="s">
        <v>58</v>
      </c>
      <c r="F350" s="1"/>
      <c r="G350" s="2" t="s">
        <v>25</v>
      </c>
      <c r="H350" s="18" t="s">
        <v>32</v>
      </c>
      <c r="I350" s="23"/>
      <c r="J350" s="24"/>
    </row>
    <row r="351" spans="1:10" ht="13.5" customHeight="1">
      <c r="A351" s="17" t="s">
        <v>581</v>
      </c>
      <c r="B351" s="1"/>
      <c r="C351" s="1"/>
      <c r="D351" s="2">
        <v>2000</v>
      </c>
      <c r="E351" s="17" t="s">
        <v>71</v>
      </c>
      <c r="F351" s="1"/>
      <c r="G351" s="2" t="s">
        <v>25</v>
      </c>
      <c r="H351" s="18"/>
      <c r="I351" s="6"/>
      <c r="J351" s="19"/>
    </row>
    <row r="352" spans="1:10" ht="13.5" customHeight="1">
      <c r="A352" s="17" t="s">
        <v>72</v>
      </c>
      <c r="B352" s="1"/>
      <c r="C352" s="1"/>
      <c r="D352" s="2" t="s">
        <v>25</v>
      </c>
      <c r="E352" s="17" t="s">
        <v>61</v>
      </c>
      <c r="F352" s="1"/>
      <c r="G352" s="2">
        <v>200</v>
      </c>
      <c r="H352" s="18" t="s">
        <v>605</v>
      </c>
      <c r="I352" s="6"/>
      <c r="J352" s="19"/>
    </row>
    <row r="353" spans="1:10" ht="13.5" customHeight="1">
      <c r="A353" s="17" t="s">
        <v>136</v>
      </c>
      <c r="B353" s="1"/>
      <c r="C353" s="1"/>
      <c r="D353" s="2" t="s">
        <v>25</v>
      </c>
      <c r="E353" s="17" t="s">
        <v>39</v>
      </c>
      <c r="F353" s="1"/>
      <c r="G353" s="2">
        <v>100</v>
      </c>
      <c r="H353" s="18"/>
      <c r="I353" s="6"/>
      <c r="J353" s="19"/>
    </row>
    <row r="354" spans="1:10" ht="13.5" customHeight="1">
      <c r="A354" s="18" t="s">
        <v>40</v>
      </c>
      <c r="B354" s="6"/>
      <c r="C354" s="6"/>
      <c r="D354" s="2" t="s">
        <v>25</v>
      </c>
      <c r="E354" s="17" t="s">
        <v>78</v>
      </c>
      <c r="F354" s="1"/>
      <c r="G354" s="2" t="s">
        <v>25</v>
      </c>
      <c r="H354" s="18"/>
      <c r="I354" s="6"/>
      <c r="J354" s="19"/>
    </row>
    <row r="355" spans="1:10" ht="13.5" customHeight="1">
      <c r="A355" s="204" t="s">
        <v>63</v>
      </c>
      <c r="B355" s="205"/>
      <c r="C355" s="206"/>
      <c r="D355" s="229">
        <f>SUM(D348:D354)</f>
        <v>28800</v>
      </c>
      <c r="E355" s="1" t="s">
        <v>43</v>
      </c>
      <c r="F355" s="1"/>
      <c r="G355" s="2" t="s">
        <v>25</v>
      </c>
      <c r="H355" s="18"/>
      <c r="I355" s="6"/>
      <c r="J355" s="19"/>
    </row>
    <row r="356" spans="1:10" ht="13.5" customHeight="1">
      <c r="A356" s="207"/>
      <c r="B356" s="197"/>
      <c r="C356" s="208"/>
      <c r="D356" s="230"/>
      <c r="E356" s="21" t="s">
        <v>21</v>
      </c>
      <c r="F356" s="22"/>
      <c r="G356" s="13">
        <f>SUM(G348:G355)</f>
        <v>300</v>
      </c>
      <c r="H356" s="21" t="s">
        <v>44</v>
      </c>
      <c r="I356" s="22"/>
      <c r="J356" s="13">
        <f>D355-G356</f>
        <v>28500</v>
      </c>
    </row>
    <row r="357" spans="1:10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3.5" customHeight="1">
      <c r="A358" s="184" t="s">
        <v>0</v>
      </c>
      <c r="B358" s="185"/>
      <c r="C358" s="185"/>
      <c r="D358" s="185"/>
      <c r="E358" s="185"/>
      <c r="F358" s="185"/>
      <c r="G358" s="185"/>
      <c r="H358" s="185"/>
      <c r="I358" s="185"/>
      <c r="J358" s="186"/>
    </row>
    <row r="359" spans="1:10" ht="13.5" customHeight="1">
      <c r="A359" s="187" t="s">
        <v>1</v>
      </c>
      <c r="B359" s="188"/>
      <c r="C359" s="188"/>
      <c r="D359" s="188"/>
      <c r="E359" s="188"/>
      <c r="F359" s="188"/>
      <c r="G359" s="188"/>
      <c r="H359" s="188"/>
      <c r="I359" s="188"/>
      <c r="J359" s="189"/>
    </row>
    <row r="360" spans="1:10" ht="13.5" customHeight="1">
      <c r="A360" s="1" t="s">
        <v>2</v>
      </c>
      <c r="B360" s="1"/>
      <c r="C360" s="209" t="s">
        <v>606</v>
      </c>
      <c r="D360" s="209"/>
      <c r="E360" s="2"/>
      <c r="F360" s="3"/>
      <c r="G360" s="1" t="s">
        <v>4</v>
      </c>
      <c r="H360" s="209" t="s">
        <v>143</v>
      </c>
      <c r="I360" s="209"/>
      <c r="J360" s="209"/>
    </row>
    <row r="361" spans="1:10" ht="13.5" customHeight="1">
      <c r="A361" s="97" t="s">
        <v>6</v>
      </c>
      <c r="B361" s="97"/>
      <c r="C361" s="287" t="s">
        <v>607</v>
      </c>
      <c r="D361" s="287"/>
      <c r="E361" s="28"/>
      <c r="F361" s="98"/>
      <c r="G361" s="97" t="s">
        <v>8</v>
      </c>
      <c r="H361" s="288" t="s">
        <v>9</v>
      </c>
      <c r="I361" s="288"/>
      <c r="J361" s="288"/>
    </row>
    <row r="362" spans="1:10" ht="13.5" customHeight="1">
      <c r="A362" s="100" t="s">
        <v>10</v>
      </c>
      <c r="B362" s="100"/>
      <c r="C362" s="289" t="s">
        <v>571</v>
      </c>
      <c r="D362" s="289"/>
      <c r="E362" s="28"/>
      <c r="F362" s="98"/>
      <c r="G362" s="97" t="s">
        <v>12</v>
      </c>
      <c r="H362" s="195" t="s">
        <v>13</v>
      </c>
      <c r="I362" s="195"/>
      <c r="J362" s="195"/>
    </row>
    <row r="363" spans="1:10" ht="13.5" customHeight="1">
      <c r="A363" s="28" t="s">
        <v>14</v>
      </c>
      <c r="B363" s="28"/>
      <c r="C363" s="28" t="s">
        <v>15</v>
      </c>
      <c r="D363" s="28"/>
      <c r="E363" s="28"/>
      <c r="F363" s="98"/>
      <c r="G363" s="97" t="s">
        <v>16</v>
      </c>
      <c r="H363" s="290" t="s">
        <v>55</v>
      </c>
      <c r="I363" s="290"/>
      <c r="J363" s="290"/>
    </row>
    <row r="364" spans="1:10" ht="13.5" customHeight="1">
      <c r="A364" s="28">
        <v>30</v>
      </c>
      <c r="B364" s="28"/>
      <c r="C364" s="28">
        <f>A364-H364</f>
        <v>0</v>
      </c>
      <c r="D364" s="28"/>
      <c r="E364" s="28"/>
      <c r="F364" s="98"/>
      <c r="G364" s="101" t="s">
        <v>18</v>
      </c>
      <c r="H364" s="291">
        <v>30</v>
      </c>
      <c r="I364" s="291"/>
      <c r="J364" s="291"/>
    </row>
    <row r="365" spans="1:10" ht="13.5" customHeight="1">
      <c r="A365" s="292" t="s">
        <v>19</v>
      </c>
      <c r="B365" s="293"/>
      <c r="C365" s="294"/>
      <c r="D365" s="102" t="s">
        <v>20</v>
      </c>
      <c r="E365" s="103" t="s">
        <v>21</v>
      </c>
      <c r="F365" s="104"/>
      <c r="G365" s="105" t="s">
        <v>20</v>
      </c>
      <c r="H365" s="295" t="s">
        <v>22</v>
      </c>
      <c r="I365" s="296"/>
      <c r="J365" s="297"/>
    </row>
    <row r="366" spans="1:10" ht="13.5" customHeight="1">
      <c r="A366" s="151" t="s">
        <v>23</v>
      </c>
      <c r="B366" s="152"/>
      <c r="C366" s="97"/>
      <c r="D366" s="28">
        <v>20000</v>
      </c>
      <c r="E366" s="106" t="s">
        <v>24</v>
      </c>
      <c r="F366" s="97"/>
      <c r="G366" s="28" t="s">
        <v>25</v>
      </c>
      <c r="H366" s="18" t="s">
        <v>26</v>
      </c>
      <c r="I366" s="23"/>
      <c r="J366" s="24"/>
    </row>
    <row r="367" spans="1:10" ht="13.5" customHeight="1">
      <c r="A367" s="106" t="s">
        <v>77</v>
      </c>
      <c r="B367" s="290" t="s">
        <v>196</v>
      </c>
      <c r="C367" s="290"/>
      <c r="D367" s="28">
        <v>2000</v>
      </c>
      <c r="E367" s="106" t="s">
        <v>376</v>
      </c>
      <c r="F367" s="97"/>
      <c r="G367" s="28" t="s">
        <v>25</v>
      </c>
      <c r="H367" s="18" t="s">
        <v>29</v>
      </c>
      <c r="I367" s="23"/>
      <c r="J367" s="24"/>
    </row>
    <row r="368" spans="1:10" ht="13.5" customHeight="1">
      <c r="A368" s="106" t="s">
        <v>30</v>
      </c>
      <c r="B368" s="97"/>
      <c r="C368" s="97"/>
      <c r="D368" s="28">
        <v>2600</v>
      </c>
      <c r="E368" s="106" t="s">
        <v>58</v>
      </c>
      <c r="F368" s="97"/>
      <c r="G368" s="28" t="s">
        <v>25</v>
      </c>
      <c r="H368" s="18" t="s">
        <v>32</v>
      </c>
      <c r="I368" s="23"/>
      <c r="J368" s="24"/>
    </row>
    <row r="369" spans="1:10" ht="13.5" customHeight="1">
      <c r="A369" s="106" t="s">
        <v>147</v>
      </c>
      <c r="B369" s="97"/>
      <c r="C369" s="97"/>
      <c r="D369" s="28" t="s">
        <v>25</v>
      </c>
      <c r="E369" s="106" t="s">
        <v>35</v>
      </c>
      <c r="F369" s="97"/>
      <c r="G369" s="28" t="s">
        <v>25</v>
      </c>
      <c r="H369" s="107"/>
      <c r="I369" s="100"/>
      <c r="J369" s="108"/>
    </row>
    <row r="370" spans="1:10" ht="13.5" customHeight="1">
      <c r="A370" s="106" t="s">
        <v>60</v>
      </c>
      <c r="B370" s="97"/>
      <c r="C370" s="97"/>
      <c r="D370" s="28">
        <v>3500</v>
      </c>
      <c r="E370" s="106" t="s">
        <v>61</v>
      </c>
      <c r="F370" s="97"/>
      <c r="G370" s="28" t="s">
        <v>25</v>
      </c>
      <c r="H370" s="107" t="s">
        <v>608</v>
      </c>
      <c r="I370" s="100"/>
      <c r="J370" s="108"/>
    </row>
    <row r="371" spans="1:10" ht="13.5" customHeight="1">
      <c r="A371" s="106" t="s">
        <v>136</v>
      </c>
      <c r="B371" s="97"/>
      <c r="C371" s="97"/>
      <c r="D371" s="28" t="s">
        <v>25</v>
      </c>
      <c r="E371" s="106" t="s">
        <v>39</v>
      </c>
      <c r="F371" s="97"/>
      <c r="G371" s="28">
        <v>100</v>
      </c>
      <c r="H371" s="107" t="s">
        <v>609</v>
      </c>
      <c r="I371" s="100"/>
      <c r="J371" s="108"/>
    </row>
    <row r="372" spans="1:10" ht="13.5" customHeight="1">
      <c r="A372" s="107" t="s">
        <v>40</v>
      </c>
      <c r="B372" s="100"/>
      <c r="C372" s="100"/>
      <c r="D372" s="28" t="s">
        <v>25</v>
      </c>
      <c r="E372" s="106" t="s">
        <v>61</v>
      </c>
      <c r="F372" s="97"/>
      <c r="G372" s="28" t="s">
        <v>25</v>
      </c>
      <c r="H372" s="107"/>
      <c r="I372" s="100"/>
      <c r="J372" s="108"/>
    </row>
    <row r="373" spans="1:10" ht="13.5" customHeight="1">
      <c r="A373" s="312" t="s">
        <v>63</v>
      </c>
      <c r="B373" s="313"/>
      <c r="C373" s="314"/>
      <c r="D373" s="298">
        <f>SUM(D366:D372)</f>
        <v>28100</v>
      </c>
      <c r="E373" s="97" t="s">
        <v>43</v>
      </c>
      <c r="F373" s="97"/>
      <c r="G373" s="28" t="s">
        <v>25</v>
      </c>
      <c r="H373" s="107"/>
      <c r="I373" s="100"/>
      <c r="J373" s="108"/>
    </row>
    <row r="374" spans="1:10" ht="13.5" customHeight="1">
      <c r="A374" s="315"/>
      <c r="B374" s="291"/>
      <c r="C374" s="316"/>
      <c r="D374" s="299"/>
      <c r="E374" s="114" t="s">
        <v>21</v>
      </c>
      <c r="F374" s="115"/>
      <c r="G374" s="102">
        <f>SUM(G366:G373)</f>
        <v>100</v>
      </c>
      <c r="H374" s="114" t="s">
        <v>44</v>
      </c>
      <c r="I374" s="115"/>
      <c r="J374" s="13">
        <f>D373-G374</f>
        <v>28000</v>
      </c>
    </row>
    <row r="375" spans="1:10" ht="13.5" customHeight="1">
      <c r="A375" s="3" t="s">
        <v>45</v>
      </c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3.5" customHeight="1">
      <c r="A377" s="3"/>
      <c r="B377" s="3" t="s">
        <v>47</v>
      </c>
      <c r="C377" s="3"/>
      <c r="D377" s="3"/>
      <c r="E377" s="3" t="s">
        <v>48</v>
      </c>
      <c r="F377" s="3"/>
      <c r="G377" s="3"/>
      <c r="H377" s="3" t="s">
        <v>49</v>
      </c>
      <c r="I377" s="3"/>
      <c r="J377" s="3"/>
    </row>
    <row r="378" spans="1:10" ht="13.5" customHeight="1">
      <c r="A378" s="184" t="s">
        <v>0</v>
      </c>
      <c r="B378" s="185"/>
      <c r="C378" s="185"/>
      <c r="D378" s="185"/>
      <c r="E378" s="185"/>
      <c r="F378" s="185"/>
      <c r="G378" s="185"/>
      <c r="H378" s="185"/>
      <c r="I378" s="185"/>
      <c r="J378" s="186"/>
    </row>
    <row r="379" spans="1:10" ht="13.5" customHeight="1">
      <c r="A379" s="187" t="s">
        <v>1</v>
      </c>
      <c r="B379" s="188"/>
      <c r="C379" s="188"/>
      <c r="D379" s="188"/>
      <c r="E379" s="188"/>
      <c r="F379" s="188"/>
      <c r="G379" s="188"/>
      <c r="H379" s="188"/>
      <c r="I379" s="188"/>
      <c r="J379" s="189"/>
    </row>
    <row r="380" spans="1:10" ht="13.5" customHeight="1">
      <c r="A380" s="1" t="s">
        <v>2</v>
      </c>
      <c r="B380" s="1"/>
      <c r="C380" s="209" t="s">
        <v>413</v>
      </c>
      <c r="D380" s="209"/>
      <c r="E380" s="2"/>
      <c r="F380" s="3"/>
      <c r="G380" s="1" t="s">
        <v>4</v>
      </c>
      <c r="H380" s="191" t="s">
        <v>143</v>
      </c>
      <c r="I380" s="191"/>
      <c r="J380" s="191"/>
    </row>
    <row r="381" spans="1:10" ht="13.5" customHeight="1">
      <c r="A381" s="1" t="s">
        <v>6</v>
      </c>
      <c r="B381" s="1"/>
      <c r="C381" s="196" t="s">
        <v>610</v>
      </c>
      <c r="D381" s="196"/>
      <c r="E381" s="2"/>
      <c r="F381" s="3"/>
      <c r="G381" s="1" t="s">
        <v>8</v>
      </c>
      <c r="H381" s="193" t="s">
        <v>9</v>
      </c>
      <c r="I381" s="193"/>
      <c r="J381" s="193"/>
    </row>
    <row r="382" spans="1:10" ht="13.5" customHeight="1">
      <c r="A382" s="6" t="s">
        <v>10</v>
      </c>
      <c r="B382" s="6"/>
      <c r="C382" s="209" t="s">
        <v>563</v>
      </c>
      <c r="D382" s="209"/>
      <c r="E382" s="2"/>
      <c r="F382" s="3"/>
      <c r="G382" s="1" t="s">
        <v>12</v>
      </c>
      <c r="H382" s="195" t="s">
        <v>13</v>
      </c>
      <c r="I382" s="195"/>
      <c r="J382" s="195"/>
    </row>
    <row r="383" spans="1:10" ht="13.5" customHeight="1">
      <c r="A383" s="2" t="s">
        <v>14</v>
      </c>
      <c r="B383" s="2"/>
      <c r="C383" s="2" t="s">
        <v>15</v>
      </c>
      <c r="D383" s="2"/>
      <c r="E383" s="2"/>
      <c r="F383" s="3"/>
      <c r="G383" s="1" t="s">
        <v>16</v>
      </c>
      <c r="H383" s="209" t="s">
        <v>55</v>
      </c>
      <c r="I383" s="209"/>
      <c r="J383" s="209"/>
    </row>
    <row r="384" spans="1:10" ht="13.5" customHeight="1">
      <c r="A384" s="2">
        <v>30</v>
      </c>
      <c r="B384" s="2"/>
      <c r="C384" s="2">
        <f>A384-H384</f>
        <v>0</v>
      </c>
      <c r="D384" s="2"/>
      <c r="E384" s="2"/>
      <c r="F384" s="3"/>
      <c r="G384" s="8" t="s">
        <v>18</v>
      </c>
      <c r="H384" s="197">
        <v>30</v>
      </c>
      <c r="I384" s="197"/>
      <c r="J384" s="197"/>
    </row>
    <row r="385" spans="1:10" ht="13.5" customHeight="1">
      <c r="A385" s="198" t="s">
        <v>19</v>
      </c>
      <c r="B385" s="199"/>
      <c r="C385" s="200"/>
      <c r="D385" s="13" t="s">
        <v>20</v>
      </c>
      <c r="E385" s="14" t="s">
        <v>21</v>
      </c>
      <c r="F385" s="15"/>
      <c r="G385" s="16" t="s">
        <v>20</v>
      </c>
      <c r="H385" s="201" t="s">
        <v>22</v>
      </c>
      <c r="I385" s="202"/>
      <c r="J385" s="203"/>
    </row>
    <row r="386" spans="1:10" ht="13.5" customHeight="1">
      <c r="A386" s="117" t="s">
        <v>23</v>
      </c>
      <c r="B386" s="118"/>
      <c r="C386" s="1"/>
      <c r="D386" s="2">
        <v>20000</v>
      </c>
      <c r="E386" s="17" t="s">
        <v>24</v>
      </c>
      <c r="F386" s="1"/>
      <c r="G386" s="2" t="s">
        <v>25</v>
      </c>
      <c r="H386" s="18" t="s">
        <v>26</v>
      </c>
      <c r="I386" s="23"/>
      <c r="J386" s="24"/>
    </row>
    <row r="387" spans="1:10" ht="13.5" customHeight="1">
      <c r="A387" s="17" t="s">
        <v>77</v>
      </c>
      <c r="B387" s="209" t="s">
        <v>320</v>
      </c>
      <c r="C387" s="209"/>
      <c r="D387" s="2">
        <v>1333</v>
      </c>
      <c r="E387" s="17" t="s">
        <v>376</v>
      </c>
      <c r="F387" s="1"/>
      <c r="G387" s="2" t="s">
        <v>25</v>
      </c>
      <c r="H387" s="18" t="s">
        <v>29</v>
      </c>
      <c r="I387" s="23"/>
      <c r="J387" s="24"/>
    </row>
    <row r="388" spans="1:10" ht="13.5" customHeight="1">
      <c r="A388" s="17" t="s">
        <v>30</v>
      </c>
      <c r="B388" s="1"/>
      <c r="C388" s="1"/>
      <c r="D388" s="2">
        <v>1767</v>
      </c>
      <c r="E388" s="17" t="s">
        <v>58</v>
      </c>
      <c r="F388" s="1"/>
      <c r="G388" s="2" t="s">
        <v>25</v>
      </c>
      <c r="H388" s="18" t="s">
        <v>32</v>
      </c>
      <c r="I388" s="23"/>
      <c r="J388" s="24"/>
    </row>
    <row r="389" spans="1:10" ht="13.5" customHeight="1">
      <c r="A389" s="17" t="s">
        <v>581</v>
      </c>
      <c r="B389" s="1"/>
      <c r="C389" s="1"/>
      <c r="D389" s="2">
        <v>5000</v>
      </c>
      <c r="E389" s="17" t="s">
        <v>35</v>
      </c>
      <c r="F389" s="1"/>
      <c r="G389" s="2" t="s">
        <v>25</v>
      </c>
      <c r="H389" s="18"/>
      <c r="I389" s="6"/>
      <c r="J389" s="19"/>
    </row>
    <row r="390" spans="1:10" ht="13.5" customHeight="1">
      <c r="A390" s="17" t="s">
        <v>72</v>
      </c>
      <c r="B390" s="1"/>
      <c r="C390" s="1"/>
      <c r="D390" s="2" t="s">
        <v>25</v>
      </c>
      <c r="E390" s="17" t="s">
        <v>61</v>
      </c>
      <c r="F390" s="1"/>
      <c r="G390" s="2" t="s">
        <v>25</v>
      </c>
      <c r="H390" s="18" t="s">
        <v>611</v>
      </c>
      <c r="I390" s="6"/>
      <c r="J390" s="19"/>
    </row>
    <row r="391" spans="1:10" ht="13.5" customHeight="1">
      <c r="A391" s="17" t="s">
        <v>136</v>
      </c>
      <c r="B391" s="1"/>
      <c r="C391" s="1"/>
      <c r="D391" s="2" t="s">
        <v>25</v>
      </c>
      <c r="E391" s="17" t="s">
        <v>39</v>
      </c>
      <c r="F391" s="1"/>
      <c r="G391" s="2">
        <v>100</v>
      </c>
      <c r="H391" s="18"/>
      <c r="I391" s="6"/>
      <c r="J391" s="19"/>
    </row>
    <row r="392" spans="1:10" ht="13.5" customHeight="1">
      <c r="A392" s="18" t="s">
        <v>40</v>
      </c>
      <c r="B392" s="6"/>
      <c r="C392" s="6"/>
      <c r="D392" s="2" t="s">
        <v>25</v>
      </c>
      <c r="E392" s="17" t="s">
        <v>41</v>
      </c>
      <c r="F392" s="1"/>
      <c r="G392" s="2" t="s">
        <v>25</v>
      </c>
      <c r="H392" s="18"/>
      <c r="I392" s="6"/>
      <c r="J392" s="19"/>
    </row>
    <row r="393" spans="1:10" ht="13.5" customHeight="1">
      <c r="A393" s="204" t="s">
        <v>63</v>
      </c>
      <c r="B393" s="205"/>
      <c r="C393" s="206"/>
      <c r="D393" s="229">
        <f>SUM(D386:D392)</f>
        <v>28100</v>
      </c>
      <c r="E393" s="1" t="s">
        <v>43</v>
      </c>
      <c r="F393" s="1"/>
      <c r="G393" s="2" t="s">
        <v>25</v>
      </c>
      <c r="H393" s="18"/>
      <c r="I393" s="6"/>
      <c r="J393" s="19"/>
    </row>
    <row r="394" spans="1:10" ht="13.5" customHeight="1">
      <c r="A394" s="207"/>
      <c r="B394" s="197"/>
      <c r="C394" s="208"/>
      <c r="D394" s="230"/>
      <c r="E394" s="21" t="s">
        <v>21</v>
      </c>
      <c r="F394" s="22"/>
      <c r="G394" s="13">
        <f>SUM(G386:G393)</f>
        <v>100</v>
      </c>
      <c r="H394" s="21" t="s">
        <v>44</v>
      </c>
      <c r="I394" s="22"/>
      <c r="J394" s="13">
        <f>D393-G394</f>
        <v>28000</v>
      </c>
    </row>
    <row r="395" spans="1:10" ht="13.5" customHeight="1">
      <c r="A395" s="3" t="s">
        <v>45</v>
      </c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3.5" customHeight="1">
      <c r="A397" s="3"/>
      <c r="B397" s="3" t="s">
        <v>47</v>
      </c>
      <c r="C397" s="3"/>
      <c r="D397" s="3"/>
      <c r="E397" s="3" t="s">
        <v>48</v>
      </c>
      <c r="F397" s="3"/>
      <c r="G397" s="3"/>
      <c r="H397" s="3" t="s">
        <v>49</v>
      </c>
      <c r="I397" s="3"/>
      <c r="J397" s="3"/>
    </row>
    <row r="398" spans="1:10" ht="13.5" customHeight="1">
      <c r="A398" s="184" t="s">
        <v>0</v>
      </c>
      <c r="B398" s="185"/>
      <c r="C398" s="185"/>
      <c r="D398" s="185"/>
      <c r="E398" s="185"/>
      <c r="F398" s="185"/>
      <c r="G398" s="185"/>
      <c r="H398" s="185"/>
      <c r="I398" s="185"/>
      <c r="J398" s="186"/>
    </row>
    <row r="399" spans="1:10" ht="13.5" customHeight="1">
      <c r="A399" s="187" t="s">
        <v>1</v>
      </c>
      <c r="B399" s="188"/>
      <c r="C399" s="188"/>
      <c r="D399" s="188"/>
      <c r="E399" s="188"/>
      <c r="F399" s="188"/>
      <c r="G399" s="188"/>
      <c r="H399" s="188"/>
      <c r="I399" s="188"/>
      <c r="J399" s="189"/>
    </row>
    <row r="400" spans="1:10" ht="13.5" customHeight="1">
      <c r="A400" s="1" t="s">
        <v>2</v>
      </c>
      <c r="B400" s="1"/>
      <c r="C400" s="209" t="s">
        <v>413</v>
      </c>
      <c r="D400" s="209"/>
      <c r="E400" s="2"/>
      <c r="F400" s="3"/>
      <c r="G400" s="1" t="s">
        <v>4</v>
      </c>
      <c r="H400" s="191" t="s">
        <v>143</v>
      </c>
      <c r="I400" s="191"/>
      <c r="J400" s="191"/>
    </row>
    <row r="401" spans="1:10" ht="13.5" customHeight="1">
      <c r="A401" s="1" t="s">
        <v>6</v>
      </c>
      <c r="B401" s="1"/>
      <c r="C401" s="196" t="s">
        <v>591</v>
      </c>
      <c r="D401" s="196"/>
      <c r="E401" s="2"/>
      <c r="F401" s="3"/>
      <c r="G401" s="1" t="s">
        <v>8</v>
      </c>
      <c r="H401" s="193" t="s">
        <v>9</v>
      </c>
      <c r="I401" s="193"/>
      <c r="J401" s="193"/>
    </row>
    <row r="402" spans="1:10" ht="13.5" customHeight="1">
      <c r="A402" s="6" t="s">
        <v>10</v>
      </c>
      <c r="B402" s="6"/>
      <c r="C402" s="209" t="s">
        <v>563</v>
      </c>
      <c r="D402" s="209"/>
      <c r="E402" s="2"/>
      <c r="F402" s="3"/>
      <c r="G402" s="1" t="s">
        <v>12</v>
      </c>
      <c r="H402" s="195" t="s">
        <v>13</v>
      </c>
      <c r="I402" s="195"/>
      <c r="J402" s="195"/>
    </row>
    <row r="403" spans="1:10" ht="13.5" customHeight="1">
      <c r="A403" s="2" t="s">
        <v>14</v>
      </c>
      <c r="B403" s="2"/>
      <c r="C403" s="2" t="s">
        <v>15</v>
      </c>
      <c r="D403" s="2"/>
      <c r="E403" s="2"/>
      <c r="F403" s="3"/>
      <c r="G403" s="1" t="s">
        <v>16</v>
      </c>
      <c r="H403" s="209" t="s">
        <v>612</v>
      </c>
      <c r="I403" s="209"/>
      <c r="J403" s="209"/>
    </row>
    <row r="404" spans="1:10" ht="13.5" customHeight="1">
      <c r="A404" s="2">
        <v>30</v>
      </c>
      <c r="B404" s="2"/>
      <c r="C404" s="2">
        <f>A404-H404</f>
        <v>1</v>
      </c>
      <c r="D404" s="2"/>
      <c r="E404" s="2"/>
      <c r="F404" s="3"/>
      <c r="G404" s="8" t="s">
        <v>18</v>
      </c>
      <c r="H404" s="197">
        <v>29</v>
      </c>
      <c r="I404" s="197"/>
      <c r="J404" s="197"/>
    </row>
    <row r="405" spans="1:10" ht="13.5" customHeight="1">
      <c r="A405" s="198" t="s">
        <v>19</v>
      </c>
      <c r="B405" s="199"/>
      <c r="C405" s="200"/>
      <c r="D405" s="13" t="s">
        <v>20</v>
      </c>
      <c r="E405" s="14" t="s">
        <v>21</v>
      </c>
      <c r="F405" s="15"/>
      <c r="G405" s="16" t="s">
        <v>20</v>
      </c>
      <c r="H405" s="201" t="s">
        <v>22</v>
      </c>
      <c r="I405" s="202"/>
      <c r="J405" s="203"/>
    </row>
    <row r="406" spans="1:10" ht="13.5" customHeight="1">
      <c r="A406" s="117" t="s">
        <v>23</v>
      </c>
      <c r="B406" s="118"/>
      <c r="C406" s="1"/>
      <c r="D406" s="2">
        <v>20000</v>
      </c>
      <c r="E406" s="17" t="s">
        <v>24</v>
      </c>
      <c r="F406" s="1"/>
      <c r="G406" s="2" t="s">
        <v>25</v>
      </c>
      <c r="H406" s="18" t="s">
        <v>26</v>
      </c>
      <c r="I406" s="23"/>
      <c r="J406" s="24"/>
    </row>
    <row r="407" spans="1:10" ht="13.5" customHeight="1">
      <c r="A407" s="17" t="s">
        <v>77</v>
      </c>
      <c r="B407" s="209"/>
      <c r="C407" s="209"/>
      <c r="D407" s="2" t="s">
        <v>25</v>
      </c>
      <c r="E407" s="17" t="s">
        <v>376</v>
      </c>
      <c r="F407" s="1"/>
      <c r="G407" s="2" t="s">
        <v>25</v>
      </c>
      <c r="H407" s="18" t="s">
        <v>29</v>
      </c>
      <c r="I407" s="23"/>
      <c r="J407" s="24"/>
    </row>
    <row r="408" spans="1:10" ht="13.5" customHeight="1">
      <c r="A408" s="17" t="s">
        <v>30</v>
      </c>
      <c r="B408" s="1"/>
      <c r="C408" s="1"/>
      <c r="D408" s="2">
        <v>1733</v>
      </c>
      <c r="E408" s="17" t="s">
        <v>58</v>
      </c>
      <c r="F408" s="1"/>
      <c r="G408" s="2" t="s">
        <v>25</v>
      </c>
      <c r="H408" s="18" t="s">
        <v>32</v>
      </c>
      <c r="I408" s="23"/>
      <c r="J408" s="24"/>
    </row>
    <row r="409" spans="1:10" ht="13.5" customHeight="1">
      <c r="A409" s="17" t="s">
        <v>147</v>
      </c>
      <c r="B409" s="1"/>
      <c r="C409" s="1"/>
      <c r="D409" s="2" t="s">
        <v>25</v>
      </c>
      <c r="E409" s="17" t="s">
        <v>35</v>
      </c>
      <c r="F409" s="1"/>
      <c r="G409" s="2">
        <v>633</v>
      </c>
      <c r="H409" s="18"/>
      <c r="I409" s="6"/>
      <c r="J409" s="19"/>
    </row>
    <row r="410" spans="1:10" ht="13.5" customHeight="1">
      <c r="A410" s="17" t="s">
        <v>72</v>
      </c>
      <c r="B410" s="1"/>
      <c r="C410" s="1"/>
      <c r="D410" s="2" t="s">
        <v>25</v>
      </c>
      <c r="E410" s="17" t="s">
        <v>61</v>
      </c>
      <c r="F410" s="1"/>
      <c r="G410" s="2" t="s">
        <v>25</v>
      </c>
      <c r="H410" s="18"/>
      <c r="I410" s="6"/>
      <c r="J410" s="19"/>
    </row>
    <row r="411" spans="1:10" ht="13.5" customHeight="1">
      <c r="A411" s="17" t="s">
        <v>136</v>
      </c>
      <c r="B411" s="1"/>
      <c r="C411" s="1"/>
      <c r="D411" s="2" t="s">
        <v>25</v>
      </c>
      <c r="E411" s="17" t="s">
        <v>39</v>
      </c>
      <c r="F411" s="1"/>
      <c r="G411" s="2">
        <v>100</v>
      </c>
      <c r="H411" s="18"/>
      <c r="I411" s="6"/>
      <c r="J411" s="19"/>
    </row>
    <row r="412" spans="1:10" ht="13.5" customHeight="1">
      <c r="A412" s="18" t="s">
        <v>40</v>
      </c>
      <c r="B412" s="6"/>
      <c r="C412" s="6"/>
      <c r="D412" s="2" t="s">
        <v>25</v>
      </c>
      <c r="E412" s="17" t="s">
        <v>41</v>
      </c>
      <c r="F412" s="1"/>
      <c r="G412" s="2" t="s">
        <v>25</v>
      </c>
      <c r="H412" s="18"/>
      <c r="I412" s="6"/>
      <c r="J412" s="19"/>
    </row>
    <row r="413" spans="1:10" ht="13.5" customHeight="1">
      <c r="A413" s="204" t="s">
        <v>63</v>
      </c>
      <c r="B413" s="205"/>
      <c r="C413" s="206"/>
      <c r="D413" s="229">
        <f>SUM(D406:D412)</f>
        <v>21733</v>
      </c>
      <c r="E413" s="1" t="s">
        <v>43</v>
      </c>
      <c r="F413" s="1"/>
      <c r="G413" s="2" t="s">
        <v>25</v>
      </c>
      <c r="H413" s="18"/>
      <c r="I413" s="6"/>
      <c r="J413" s="19"/>
    </row>
    <row r="414" spans="1:10" ht="13.5" customHeight="1">
      <c r="A414" s="207"/>
      <c r="B414" s="197"/>
      <c r="C414" s="208"/>
      <c r="D414" s="230"/>
      <c r="E414" s="21" t="s">
        <v>21</v>
      </c>
      <c r="F414" s="22"/>
      <c r="G414" s="13">
        <f>SUM(G406:G413)</f>
        <v>733</v>
      </c>
      <c r="H414" s="21" t="s">
        <v>44</v>
      </c>
      <c r="I414" s="22"/>
      <c r="J414" s="13">
        <f>D413-G414</f>
        <v>21000</v>
      </c>
    </row>
    <row r="415" spans="1:10" ht="13.5" customHeight="1">
      <c r="A415" s="3" t="s">
        <v>45</v>
      </c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3.5" customHeight="1">
      <c r="A417" s="3"/>
      <c r="B417" s="3" t="s">
        <v>47</v>
      </c>
      <c r="C417" s="3"/>
      <c r="D417" s="3"/>
      <c r="E417" s="3" t="s">
        <v>48</v>
      </c>
      <c r="F417" s="3"/>
      <c r="G417" s="3"/>
      <c r="H417" s="3" t="s">
        <v>49</v>
      </c>
      <c r="I417" s="3"/>
      <c r="J417" s="3"/>
    </row>
    <row r="418" spans="1:10" ht="13.5" customHeight="1">
      <c r="A418" s="184" t="s">
        <v>0</v>
      </c>
      <c r="B418" s="185"/>
      <c r="C418" s="185"/>
      <c r="D418" s="185"/>
      <c r="E418" s="185"/>
      <c r="F418" s="185"/>
      <c r="G418" s="185"/>
      <c r="H418" s="185"/>
      <c r="I418" s="185"/>
      <c r="J418" s="186"/>
    </row>
    <row r="419" spans="1:10" ht="13.5" customHeight="1">
      <c r="A419" s="187" t="s">
        <v>1</v>
      </c>
      <c r="B419" s="188"/>
      <c r="C419" s="188"/>
      <c r="D419" s="188"/>
      <c r="E419" s="188"/>
      <c r="F419" s="188"/>
      <c r="G419" s="188"/>
      <c r="H419" s="188"/>
      <c r="I419" s="188"/>
      <c r="J419" s="189"/>
    </row>
    <row r="420" spans="1:10" ht="13.5" customHeight="1">
      <c r="A420" s="1" t="s">
        <v>2</v>
      </c>
      <c r="B420" s="1"/>
      <c r="C420" s="209" t="s">
        <v>413</v>
      </c>
      <c r="D420" s="209"/>
      <c r="E420" s="2"/>
      <c r="F420" s="3"/>
      <c r="G420" s="1" t="s">
        <v>4</v>
      </c>
      <c r="H420" s="191" t="s">
        <v>143</v>
      </c>
      <c r="I420" s="191"/>
      <c r="J420" s="191"/>
    </row>
    <row r="421" spans="1:10" ht="13.5" customHeight="1">
      <c r="A421" s="1" t="s">
        <v>6</v>
      </c>
      <c r="B421" s="1"/>
      <c r="C421" s="196" t="s">
        <v>613</v>
      </c>
      <c r="D421" s="196"/>
      <c r="E421" s="2"/>
      <c r="F421" s="3"/>
      <c r="G421" s="1" t="s">
        <v>8</v>
      </c>
      <c r="H421" s="193" t="s">
        <v>9</v>
      </c>
      <c r="I421" s="193"/>
      <c r="J421" s="193"/>
    </row>
    <row r="422" spans="1:10" ht="13.5" customHeight="1">
      <c r="A422" s="6" t="s">
        <v>10</v>
      </c>
      <c r="B422" s="6"/>
      <c r="C422" s="209" t="s">
        <v>563</v>
      </c>
      <c r="D422" s="209"/>
      <c r="E422" s="2"/>
      <c r="F422" s="3"/>
      <c r="G422" s="1" t="s">
        <v>12</v>
      </c>
      <c r="H422" s="195" t="s">
        <v>13</v>
      </c>
      <c r="I422" s="195"/>
      <c r="J422" s="195"/>
    </row>
    <row r="423" spans="1:10" ht="13.5" customHeight="1">
      <c r="A423" s="2" t="s">
        <v>14</v>
      </c>
      <c r="B423" s="2"/>
      <c r="C423" s="2" t="s">
        <v>15</v>
      </c>
      <c r="D423" s="2"/>
      <c r="E423" s="2"/>
      <c r="F423" s="3"/>
      <c r="G423" s="1" t="s">
        <v>16</v>
      </c>
      <c r="H423" s="209" t="s">
        <v>55</v>
      </c>
      <c r="I423" s="209"/>
      <c r="J423" s="209"/>
    </row>
    <row r="424" spans="1:10" ht="13.5" customHeight="1">
      <c r="A424" s="2">
        <v>30</v>
      </c>
      <c r="B424" s="2"/>
      <c r="C424" s="2">
        <f>A424-H424</f>
        <v>2</v>
      </c>
      <c r="D424" s="2"/>
      <c r="E424" s="2"/>
      <c r="F424" s="3"/>
      <c r="G424" s="8" t="s">
        <v>18</v>
      </c>
      <c r="H424" s="197">
        <v>28</v>
      </c>
      <c r="I424" s="197"/>
      <c r="J424" s="197"/>
    </row>
    <row r="425" spans="1:10" ht="13.5" customHeight="1">
      <c r="A425" s="198" t="s">
        <v>19</v>
      </c>
      <c r="B425" s="199"/>
      <c r="C425" s="200"/>
      <c r="D425" s="13" t="s">
        <v>20</v>
      </c>
      <c r="E425" s="14" t="s">
        <v>21</v>
      </c>
      <c r="F425" s="15"/>
      <c r="G425" s="16" t="s">
        <v>20</v>
      </c>
      <c r="H425" s="201" t="s">
        <v>22</v>
      </c>
      <c r="I425" s="202"/>
      <c r="J425" s="203"/>
    </row>
    <row r="426" spans="1:10" ht="13.5" customHeight="1">
      <c r="A426" s="117" t="s">
        <v>23</v>
      </c>
      <c r="B426" s="118"/>
      <c r="C426" s="1"/>
      <c r="D426" s="2">
        <v>18000</v>
      </c>
      <c r="E426" s="17" t="s">
        <v>24</v>
      </c>
      <c r="F426" s="1"/>
      <c r="G426" s="2" t="s">
        <v>25</v>
      </c>
      <c r="H426" s="18" t="s">
        <v>26</v>
      </c>
      <c r="I426" s="23"/>
      <c r="J426" s="24"/>
    </row>
    <row r="427" spans="1:10" ht="13.5" customHeight="1">
      <c r="A427" s="17" t="s">
        <v>77</v>
      </c>
      <c r="B427" s="209"/>
      <c r="C427" s="209"/>
      <c r="D427" s="2" t="s">
        <v>25</v>
      </c>
      <c r="E427" s="17" t="s">
        <v>376</v>
      </c>
      <c r="F427" s="1"/>
      <c r="G427" s="2" t="s">
        <v>25</v>
      </c>
      <c r="H427" s="18" t="s">
        <v>29</v>
      </c>
      <c r="I427" s="23"/>
      <c r="J427" s="24"/>
    </row>
    <row r="428" spans="1:10" ht="13.5" customHeight="1">
      <c r="A428" s="17" t="s">
        <v>30</v>
      </c>
      <c r="B428" s="1"/>
      <c r="C428" s="1"/>
      <c r="D428" s="2">
        <v>1300</v>
      </c>
      <c r="E428" s="17" t="s">
        <v>58</v>
      </c>
      <c r="F428" s="1"/>
      <c r="G428" s="2" t="s">
        <v>25</v>
      </c>
      <c r="H428" s="18" t="s">
        <v>32</v>
      </c>
      <c r="I428" s="23"/>
      <c r="J428" s="24"/>
    </row>
    <row r="429" spans="1:10" ht="13.5" customHeight="1">
      <c r="A429" s="17" t="s">
        <v>147</v>
      </c>
      <c r="B429" s="1"/>
      <c r="C429" s="1"/>
      <c r="D429" s="2" t="s">
        <v>25</v>
      </c>
      <c r="E429" s="17" t="s">
        <v>35</v>
      </c>
      <c r="F429" s="1"/>
      <c r="G429" s="2">
        <v>1200</v>
      </c>
      <c r="H429" s="18"/>
      <c r="I429" s="6"/>
      <c r="J429" s="19"/>
    </row>
    <row r="430" spans="1:10" ht="13.5" customHeight="1">
      <c r="A430" s="17" t="s">
        <v>72</v>
      </c>
      <c r="B430" s="1"/>
      <c r="C430" s="1"/>
      <c r="D430" s="2" t="s">
        <v>25</v>
      </c>
      <c r="E430" s="17" t="s">
        <v>61</v>
      </c>
      <c r="F430" s="1"/>
      <c r="G430" s="2" t="s">
        <v>25</v>
      </c>
      <c r="H430" s="18"/>
      <c r="I430" s="6"/>
      <c r="J430" s="19"/>
    </row>
    <row r="431" spans="1:10" ht="13.5" customHeight="1">
      <c r="A431" s="17" t="s">
        <v>136</v>
      </c>
      <c r="B431" s="1"/>
      <c r="C431" s="1"/>
      <c r="D431" s="2" t="s">
        <v>25</v>
      </c>
      <c r="E431" s="17" t="s">
        <v>39</v>
      </c>
      <c r="F431" s="1"/>
      <c r="G431" s="2">
        <v>100</v>
      </c>
      <c r="H431" s="18"/>
      <c r="I431" s="6"/>
      <c r="J431" s="19"/>
    </row>
    <row r="432" spans="1:10" ht="13.5" customHeight="1">
      <c r="A432" s="18" t="s">
        <v>40</v>
      </c>
      <c r="B432" s="6"/>
      <c r="C432" s="6"/>
      <c r="D432" s="2" t="s">
        <v>25</v>
      </c>
      <c r="E432" s="17" t="s">
        <v>41</v>
      </c>
      <c r="F432" s="1"/>
      <c r="G432" s="2" t="s">
        <v>25</v>
      </c>
      <c r="H432" s="18"/>
      <c r="I432" s="6"/>
      <c r="J432" s="19"/>
    </row>
    <row r="433" spans="1:10" ht="13.5" customHeight="1">
      <c r="A433" s="204" t="s">
        <v>63</v>
      </c>
      <c r="B433" s="205"/>
      <c r="C433" s="206"/>
      <c r="D433" s="229">
        <f>SUM(D426:D432)</f>
        <v>19300</v>
      </c>
      <c r="E433" s="1" t="s">
        <v>43</v>
      </c>
      <c r="F433" s="1"/>
      <c r="G433" s="2" t="s">
        <v>25</v>
      </c>
      <c r="H433" s="18"/>
      <c r="I433" s="6"/>
      <c r="J433" s="19"/>
    </row>
    <row r="434" spans="1:10" ht="13.5" customHeight="1">
      <c r="A434" s="207"/>
      <c r="B434" s="197"/>
      <c r="C434" s="208"/>
      <c r="D434" s="230"/>
      <c r="E434" s="21" t="s">
        <v>21</v>
      </c>
      <c r="F434" s="22"/>
      <c r="G434" s="13">
        <f>SUM(G426:G433)</f>
        <v>1300</v>
      </c>
      <c r="H434" s="21" t="s">
        <v>44</v>
      </c>
      <c r="I434" s="22"/>
      <c r="J434" s="13">
        <f>D433-G434</f>
        <v>18000</v>
      </c>
    </row>
    <row r="435" spans="1:10" ht="13.5" customHeight="1">
      <c r="A435" s="3" t="s">
        <v>45</v>
      </c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3.5" customHeight="1">
      <c r="A437" s="3"/>
      <c r="B437" s="3" t="s">
        <v>47</v>
      </c>
      <c r="C437" s="3"/>
      <c r="D437" s="3"/>
      <c r="E437" s="3" t="s">
        <v>48</v>
      </c>
      <c r="F437" s="3"/>
      <c r="G437" s="3"/>
      <c r="H437" s="3" t="s">
        <v>49</v>
      </c>
      <c r="I437" s="3"/>
      <c r="J437" s="3"/>
    </row>
    <row r="438" spans="1:10" ht="13.5" customHeight="1">
      <c r="A438" s="184" t="s">
        <v>0</v>
      </c>
      <c r="B438" s="185"/>
      <c r="C438" s="185"/>
      <c r="D438" s="185"/>
      <c r="E438" s="185"/>
      <c r="F438" s="185"/>
      <c r="G438" s="185"/>
      <c r="H438" s="185"/>
      <c r="I438" s="185"/>
      <c r="J438" s="186"/>
    </row>
    <row r="439" spans="1:10" ht="13.5" customHeight="1">
      <c r="A439" s="187" t="s">
        <v>1</v>
      </c>
      <c r="B439" s="188"/>
      <c r="C439" s="188"/>
      <c r="D439" s="188"/>
      <c r="E439" s="188"/>
      <c r="F439" s="188"/>
      <c r="G439" s="188"/>
      <c r="H439" s="188"/>
      <c r="I439" s="188"/>
      <c r="J439" s="189"/>
    </row>
    <row r="440" spans="1:10" ht="13.5" customHeight="1">
      <c r="A440" s="1" t="s">
        <v>2</v>
      </c>
      <c r="B440" s="1"/>
      <c r="C440" s="209" t="s">
        <v>413</v>
      </c>
      <c r="D440" s="209"/>
      <c r="E440" s="2"/>
      <c r="F440" s="3"/>
      <c r="G440" s="1" t="s">
        <v>4</v>
      </c>
      <c r="H440" s="191" t="s">
        <v>143</v>
      </c>
      <c r="I440" s="191"/>
      <c r="J440" s="191"/>
    </row>
    <row r="441" spans="1:10" ht="13.5" customHeight="1">
      <c r="A441" s="1" t="s">
        <v>6</v>
      </c>
      <c r="B441" s="1"/>
      <c r="C441" s="196" t="s">
        <v>614</v>
      </c>
      <c r="D441" s="196"/>
      <c r="E441" s="2"/>
      <c r="F441" s="3"/>
      <c r="G441" s="1" t="s">
        <v>8</v>
      </c>
      <c r="H441" s="193" t="s">
        <v>9</v>
      </c>
      <c r="I441" s="193"/>
      <c r="J441" s="193"/>
    </row>
    <row r="442" spans="1:10" ht="13.5" customHeight="1">
      <c r="A442" s="6" t="s">
        <v>10</v>
      </c>
      <c r="B442" s="6"/>
      <c r="C442" s="209" t="s">
        <v>560</v>
      </c>
      <c r="D442" s="209"/>
      <c r="E442" s="2"/>
      <c r="F442" s="3"/>
      <c r="G442" s="1" t="s">
        <v>12</v>
      </c>
      <c r="H442" s="195" t="s">
        <v>13</v>
      </c>
      <c r="I442" s="195"/>
      <c r="J442" s="195"/>
    </row>
    <row r="443" spans="1:10" ht="13.5" customHeight="1">
      <c r="A443" s="2" t="s">
        <v>14</v>
      </c>
      <c r="B443" s="2"/>
      <c r="C443" s="2" t="s">
        <v>15</v>
      </c>
      <c r="D443" s="2"/>
      <c r="E443" s="2"/>
      <c r="F443" s="3"/>
      <c r="G443" s="1" t="s">
        <v>16</v>
      </c>
      <c r="H443" s="209" t="s">
        <v>55</v>
      </c>
      <c r="I443" s="209"/>
      <c r="J443" s="209"/>
    </row>
    <row r="444" spans="1:10" ht="13.5" customHeight="1">
      <c r="A444" s="2">
        <v>30</v>
      </c>
      <c r="B444" s="2"/>
      <c r="C444" s="2">
        <f>A444-H444</f>
        <v>19</v>
      </c>
      <c r="D444" s="2"/>
      <c r="E444" s="2"/>
      <c r="F444" s="3"/>
      <c r="G444" s="8" t="s">
        <v>18</v>
      </c>
      <c r="H444" s="197">
        <v>11</v>
      </c>
      <c r="I444" s="197"/>
      <c r="J444" s="197"/>
    </row>
    <row r="445" spans="1:10" ht="13.5" customHeight="1">
      <c r="A445" s="198" t="s">
        <v>19</v>
      </c>
      <c r="B445" s="199"/>
      <c r="C445" s="200"/>
      <c r="D445" s="13" t="s">
        <v>20</v>
      </c>
      <c r="E445" s="14" t="s">
        <v>21</v>
      </c>
      <c r="F445" s="15"/>
      <c r="G445" s="16" t="s">
        <v>20</v>
      </c>
      <c r="H445" s="201" t="s">
        <v>22</v>
      </c>
      <c r="I445" s="202"/>
      <c r="J445" s="203"/>
    </row>
    <row r="446" spans="1:10" ht="13.5" customHeight="1">
      <c r="A446" s="117" t="s">
        <v>23</v>
      </c>
      <c r="B446" s="118"/>
      <c r="C446" s="1"/>
      <c r="D446" s="2">
        <v>18000</v>
      </c>
      <c r="E446" s="17" t="s">
        <v>24</v>
      </c>
      <c r="F446" s="1"/>
      <c r="G446" s="2" t="s">
        <v>25</v>
      </c>
      <c r="H446" s="18" t="s">
        <v>26</v>
      </c>
      <c r="I446" s="23"/>
      <c r="J446" s="24"/>
    </row>
    <row r="447" spans="1:10" ht="13.5" customHeight="1">
      <c r="A447" s="17" t="s">
        <v>77</v>
      </c>
      <c r="B447" s="209"/>
      <c r="C447" s="209"/>
      <c r="D447" s="2" t="s">
        <v>25</v>
      </c>
      <c r="E447" s="17" t="s">
        <v>376</v>
      </c>
      <c r="F447" s="1"/>
      <c r="G447" s="2" t="s">
        <v>25</v>
      </c>
      <c r="H447" s="18" t="s">
        <v>29</v>
      </c>
      <c r="I447" s="23"/>
      <c r="J447" s="24"/>
    </row>
    <row r="448" spans="1:10" ht="13.5" customHeight="1">
      <c r="A448" s="17" t="s">
        <v>30</v>
      </c>
      <c r="B448" s="1"/>
      <c r="C448" s="1"/>
      <c r="D448" s="2">
        <v>500</v>
      </c>
      <c r="E448" s="17" t="s">
        <v>58</v>
      </c>
      <c r="F448" s="1"/>
      <c r="G448" s="2" t="s">
        <v>25</v>
      </c>
      <c r="H448" s="18" t="s">
        <v>32</v>
      </c>
      <c r="I448" s="23"/>
      <c r="J448" s="24"/>
    </row>
    <row r="449" spans="1:10" ht="13.5" customHeight="1">
      <c r="A449" s="17" t="s">
        <v>147</v>
      </c>
      <c r="B449" s="1"/>
      <c r="C449" s="1"/>
      <c r="D449" s="2" t="s">
        <v>25</v>
      </c>
      <c r="E449" s="17" t="s">
        <v>35</v>
      </c>
      <c r="F449" s="1"/>
      <c r="G449" s="2">
        <v>11400</v>
      </c>
      <c r="H449" s="18"/>
      <c r="I449" s="6"/>
      <c r="J449" s="19"/>
    </row>
    <row r="450" spans="1:10" ht="13.5" customHeight="1">
      <c r="A450" s="17" t="s">
        <v>72</v>
      </c>
      <c r="B450" s="1"/>
      <c r="C450" s="1"/>
      <c r="D450" s="2" t="s">
        <v>25</v>
      </c>
      <c r="E450" s="17" t="s">
        <v>61</v>
      </c>
      <c r="F450" s="1"/>
      <c r="G450" s="2" t="s">
        <v>25</v>
      </c>
      <c r="H450" s="18"/>
      <c r="I450" s="6"/>
      <c r="J450" s="19"/>
    </row>
    <row r="451" spans="1:10" ht="13.5" customHeight="1">
      <c r="A451" s="17" t="s">
        <v>136</v>
      </c>
      <c r="B451" s="1"/>
      <c r="C451" s="1"/>
      <c r="D451" s="2" t="s">
        <v>25</v>
      </c>
      <c r="E451" s="17" t="s">
        <v>39</v>
      </c>
      <c r="F451" s="1"/>
      <c r="G451" s="2">
        <v>100</v>
      </c>
      <c r="H451" s="18"/>
      <c r="I451" s="6"/>
      <c r="J451" s="19"/>
    </row>
    <row r="452" spans="1:10" ht="13.5" customHeight="1">
      <c r="A452" s="18" t="s">
        <v>40</v>
      </c>
      <c r="B452" s="6"/>
      <c r="C452" s="6"/>
      <c r="D452" s="2" t="s">
        <v>25</v>
      </c>
      <c r="E452" s="17" t="s">
        <v>41</v>
      </c>
      <c r="F452" s="1"/>
      <c r="G452" s="2" t="s">
        <v>25</v>
      </c>
      <c r="H452" s="18"/>
      <c r="I452" s="6"/>
      <c r="J452" s="19"/>
    </row>
    <row r="453" spans="1:10" ht="13.5" customHeight="1">
      <c r="A453" s="204" t="s">
        <v>63</v>
      </c>
      <c r="B453" s="205"/>
      <c r="C453" s="206"/>
      <c r="D453" s="229">
        <f>SUM(D446:D452)</f>
        <v>18500</v>
      </c>
      <c r="E453" s="1" t="s">
        <v>43</v>
      </c>
      <c r="F453" s="1"/>
      <c r="G453" s="2" t="s">
        <v>25</v>
      </c>
      <c r="H453" s="18"/>
      <c r="I453" s="6"/>
      <c r="J453" s="19"/>
    </row>
    <row r="454" spans="1:10" ht="13.5" customHeight="1">
      <c r="A454" s="207"/>
      <c r="B454" s="197"/>
      <c r="C454" s="208"/>
      <c r="D454" s="230"/>
      <c r="E454" s="21" t="s">
        <v>21</v>
      </c>
      <c r="F454" s="22"/>
      <c r="G454" s="13">
        <f>SUM(G446:G453)</f>
        <v>11500</v>
      </c>
      <c r="H454" s="21" t="s">
        <v>44</v>
      </c>
      <c r="I454" s="22"/>
      <c r="J454" s="13">
        <f>D453-G454</f>
        <v>7000</v>
      </c>
    </row>
    <row r="455" spans="1:10" ht="13.5" customHeight="1">
      <c r="A455" s="3" t="s">
        <v>45</v>
      </c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3.5" customHeight="1">
      <c r="A457" s="3"/>
      <c r="B457" s="3" t="s">
        <v>47</v>
      </c>
      <c r="C457" s="3"/>
      <c r="D457" s="3"/>
      <c r="E457" s="3" t="s">
        <v>48</v>
      </c>
      <c r="F457" s="3"/>
      <c r="G457" s="3"/>
      <c r="H457" s="3" t="s">
        <v>49</v>
      </c>
      <c r="I457" s="3"/>
      <c r="J457" s="3"/>
    </row>
    <row r="458" spans="1:10" ht="13.5" customHeight="1">
      <c r="A458" s="184" t="s">
        <v>0</v>
      </c>
      <c r="B458" s="185"/>
      <c r="C458" s="185"/>
      <c r="D458" s="185"/>
      <c r="E458" s="185"/>
      <c r="F458" s="185"/>
      <c r="G458" s="185"/>
      <c r="H458" s="185"/>
      <c r="I458" s="185"/>
      <c r="J458" s="186"/>
    </row>
    <row r="459" spans="1:10" ht="13.5" customHeight="1">
      <c r="A459" s="187" t="s">
        <v>1</v>
      </c>
      <c r="B459" s="188"/>
      <c r="C459" s="188"/>
      <c r="D459" s="188"/>
      <c r="E459" s="188"/>
      <c r="F459" s="188"/>
      <c r="G459" s="188"/>
      <c r="H459" s="188"/>
      <c r="I459" s="188"/>
      <c r="J459" s="189"/>
    </row>
    <row r="460" spans="1:10" ht="13.5" customHeight="1">
      <c r="A460" s="1" t="s">
        <v>2</v>
      </c>
      <c r="B460" s="1"/>
      <c r="C460" s="190" t="s">
        <v>615</v>
      </c>
      <c r="D460" s="190"/>
      <c r="E460" s="2"/>
      <c r="F460" s="3"/>
      <c r="G460" s="1" t="s">
        <v>4</v>
      </c>
      <c r="H460" s="209" t="s">
        <v>143</v>
      </c>
      <c r="I460" s="209"/>
      <c r="J460" s="209"/>
    </row>
    <row r="461" spans="1:10" ht="13.5" customHeight="1">
      <c r="A461" s="1" t="s">
        <v>6</v>
      </c>
      <c r="B461" s="1"/>
      <c r="C461" s="25" t="s">
        <v>616</v>
      </c>
      <c r="D461" s="25"/>
      <c r="E461" s="2"/>
      <c r="F461" s="3"/>
      <c r="G461" s="1" t="s">
        <v>8</v>
      </c>
      <c r="H461" s="193" t="s">
        <v>9</v>
      </c>
      <c r="I461" s="193"/>
      <c r="J461" s="193"/>
    </row>
    <row r="462" spans="1:10" ht="13.5" customHeight="1">
      <c r="A462" s="6" t="s">
        <v>10</v>
      </c>
      <c r="B462" s="6"/>
      <c r="C462" s="6" t="s">
        <v>617</v>
      </c>
      <c r="D462" s="6"/>
      <c r="E462" s="2"/>
      <c r="F462" s="3"/>
      <c r="G462" s="1" t="s">
        <v>12</v>
      </c>
      <c r="H462" s="195" t="s">
        <v>13</v>
      </c>
      <c r="I462" s="195"/>
      <c r="J462" s="195"/>
    </row>
    <row r="463" spans="1:10" ht="13.5" customHeight="1">
      <c r="A463" s="2" t="s">
        <v>14</v>
      </c>
      <c r="B463" s="2"/>
      <c r="C463" s="2" t="s">
        <v>15</v>
      </c>
      <c r="D463" s="2"/>
      <c r="E463" s="2"/>
      <c r="F463" s="3"/>
      <c r="G463" s="1" t="s">
        <v>16</v>
      </c>
      <c r="H463" s="196" t="s">
        <v>55</v>
      </c>
      <c r="I463" s="196"/>
      <c r="J463" s="196"/>
    </row>
    <row r="464" spans="1:10" ht="13.5" customHeight="1">
      <c r="A464" s="2">
        <v>30</v>
      </c>
      <c r="B464" s="2"/>
      <c r="C464" s="2">
        <f>A464-H464</f>
        <v>0</v>
      </c>
      <c r="D464" s="2"/>
      <c r="E464" s="2"/>
      <c r="F464" s="3"/>
      <c r="G464" s="8" t="s">
        <v>18</v>
      </c>
      <c r="H464" s="197">
        <v>30</v>
      </c>
      <c r="I464" s="197"/>
      <c r="J464" s="197"/>
    </row>
    <row r="465" spans="1:10" ht="13.5" customHeight="1">
      <c r="A465" s="198" t="s">
        <v>19</v>
      </c>
      <c r="B465" s="199"/>
      <c r="C465" s="200"/>
      <c r="D465" s="13" t="s">
        <v>20</v>
      </c>
      <c r="E465" s="14" t="s">
        <v>21</v>
      </c>
      <c r="F465" s="15"/>
      <c r="G465" s="16" t="s">
        <v>20</v>
      </c>
      <c r="H465" s="201" t="s">
        <v>22</v>
      </c>
      <c r="I465" s="202"/>
      <c r="J465" s="203"/>
    </row>
    <row r="466" spans="1:10" ht="13.5" customHeight="1">
      <c r="A466" s="17" t="s">
        <v>23</v>
      </c>
      <c r="B466" s="1"/>
      <c r="C466" s="1"/>
      <c r="D466" s="28">
        <v>28000</v>
      </c>
      <c r="E466" s="17" t="s">
        <v>58</v>
      </c>
      <c r="F466" s="1"/>
      <c r="G466" s="2" t="s">
        <v>25</v>
      </c>
      <c r="H466" s="18" t="s">
        <v>26</v>
      </c>
      <c r="I466" s="23"/>
      <c r="J466" s="24"/>
    </row>
    <row r="467" spans="1:10" ht="13.5" customHeight="1">
      <c r="A467" s="17" t="s">
        <v>77</v>
      </c>
      <c r="B467" s="209"/>
      <c r="C467" s="209"/>
      <c r="D467" s="2" t="s">
        <v>25</v>
      </c>
      <c r="E467" s="17" t="s">
        <v>52</v>
      </c>
      <c r="F467" s="1"/>
      <c r="G467" s="2" t="s">
        <v>25</v>
      </c>
      <c r="H467" s="18" t="s">
        <v>29</v>
      </c>
      <c r="I467" s="23"/>
      <c r="J467" s="24"/>
    </row>
    <row r="468" spans="1:10" ht="13.5" customHeight="1">
      <c r="A468" s="17" t="s">
        <v>30</v>
      </c>
      <c r="B468" s="6"/>
      <c r="C468" s="6"/>
      <c r="D468" s="2">
        <v>1600</v>
      </c>
      <c r="E468" s="17" t="s">
        <v>146</v>
      </c>
      <c r="F468" s="1"/>
      <c r="G468" s="2" t="s">
        <v>25</v>
      </c>
      <c r="H468" s="18" t="s">
        <v>32</v>
      </c>
      <c r="I468" s="23"/>
      <c r="J468" s="24"/>
    </row>
    <row r="469" spans="1:10" ht="13.5" customHeight="1">
      <c r="A469" s="17" t="s">
        <v>147</v>
      </c>
      <c r="B469" s="1"/>
      <c r="C469" s="1"/>
      <c r="D469" s="2" t="s">
        <v>25</v>
      </c>
      <c r="E469" s="17" t="s">
        <v>35</v>
      </c>
      <c r="F469" s="1"/>
      <c r="G469" s="2" t="s">
        <v>25</v>
      </c>
      <c r="H469" s="18"/>
      <c r="I469" s="6"/>
      <c r="J469" s="19"/>
    </row>
    <row r="470" spans="1:10" ht="13.5" customHeight="1">
      <c r="A470" s="17" t="s">
        <v>27</v>
      </c>
      <c r="B470" s="1"/>
      <c r="C470" s="1"/>
      <c r="D470" s="2" t="s">
        <v>25</v>
      </c>
      <c r="E470" s="17" t="s">
        <v>61</v>
      </c>
      <c r="F470" s="1"/>
      <c r="G470" s="2" t="s">
        <v>25</v>
      </c>
      <c r="H470" s="18"/>
      <c r="I470" s="6"/>
      <c r="J470" s="19"/>
    </row>
    <row r="471" spans="1:10" ht="13.5" customHeight="1">
      <c r="A471" s="17" t="s">
        <v>147</v>
      </c>
      <c r="B471" s="1"/>
      <c r="C471" s="1"/>
      <c r="D471" s="2" t="s">
        <v>25</v>
      </c>
      <c r="E471" s="17" t="s">
        <v>39</v>
      </c>
      <c r="F471" s="1"/>
      <c r="G471" s="2">
        <v>100</v>
      </c>
      <c r="H471" s="18"/>
      <c r="I471" s="6"/>
      <c r="J471" s="19"/>
    </row>
    <row r="472" spans="1:10" ht="13.5" customHeight="1">
      <c r="A472" s="18" t="s">
        <v>40</v>
      </c>
      <c r="B472" s="6"/>
      <c r="C472" s="6"/>
      <c r="D472" s="2" t="s">
        <v>25</v>
      </c>
      <c r="E472" s="17" t="s">
        <v>78</v>
      </c>
      <c r="F472" s="1"/>
      <c r="G472" s="2" t="s">
        <v>25</v>
      </c>
      <c r="H472" s="18"/>
      <c r="I472" s="6"/>
      <c r="J472" s="19"/>
    </row>
    <row r="473" spans="1:10" ht="13.5" customHeight="1">
      <c r="A473" s="204" t="s">
        <v>63</v>
      </c>
      <c r="B473" s="205"/>
      <c r="C473" s="206"/>
      <c r="D473" s="229">
        <f>SUM(D466:D472)</f>
        <v>29600</v>
      </c>
      <c r="E473" s="1" t="s">
        <v>283</v>
      </c>
      <c r="F473" s="1"/>
      <c r="G473" s="2" t="s">
        <v>25</v>
      </c>
      <c r="H473" s="18"/>
      <c r="I473" s="6"/>
      <c r="J473" s="19"/>
    </row>
    <row r="474" spans="1:10" ht="13.5" customHeight="1">
      <c r="A474" s="207"/>
      <c r="B474" s="197"/>
      <c r="C474" s="208"/>
      <c r="D474" s="230"/>
      <c r="E474" s="21" t="s">
        <v>21</v>
      </c>
      <c r="F474" s="22"/>
      <c r="G474" s="13">
        <f>SUM(G466:G473)</f>
        <v>100</v>
      </c>
      <c r="H474" s="21" t="s">
        <v>44</v>
      </c>
      <c r="I474" s="22"/>
      <c r="J474" s="13">
        <f>D473-G474</f>
        <v>29500</v>
      </c>
    </row>
    <row r="475" spans="1:10" ht="13.5" customHeight="1">
      <c r="A475" s="3" t="s">
        <v>45</v>
      </c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3.5" customHeight="1">
      <c r="A477" s="3"/>
      <c r="B477" s="3" t="s">
        <v>47</v>
      </c>
      <c r="C477" s="3"/>
      <c r="D477" s="3"/>
      <c r="E477" s="3" t="s">
        <v>48</v>
      </c>
      <c r="F477" s="3"/>
      <c r="G477" s="3"/>
      <c r="H477" s="3" t="s">
        <v>49</v>
      </c>
      <c r="I477" s="3"/>
      <c r="J477" s="3"/>
    </row>
    <row r="478" spans="1:10" ht="13.5" customHeight="1">
      <c r="A478" s="184" t="s">
        <v>0</v>
      </c>
      <c r="B478" s="185"/>
      <c r="C478" s="185"/>
      <c r="D478" s="185"/>
      <c r="E478" s="185"/>
      <c r="F478" s="185"/>
      <c r="G478" s="185"/>
      <c r="H478" s="185"/>
      <c r="I478" s="185"/>
      <c r="J478" s="186"/>
    </row>
    <row r="479" spans="1:10" ht="13.5" customHeight="1">
      <c r="A479" s="187" t="s">
        <v>1</v>
      </c>
      <c r="B479" s="188"/>
      <c r="C479" s="188"/>
      <c r="D479" s="188"/>
      <c r="E479" s="188"/>
      <c r="F479" s="188"/>
      <c r="G479" s="188"/>
      <c r="H479" s="188"/>
      <c r="I479" s="188"/>
      <c r="J479" s="189"/>
    </row>
    <row r="480" spans="1:10" ht="13.5" customHeight="1">
      <c r="A480" s="1" t="s">
        <v>2</v>
      </c>
      <c r="B480" s="1"/>
      <c r="C480" s="191" t="s">
        <v>618</v>
      </c>
      <c r="D480" s="191"/>
      <c r="E480" s="2"/>
      <c r="F480" s="3"/>
      <c r="G480" s="1" t="s">
        <v>4</v>
      </c>
      <c r="H480" s="191" t="s">
        <v>143</v>
      </c>
      <c r="I480" s="191"/>
      <c r="J480" s="191"/>
    </row>
    <row r="481" spans="1:10" ht="13.5" customHeight="1">
      <c r="A481" s="1" t="s">
        <v>6</v>
      </c>
      <c r="B481" s="1"/>
      <c r="C481" s="25" t="s">
        <v>619</v>
      </c>
      <c r="D481" s="25"/>
      <c r="E481" s="2"/>
      <c r="F481" s="3"/>
      <c r="G481" s="1" t="s">
        <v>8</v>
      </c>
      <c r="H481" s="193" t="s">
        <v>9</v>
      </c>
      <c r="I481" s="193"/>
      <c r="J481" s="193"/>
    </row>
    <row r="482" spans="1:10" ht="13.5" customHeight="1">
      <c r="A482" s="6" t="s">
        <v>10</v>
      </c>
      <c r="B482" s="6"/>
      <c r="C482" s="194" t="s">
        <v>620</v>
      </c>
      <c r="D482" s="194"/>
      <c r="E482" s="2"/>
      <c r="F482" s="3"/>
      <c r="G482" s="1" t="s">
        <v>12</v>
      </c>
      <c r="H482" s="195" t="s">
        <v>13</v>
      </c>
      <c r="I482" s="195"/>
      <c r="J482" s="195"/>
    </row>
    <row r="483" spans="1:10" ht="13.5" customHeight="1">
      <c r="A483" s="2" t="s">
        <v>14</v>
      </c>
      <c r="B483" s="2"/>
      <c r="C483" s="1" t="s">
        <v>15</v>
      </c>
      <c r="D483" s="1"/>
      <c r="E483" s="2"/>
      <c r="F483" s="3"/>
      <c r="G483" s="1" t="s">
        <v>16</v>
      </c>
      <c r="H483" s="209" t="s">
        <v>402</v>
      </c>
      <c r="I483" s="209"/>
      <c r="J483" s="209"/>
    </row>
    <row r="484" spans="1:10" ht="13.5" customHeight="1">
      <c r="A484" s="2">
        <v>30</v>
      </c>
      <c r="B484" s="2"/>
      <c r="C484" s="2">
        <f>A484-H484</f>
        <v>0</v>
      </c>
      <c r="D484" s="2"/>
      <c r="E484" s="2"/>
      <c r="F484" s="3"/>
      <c r="G484" s="8" t="s">
        <v>18</v>
      </c>
      <c r="H484" s="197">
        <v>30</v>
      </c>
      <c r="I484" s="197"/>
      <c r="J484" s="197"/>
    </row>
    <row r="485" spans="1:10" ht="13.5" customHeight="1">
      <c r="A485" s="198" t="s">
        <v>19</v>
      </c>
      <c r="B485" s="199"/>
      <c r="C485" s="200"/>
      <c r="D485" s="13" t="s">
        <v>20</v>
      </c>
      <c r="E485" s="14" t="s">
        <v>21</v>
      </c>
      <c r="F485" s="15"/>
      <c r="G485" s="16" t="s">
        <v>20</v>
      </c>
      <c r="H485" s="201" t="s">
        <v>22</v>
      </c>
      <c r="I485" s="202"/>
      <c r="J485" s="203"/>
    </row>
    <row r="486" spans="1:10" ht="13.5" customHeight="1">
      <c r="A486" s="17" t="s">
        <v>56</v>
      </c>
      <c r="B486" s="1"/>
      <c r="C486" s="1"/>
      <c r="D486" s="2">
        <v>35000</v>
      </c>
      <c r="E486" s="17" t="s">
        <v>24</v>
      </c>
      <c r="F486" s="1"/>
      <c r="G486" s="2" t="s">
        <v>25</v>
      </c>
      <c r="H486" s="18" t="s">
        <v>26</v>
      </c>
      <c r="I486" s="23"/>
      <c r="J486" s="24"/>
    </row>
    <row r="487" spans="1:10" ht="13.5" customHeight="1">
      <c r="A487" s="17" t="s">
        <v>77</v>
      </c>
      <c r="B487" s="209" t="s">
        <v>120</v>
      </c>
      <c r="C487" s="209"/>
      <c r="D487" s="2">
        <v>1167</v>
      </c>
      <c r="E487" s="17" t="s">
        <v>58</v>
      </c>
      <c r="F487" s="1"/>
      <c r="G487" s="2" t="s">
        <v>25</v>
      </c>
      <c r="H487" s="18" t="s">
        <v>29</v>
      </c>
      <c r="I487" s="23"/>
      <c r="J487" s="24"/>
    </row>
    <row r="488" spans="1:10" ht="13.5" customHeight="1">
      <c r="A488" s="17" t="s">
        <v>30</v>
      </c>
      <c r="B488" s="1"/>
      <c r="C488" s="1"/>
      <c r="D488" s="2" t="s">
        <v>25</v>
      </c>
      <c r="E488" s="17" t="s">
        <v>40</v>
      </c>
      <c r="F488" s="1"/>
      <c r="G488" s="2" t="s">
        <v>25</v>
      </c>
      <c r="H488" s="18" t="s">
        <v>32</v>
      </c>
      <c r="I488" s="23"/>
      <c r="J488" s="24"/>
    </row>
    <row r="489" spans="1:10" ht="13.5" customHeight="1">
      <c r="A489" s="17" t="s">
        <v>27</v>
      </c>
      <c r="B489" s="1"/>
      <c r="C489" s="1"/>
      <c r="D489" s="2" t="s">
        <v>25</v>
      </c>
      <c r="E489" s="17" t="s">
        <v>35</v>
      </c>
      <c r="F489" s="1"/>
      <c r="G489" s="2" t="s">
        <v>25</v>
      </c>
      <c r="H489" s="18"/>
      <c r="I489" s="6"/>
      <c r="J489" s="19"/>
    </row>
    <row r="490" spans="1:10" ht="13.5" customHeight="1">
      <c r="A490" s="17" t="s">
        <v>147</v>
      </c>
      <c r="B490" s="1"/>
      <c r="C490" s="1"/>
      <c r="D490" s="2" t="s">
        <v>25</v>
      </c>
      <c r="E490" s="17" t="s">
        <v>61</v>
      </c>
      <c r="F490" s="1"/>
      <c r="G490" s="2" t="s">
        <v>25</v>
      </c>
      <c r="H490" s="18" t="s">
        <v>621</v>
      </c>
      <c r="I490" s="6"/>
      <c r="J490" s="19"/>
    </row>
    <row r="491" spans="1:10" ht="13.5" customHeight="1">
      <c r="A491" s="17" t="s">
        <v>136</v>
      </c>
      <c r="B491" s="1"/>
      <c r="C491" s="1"/>
      <c r="D491" s="2">
        <v>4000</v>
      </c>
      <c r="E491" s="17" t="s">
        <v>39</v>
      </c>
      <c r="F491" s="1"/>
      <c r="G491" s="2">
        <v>100</v>
      </c>
      <c r="H491" s="18"/>
      <c r="I491" s="6"/>
      <c r="J491" s="19"/>
    </row>
    <row r="492" spans="1:10" ht="13.5" customHeight="1">
      <c r="A492" s="18" t="s">
        <v>622</v>
      </c>
      <c r="B492" s="6"/>
      <c r="C492" s="6"/>
      <c r="D492" s="2">
        <v>1500</v>
      </c>
      <c r="E492" s="17" t="s">
        <v>161</v>
      </c>
      <c r="F492" s="2"/>
      <c r="G492" s="2" t="s">
        <v>25</v>
      </c>
      <c r="H492" s="18"/>
      <c r="I492" s="6"/>
      <c r="J492" s="19"/>
    </row>
    <row r="493" spans="1:10" ht="13.5" customHeight="1">
      <c r="A493" s="204" t="s">
        <v>63</v>
      </c>
      <c r="B493" s="205"/>
      <c r="C493" s="206"/>
      <c r="D493" s="229">
        <f>SUM(D486:D492)</f>
        <v>41667</v>
      </c>
      <c r="E493" s="1" t="s">
        <v>43</v>
      </c>
      <c r="F493" s="1"/>
      <c r="G493" s="2" t="s">
        <v>25</v>
      </c>
      <c r="H493" s="18"/>
      <c r="I493" s="6"/>
      <c r="J493" s="19"/>
    </row>
    <row r="494" spans="1:10" ht="13.5" customHeight="1">
      <c r="A494" s="207"/>
      <c r="B494" s="197"/>
      <c r="C494" s="208"/>
      <c r="D494" s="230"/>
      <c r="E494" s="21" t="s">
        <v>21</v>
      </c>
      <c r="F494" s="22"/>
      <c r="G494" s="13">
        <f>SUM(G486:G493)</f>
        <v>100</v>
      </c>
      <c r="H494" s="21" t="s">
        <v>44</v>
      </c>
      <c r="I494" s="22"/>
      <c r="J494" s="13">
        <f>D493-G494</f>
        <v>41567</v>
      </c>
    </row>
    <row r="495" spans="1:10" ht="13.5" customHeight="1">
      <c r="A495" s="3" t="s">
        <v>45</v>
      </c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3.5" customHeight="1">
      <c r="A497" s="3"/>
      <c r="B497" s="3" t="s">
        <v>47</v>
      </c>
      <c r="C497" s="3"/>
      <c r="D497" s="3"/>
      <c r="E497" s="3" t="s">
        <v>48</v>
      </c>
      <c r="F497" s="3"/>
      <c r="G497" s="3"/>
      <c r="H497" s="3" t="s">
        <v>49</v>
      </c>
      <c r="I497" s="3"/>
      <c r="J497" s="3"/>
    </row>
    <row r="498" spans="1:10" ht="13.5" customHeight="1">
      <c r="A498" s="184" t="s">
        <v>0</v>
      </c>
      <c r="B498" s="185"/>
      <c r="C498" s="185"/>
      <c r="D498" s="185"/>
      <c r="E498" s="185"/>
      <c r="F498" s="185"/>
      <c r="G498" s="185"/>
      <c r="H498" s="185"/>
      <c r="I498" s="185"/>
      <c r="J498" s="186"/>
    </row>
    <row r="499" spans="1:10" ht="13.5" customHeight="1">
      <c r="A499" s="187" t="s">
        <v>1</v>
      </c>
      <c r="B499" s="188"/>
      <c r="C499" s="188"/>
      <c r="D499" s="188"/>
      <c r="E499" s="188"/>
      <c r="F499" s="188"/>
      <c r="G499" s="188"/>
      <c r="H499" s="188"/>
      <c r="I499" s="188"/>
      <c r="J499" s="189"/>
    </row>
    <row r="500" spans="1:10" ht="13.5" customHeight="1">
      <c r="A500" s="1" t="s">
        <v>2</v>
      </c>
      <c r="B500" s="1"/>
      <c r="C500" s="209" t="s">
        <v>380</v>
      </c>
      <c r="D500" s="209"/>
      <c r="E500" s="2"/>
      <c r="F500" s="3"/>
      <c r="G500" s="1" t="s">
        <v>4</v>
      </c>
      <c r="H500" s="209" t="s">
        <v>143</v>
      </c>
      <c r="I500" s="209"/>
      <c r="J500" s="209"/>
    </row>
    <row r="501" spans="1:10" ht="13.5" customHeight="1">
      <c r="A501" s="1" t="s">
        <v>6</v>
      </c>
      <c r="B501" s="1"/>
      <c r="C501" s="196" t="s">
        <v>623</v>
      </c>
      <c r="D501" s="196"/>
      <c r="E501" s="7"/>
      <c r="F501" s="3"/>
      <c r="G501" s="1" t="s">
        <v>8</v>
      </c>
      <c r="H501" s="193" t="s">
        <v>9</v>
      </c>
      <c r="I501" s="193"/>
      <c r="J501" s="193"/>
    </row>
    <row r="502" spans="1:10" ht="13.5" customHeight="1">
      <c r="A502" s="6" t="s">
        <v>10</v>
      </c>
      <c r="B502" s="6"/>
      <c r="C502" s="278" t="s">
        <v>620</v>
      </c>
      <c r="D502" s="209"/>
      <c r="E502" s="2"/>
      <c r="F502" s="3"/>
      <c r="G502" s="1" t="s">
        <v>12</v>
      </c>
      <c r="H502" s="195" t="s">
        <v>13</v>
      </c>
      <c r="I502" s="195"/>
      <c r="J502" s="195"/>
    </row>
    <row r="503" spans="1:10" ht="13.5" customHeight="1">
      <c r="A503" s="6" t="s">
        <v>14</v>
      </c>
      <c r="B503" s="6"/>
      <c r="C503" s="2" t="s">
        <v>15</v>
      </c>
      <c r="D503" s="2"/>
      <c r="E503" s="2"/>
      <c r="F503" s="3"/>
      <c r="G503" s="1" t="s">
        <v>16</v>
      </c>
      <c r="H503" s="196" t="s">
        <v>55</v>
      </c>
      <c r="I503" s="196"/>
      <c r="J503" s="196"/>
    </row>
    <row r="504" spans="1:10" ht="13.5" customHeight="1">
      <c r="A504" s="6">
        <v>30</v>
      </c>
      <c r="B504" s="6"/>
      <c r="C504" s="2">
        <f>A504-I504</f>
        <v>19</v>
      </c>
      <c r="D504" s="2"/>
      <c r="E504" s="2"/>
      <c r="F504" s="3"/>
      <c r="G504" s="8" t="s">
        <v>18</v>
      </c>
      <c r="H504" s="8"/>
      <c r="I504" s="9">
        <v>11</v>
      </c>
      <c r="J504" s="9"/>
    </row>
    <row r="505" spans="1:10" ht="13.5" customHeight="1">
      <c r="A505" s="198" t="s">
        <v>19</v>
      </c>
      <c r="B505" s="199"/>
      <c r="C505" s="200"/>
      <c r="D505" s="13" t="s">
        <v>20</v>
      </c>
      <c r="E505" s="14" t="s">
        <v>21</v>
      </c>
      <c r="F505" s="15"/>
      <c r="G505" s="16" t="s">
        <v>20</v>
      </c>
      <c r="H505" s="201" t="s">
        <v>22</v>
      </c>
      <c r="I505" s="202"/>
      <c r="J505" s="203"/>
    </row>
    <row r="506" spans="1:10" ht="13.5" customHeight="1">
      <c r="A506" s="17" t="s">
        <v>23</v>
      </c>
      <c r="B506" s="1"/>
      <c r="C506" s="1"/>
      <c r="D506" s="2">
        <v>18000</v>
      </c>
      <c r="E506" s="17" t="s">
        <v>24</v>
      </c>
      <c r="F506" s="1"/>
      <c r="G506" s="2" t="s">
        <v>25</v>
      </c>
      <c r="H506" s="18" t="s">
        <v>26</v>
      </c>
      <c r="I506" s="23"/>
      <c r="J506" s="24"/>
    </row>
    <row r="507" spans="1:10" ht="13.5" customHeight="1">
      <c r="A507" s="17" t="s">
        <v>77</v>
      </c>
      <c r="B507" s="228"/>
      <c r="C507" s="228"/>
      <c r="D507" s="2" t="s">
        <v>25</v>
      </c>
      <c r="E507" s="17" t="s">
        <v>376</v>
      </c>
      <c r="F507" s="1"/>
      <c r="G507" s="2" t="s">
        <v>25</v>
      </c>
      <c r="H507" s="18" t="s">
        <v>29</v>
      </c>
      <c r="I507" s="23"/>
      <c r="J507" s="24"/>
    </row>
    <row r="508" spans="1:10" ht="13.5" customHeight="1">
      <c r="A508" s="17" t="s">
        <v>30</v>
      </c>
      <c r="B508" s="1"/>
      <c r="C508" s="1"/>
      <c r="D508" s="2">
        <v>1500</v>
      </c>
      <c r="E508" s="17" t="s">
        <v>58</v>
      </c>
      <c r="F508" s="1"/>
      <c r="G508" s="2" t="s">
        <v>25</v>
      </c>
      <c r="H508" s="18" t="s">
        <v>32</v>
      </c>
      <c r="I508" s="23"/>
      <c r="J508" s="24"/>
    </row>
    <row r="509" spans="1:10" ht="13.5" customHeight="1">
      <c r="A509" s="17" t="s">
        <v>345</v>
      </c>
      <c r="B509" s="1"/>
      <c r="C509" s="1"/>
      <c r="D509" s="2" t="s">
        <v>25</v>
      </c>
      <c r="E509" s="17" t="s">
        <v>52</v>
      </c>
      <c r="F509" s="1"/>
      <c r="G509" s="2" t="s">
        <v>25</v>
      </c>
      <c r="H509" s="18"/>
      <c r="I509" s="6"/>
      <c r="J509" s="19"/>
    </row>
    <row r="510" spans="1:10" ht="13.5" customHeight="1">
      <c r="A510" s="17" t="s">
        <v>78</v>
      </c>
      <c r="B510" s="1"/>
      <c r="C510" s="1"/>
      <c r="D510" s="2" t="s">
        <v>25</v>
      </c>
      <c r="E510" s="17" t="s">
        <v>35</v>
      </c>
      <c r="F510" s="1"/>
      <c r="G510" s="2">
        <v>11400</v>
      </c>
      <c r="H510" s="18"/>
      <c r="I510" s="6"/>
      <c r="J510" s="26"/>
    </row>
    <row r="511" spans="1:10" ht="13.5" customHeight="1">
      <c r="A511" s="17" t="s">
        <v>136</v>
      </c>
      <c r="B511" s="1"/>
      <c r="C511" s="1"/>
      <c r="D511" s="2" t="s">
        <v>25</v>
      </c>
      <c r="E511" s="17" t="s">
        <v>39</v>
      </c>
      <c r="F511" s="1"/>
      <c r="G511" s="2">
        <v>100</v>
      </c>
      <c r="H511" s="18"/>
      <c r="I511" s="6"/>
      <c r="J511" s="26"/>
    </row>
    <row r="512" spans="1:10" ht="13.5" customHeight="1">
      <c r="A512" s="18" t="s">
        <v>40</v>
      </c>
      <c r="B512" s="6"/>
      <c r="C512" s="6"/>
      <c r="D512" s="2" t="s">
        <v>25</v>
      </c>
      <c r="E512" s="17" t="s">
        <v>62</v>
      </c>
      <c r="F512" s="2"/>
      <c r="G512" s="2" t="s">
        <v>25</v>
      </c>
      <c r="H512" s="18"/>
      <c r="I512" s="6"/>
      <c r="J512" s="26"/>
    </row>
    <row r="513" spans="1:10" ht="13.5" customHeight="1">
      <c r="A513" s="204" t="s">
        <v>63</v>
      </c>
      <c r="B513" s="205"/>
      <c r="C513" s="206"/>
      <c r="D513" s="229">
        <f>SUM(D506:D512)</f>
        <v>19500</v>
      </c>
      <c r="E513" s="1" t="s">
        <v>43</v>
      </c>
      <c r="F513" s="1"/>
      <c r="G513" s="2" t="s">
        <v>25</v>
      </c>
      <c r="H513" s="18"/>
      <c r="I513" s="6"/>
      <c r="J513" s="19"/>
    </row>
    <row r="514" spans="1:10" ht="13.5" customHeight="1">
      <c r="A514" s="207"/>
      <c r="B514" s="197"/>
      <c r="C514" s="208"/>
      <c r="D514" s="230"/>
      <c r="E514" s="21" t="s">
        <v>21</v>
      </c>
      <c r="F514" s="22"/>
      <c r="G514" s="13">
        <f>SUM(G506:G513)</f>
        <v>11500</v>
      </c>
      <c r="H514" s="21" t="s">
        <v>44</v>
      </c>
      <c r="I514" s="22"/>
      <c r="J514" s="13">
        <f>D513-G514</f>
        <v>8000</v>
      </c>
    </row>
    <row r="515" spans="1:10" ht="13.5" customHeight="1">
      <c r="A515" s="3" t="s">
        <v>45</v>
      </c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3.5" customHeight="1">
      <c r="A517" s="184" t="s">
        <v>0</v>
      </c>
      <c r="B517" s="185"/>
      <c r="C517" s="185"/>
      <c r="D517" s="185"/>
      <c r="E517" s="185"/>
      <c r="F517" s="185"/>
      <c r="G517" s="185"/>
      <c r="H517" s="185"/>
      <c r="I517" s="185"/>
      <c r="J517" s="186"/>
    </row>
    <row r="518" spans="1:10" ht="13.5" customHeight="1">
      <c r="A518" s="187" t="s">
        <v>1</v>
      </c>
      <c r="B518" s="188"/>
      <c r="C518" s="188"/>
      <c r="D518" s="188"/>
      <c r="E518" s="188"/>
      <c r="F518" s="188"/>
      <c r="G518" s="188"/>
      <c r="H518" s="188"/>
      <c r="I518" s="188"/>
      <c r="J518" s="189"/>
    </row>
    <row r="519" spans="1:10" ht="13.5" customHeight="1">
      <c r="A519" s="1" t="s">
        <v>2</v>
      </c>
      <c r="B519" s="1"/>
      <c r="C519" s="209"/>
      <c r="D519" s="209"/>
      <c r="E519" s="2"/>
      <c r="F519" s="3"/>
      <c r="G519" s="1" t="s">
        <v>4</v>
      </c>
      <c r="H519" s="209" t="s">
        <v>143</v>
      </c>
      <c r="I519" s="209"/>
      <c r="J519" s="209"/>
    </row>
    <row r="520" spans="1:10" ht="13.5" customHeight="1">
      <c r="A520" s="1" t="s">
        <v>6</v>
      </c>
      <c r="B520" s="1"/>
      <c r="C520" s="196" t="s">
        <v>624</v>
      </c>
      <c r="D520" s="196"/>
      <c r="E520" s="2"/>
      <c r="F520" s="3"/>
      <c r="G520" s="1" t="s">
        <v>8</v>
      </c>
      <c r="H520" s="193" t="s">
        <v>9</v>
      </c>
      <c r="I520" s="193"/>
      <c r="J520" s="193"/>
    </row>
    <row r="521" spans="1:10" ht="13.5" customHeight="1">
      <c r="A521" s="6" t="s">
        <v>10</v>
      </c>
      <c r="B521" s="6"/>
      <c r="C521" s="209" t="s">
        <v>369</v>
      </c>
      <c r="D521" s="209"/>
      <c r="E521" s="2"/>
      <c r="F521" s="3"/>
      <c r="G521" s="1" t="s">
        <v>12</v>
      </c>
      <c r="H521" s="195" t="s">
        <v>13</v>
      </c>
      <c r="I521" s="195"/>
      <c r="J521" s="195"/>
    </row>
    <row r="522" spans="1:10" ht="13.5" customHeight="1">
      <c r="A522" s="6" t="s">
        <v>14</v>
      </c>
      <c r="B522" s="6"/>
      <c r="C522" s="2" t="s">
        <v>15</v>
      </c>
      <c r="D522" s="2"/>
      <c r="E522" s="36"/>
      <c r="F522" s="3"/>
      <c r="G522" s="1" t="s">
        <v>16</v>
      </c>
      <c r="H522" s="196" t="s">
        <v>55</v>
      </c>
      <c r="I522" s="196"/>
      <c r="J522" s="196"/>
    </row>
    <row r="523" spans="1:10" ht="13.5" customHeight="1">
      <c r="A523" s="6">
        <v>30</v>
      </c>
      <c r="B523" s="6"/>
      <c r="C523" s="2">
        <f>A523-I523</f>
        <v>0</v>
      </c>
      <c r="D523" s="2"/>
      <c r="E523" s="2"/>
      <c r="F523" s="3"/>
      <c r="G523" s="8" t="s">
        <v>18</v>
      </c>
      <c r="H523" s="8"/>
      <c r="I523" s="9">
        <v>30</v>
      </c>
      <c r="J523" s="9"/>
    </row>
    <row r="524" spans="1:10" ht="13.5" customHeight="1">
      <c r="A524" s="198" t="s">
        <v>19</v>
      </c>
      <c r="B524" s="199"/>
      <c r="C524" s="200"/>
      <c r="D524" s="13" t="s">
        <v>20</v>
      </c>
      <c r="E524" s="14" t="s">
        <v>21</v>
      </c>
      <c r="F524" s="15"/>
      <c r="G524" s="16" t="s">
        <v>20</v>
      </c>
      <c r="H524" s="201" t="s">
        <v>22</v>
      </c>
      <c r="I524" s="202"/>
      <c r="J524" s="203"/>
    </row>
    <row r="525" spans="1:10" ht="13.5" customHeight="1">
      <c r="A525" s="17" t="s">
        <v>23</v>
      </c>
      <c r="B525" s="1"/>
      <c r="C525" s="1"/>
      <c r="D525" s="2">
        <v>30000</v>
      </c>
      <c r="E525" s="17" t="s">
        <v>52</v>
      </c>
      <c r="F525" s="1"/>
      <c r="G525" s="2" t="s">
        <v>25</v>
      </c>
      <c r="H525" s="18" t="s">
        <v>26</v>
      </c>
      <c r="I525" s="23"/>
      <c r="J525" s="24"/>
    </row>
    <row r="526" spans="1:10" ht="13.5" customHeight="1">
      <c r="A526" s="17" t="s">
        <v>77</v>
      </c>
      <c r="B526" s="209"/>
      <c r="C526" s="209"/>
      <c r="D526" s="2" t="s">
        <v>25</v>
      </c>
      <c r="E526" s="17" t="s">
        <v>28</v>
      </c>
      <c r="F526" s="1"/>
      <c r="G526" s="2" t="s">
        <v>25</v>
      </c>
      <c r="H526" s="18" t="s">
        <v>29</v>
      </c>
      <c r="I526" s="23"/>
      <c r="J526" s="24"/>
    </row>
    <row r="527" spans="1:10" ht="13.5" customHeight="1">
      <c r="A527" s="17" t="s">
        <v>30</v>
      </c>
      <c r="B527" s="1"/>
      <c r="C527" s="1"/>
      <c r="D527" s="2" t="s">
        <v>25</v>
      </c>
      <c r="E527" s="17" t="s">
        <v>58</v>
      </c>
      <c r="F527" s="1"/>
      <c r="G527" s="2" t="s">
        <v>25</v>
      </c>
      <c r="H527" s="18" t="s">
        <v>32</v>
      </c>
      <c r="I527" s="23"/>
      <c r="J527" s="24"/>
    </row>
    <row r="528" spans="1:10" ht="13.5" customHeight="1">
      <c r="A528" s="17" t="s">
        <v>345</v>
      </c>
      <c r="B528" s="1"/>
      <c r="C528" s="1"/>
      <c r="D528" s="2" t="s">
        <v>25</v>
      </c>
      <c r="E528" s="17" t="s">
        <v>35</v>
      </c>
      <c r="F528" s="1"/>
      <c r="G528" s="2" t="s">
        <v>25</v>
      </c>
      <c r="H528" s="279"/>
      <c r="I528" s="280"/>
      <c r="J528" s="281"/>
    </row>
    <row r="529" spans="1:10" ht="13.5" customHeight="1">
      <c r="A529" s="170" t="s">
        <v>581</v>
      </c>
      <c r="B529" s="1"/>
      <c r="C529" s="1"/>
      <c r="D529" s="2">
        <v>5000</v>
      </c>
      <c r="E529" s="17" t="s">
        <v>37</v>
      </c>
      <c r="F529" s="1"/>
      <c r="G529" s="2">
        <v>200</v>
      </c>
      <c r="H529" s="18"/>
      <c r="I529" s="6"/>
      <c r="J529" s="40"/>
    </row>
    <row r="530" spans="1:10" ht="13.5" customHeight="1">
      <c r="A530" s="17" t="s">
        <v>72</v>
      </c>
      <c r="B530" s="1"/>
      <c r="C530" s="1"/>
      <c r="D530" s="2" t="s">
        <v>25</v>
      </c>
      <c r="E530" s="1" t="s">
        <v>39</v>
      </c>
      <c r="F530" s="1"/>
      <c r="G530" s="2">
        <v>100</v>
      </c>
      <c r="H530" s="18"/>
      <c r="I530" s="6"/>
      <c r="J530" s="40"/>
    </row>
    <row r="531" spans="1:10" ht="13.5" customHeight="1">
      <c r="A531" s="18" t="s">
        <v>40</v>
      </c>
      <c r="B531" s="6"/>
      <c r="C531" s="6"/>
      <c r="D531" s="2" t="s">
        <v>25</v>
      </c>
      <c r="E531" s="17" t="s">
        <v>333</v>
      </c>
      <c r="F531" s="1"/>
      <c r="G531" s="2" t="s">
        <v>25</v>
      </c>
      <c r="H531" s="153"/>
      <c r="I531" s="6"/>
      <c r="J531" s="40"/>
    </row>
    <row r="532" spans="1:10" ht="13.5" customHeight="1">
      <c r="A532" s="204" t="s">
        <v>63</v>
      </c>
      <c r="B532" s="205"/>
      <c r="C532" s="206"/>
      <c r="D532" s="229">
        <f>SUM(D525:D531)</f>
        <v>35000</v>
      </c>
      <c r="E532" s="1" t="s">
        <v>78</v>
      </c>
      <c r="F532" s="1"/>
      <c r="G532" s="2" t="s">
        <v>25</v>
      </c>
      <c r="H532" s="18"/>
      <c r="I532" s="6"/>
      <c r="J532" s="27"/>
    </row>
    <row r="533" spans="1:10" ht="13.5" customHeight="1">
      <c r="A533" s="207"/>
      <c r="B533" s="197"/>
      <c r="C533" s="208"/>
      <c r="D533" s="230"/>
      <c r="E533" s="21" t="s">
        <v>21</v>
      </c>
      <c r="F533" s="22"/>
      <c r="G533" s="13">
        <f>SUM(G525:G532)</f>
        <v>300</v>
      </c>
      <c r="H533" s="21" t="s">
        <v>44</v>
      </c>
      <c r="I533" s="22"/>
      <c r="J533" s="13">
        <f>D532-G533</f>
        <v>34700</v>
      </c>
    </row>
    <row r="534" spans="1:10" ht="13.5" customHeight="1">
      <c r="A534" s="2"/>
      <c r="B534" s="2"/>
      <c r="C534" s="2"/>
      <c r="D534" s="2"/>
      <c r="E534" s="1"/>
      <c r="F534" s="1"/>
      <c r="G534" s="2"/>
      <c r="H534" s="1"/>
      <c r="I534" s="1"/>
      <c r="J534" s="2"/>
    </row>
    <row r="535" spans="1:10" ht="13.5" customHeight="1">
      <c r="A535" s="2"/>
      <c r="B535" s="3" t="s">
        <v>47</v>
      </c>
      <c r="C535" s="3"/>
      <c r="D535" s="3"/>
      <c r="E535" s="3" t="s">
        <v>48</v>
      </c>
      <c r="F535" s="3"/>
      <c r="G535" s="3"/>
      <c r="H535" s="3" t="s">
        <v>49</v>
      </c>
      <c r="I535" s="3"/>
      <c r="J535" s="3"/>
    </row>
    <row r="536" spans="1:10" ht="13.5" customHeight="1">
      <c r="A536" s="184" t="s">
        <v>0</v>
      </c>
      <c r="B536" s="185"/>
      <c r="C536" s="185"/>
      <c r="D536" s="185"/>
      <c r="E536" s="185"/>
      <c r="F536" s="185"/>
      <c r="G536" s="185"/>
      <c r="H536" s="185"/>
      <c r="I536" s="185"/>
      <c r="J536" s="186"/>
    </row>
    <row r="537" spans="1:10" ht="13.5" customHeight="1">
      <c r="A537" s="187" t="s">
        <v>1</v>
      </c>
      <c r="B537" s="188"/>
      <c r="C537" s="188"/>
      <c r="D537" s="188"/>
      <c r="E537" s="188"/>
      <c r="F537" s="188"/>
      <c r="G537" s="188"/>
      <c r="H537" s="188"/>
      <c r="I537" s="188"/>
      <c r="J537" s="189"/>
    </row>
    <row r="538" spans="1:10" ht="13.5" customHeight="1">
      <c r="A538" s="1" t="s">
        <v>2</v>
      </c>
      <c r="B538" s="1"/>
      <c r="C538" s="194" t="s">
        <v>625</v>
      </c>
      <c r="D538" s="194"/>
      <c r="E538" s="2"/>
      <c r="F538" s="3"/>
      <c r="G538" s="1" t="s">
        <v>4</v>
      </c>
      <c r="H538" s="209" t="s">
        <v>182</v>
      </c>
      <c r="I538" s="209"/>
      <c r="J538" s="209"/>
    </row>
    <row r="539" spans="1:10" ht="13.5" customHeight="1">
      <c r="A539" s="1" t="s">
        <v>6</v>
      </c>
      <c r="B539" s="1"/>
      <c r="C539" s="25" t="s">
        <v>626</v>
      </c>
      <c r="D539" s="25"/>
      <c r="E539" s="2"/>
      <c r="F539" s="3"/>
      <c r="G539" s="1" t="s">
        <v>8</v>
      </c>
      <c r="H539" s="193" t="s">
        <v>9</v>
      </c>
      <c r="I539" s="193"/>
      <c r="J539" s="193"/>
    </row>
    <row r="540" spans="1:10" ht="13.5" customHeight="1">
      <c r="A540" s="6" t="s">
        <v>10</v>
      </c>
      <c r="B540" s="6"/>
      <c r="C540" s="194" t="s">
        <v>627</v>
      </c>
      <c r="D540" s="194"/>
      <c r="E540" s="2"/>
      <c r="F540" s="3"/>
      <c r="G540" s="1" t="s">
        <v>12</v>
      </c>
      <c r="H540" s="195" t="s">
        <v>13</v>
      </c>
      <c r="I540" s="195"/>
      <c r="J540" s="195"/>
    </row>
    <row r="541" spans="1:10" ht="13.5" customHeight="1">
      <c r="A541" s="2" t="s">
        <v>14</v>
      </c>
      <c r="B541" s="2"/>
      <c r="C541" s="1" t="s">
        <v>15</v>
      </c>
      <c r="D541" s="1"/>
      <c r="E541" s="2"/>
      <c r="F541" s="3"/>
      <c r="G541" s="1" t="s">
        <v>16</v>
      </c>
      <c r="H541" s="209" t="s">
        <v>429</v>
      </c>
      <c r="I541" s="209"/>
      <c r="J541" s="209"/>
    </row>
    <row r="542" spans="1:10" ht="13.5" customHeight="1">
      <c r="A542" s="2">
        <v>30</v>
      </c>
      <c r="B542" s="2"/>
      <c r="C542" s="2">
        <f>A542-H542</f>
        <v>0</v>
      </c>
      <c r="D542" s="2"/>
      <c r="E542" s="2"/>
      <c r="F542" s="3"/>
      <c r="G542" s="8" t="s">
        <v>18</v>
      </c>
      <c r="H542" s="197">
        <v>30</v>
      </c>
      <c r="I542" s="197"/>
      <c r="J542" s="197"/>
    </row>
    <row r="543" spans="1:10" ht="13.5" customHeight="1">
      <c r="A543" s="198" t="s">
        <v>19</v>
      </c>
      <c r="B543" s="199"/>
      <c r="C543" s="200"/>
      <c r="D543" s="13" t="s">
        <v>20</v>
      </c>
      <c r="E543" s="14" t="s">
        <v>21</v>
      </c>
      <c r="F543" s="15"/>
      <c r="G543" s="16" t="s">
        <v>20</v>
      </c>
      <c r="H543" s="201" t="s">
        <v>22</v>
      </c>
      <c r="I543" s="202"/>
      <c r="J543" s="203"/>
    </row>
    <row r="544" spans="1:10" ht="13.5" customHeight="1">
      <c r="A544" s="17" t="s">
        <v>56</v>
      </c>
      <c r="B544" s="1"/>
      <c r="C544" s="1"/>
      <c r="D544" s="2">
        <v>25000</v>
      </c>
      <c r="E544" s="17" t="s">
        <v>24</v>
      </c>
      <c r="F544" s="1"/>
      <c r="G544" s="2" t="s">
        <v>25</v>
      </c>
      <c r="H544" s="18" t="s">
        <v>26</v>
      </c>
      <c r="I544" s="23"/>
      <c r="J544" s="24"/>
    </row>
    <row r="545" spans="1:10" ht="13.5" customHeight="1">
      <c r="A545" s="18" t="s">
        <v>57</v>
      </c>
      <c r="B545" s="283" t="s">
        <v>320</v>
      </c>
      <c r="C545" s="283"/>
      <c r="D545" s="2">
        <v>1667</v>
      </c>
      <c r="E545" s="17" t="s">
        <v>28</v>
      </c>
      <c r="F545" s="1"/>
      <c r="G545" s="2" t="s">
        <v>25</v>
      </c>
      <c r="H545" s="18" t="s">
        <v>29</v>
      </c>
      <c r="I545" s="23"/>
      <c r="J545" s="24"/>
    </row>
    <row r="546" spans="1:10" ht="13.5" customHeight="1">
      <c r="A546" s="17" t="s">
        <v>30</v>
      </c>
      <c r="B546" s="1"/>
      <c r="C546" s="1"/>
      <c r="D546" s="2" t="s">
        <v>25</v>
      </c>
      <c r="E546" s="17" t="s">
        <v>376</v>
      </c>
      <c r="F546" s="1"/>
      <c r="G546" s="2" t="s">
        <v>25</v>
      </c>
      <c r="H546" s="18" t="s">
        <v>32</v>
      </c>
      <c r="I546" s="23"/>
      <c r="J546" s="24"/>
    </row>
    <row r="547" spans="1:10" ht="13.5" customHeight="1">
      <c r="A547" s="17" t="s">
        <v>581</v>
      </c>
      <c r="B547" s="1"/>
      <c r="C547" s="1"/>
      <c r="D547" s="2">
        <v>5000</v>
      </c>
      <c r="E547" s="17" t="s">
        <v>35</v>
      </c>
      <c r="F547" s="1"/>
      <c r="G547" s="2" t="s">
        <v>25</v>
      </c>
      <c r="H547" s="18"/>
      <c r="I547" s="6"/>
      <c r="J547" s="19"/>
    </row>
    <row r="548" spans="1:10" ht="13.5" customHeight="1">
      <c r="A548" s="17" t="s">
        <v>147</v>
      </c>
      <c r="B548" s="1"/>
      <c r="C548" s="1"/>
      <c r="D548" s="2" t="s">
        <v>25</v>
      </c>
      <c r="E548" s="17" t="s">
        <v>61</v>
      </c>
      <c r="F548" s="1"/>
      <c r="G548" s="2" t="s">
        <v>25</v>
      </c>
      <c r="H548" s="18"/>
      <c r="I548" s="6"/>
      <c r="J548" s="19"/>
    </row>
    <row r="549" spans="1:10" ht="13.5" customHeight="1">
      <c r="A549" s="17" t="s">
        <v>136</v>
      </c>
      <c r="B549" s="1"/>
      <c r="C549" s="1"/>
      <c r="D549" s="2" t="s">
        <v>25</v>
      </c>
      <c r="E549" s="17" t="s">
        <v>39</v>
      </c>
      <c r="F549" s="1"/>
      <c r="G549" s="2">
        <v>100</v>
      </c>
      <c r="H549" s="18"/>
      <c r="I549" s="6"/>
      <c r="J549" s="19"/>
    </row>
    <row r="550" spans="1:10" ht="13.5" customHeight="1">
      <c r="A550" s="18" t="s">
        <v>40</v>
      </c>
      <c r="B550" s="6"/>
      <c r="C550" s="6"/>
      <c r="D550" s="2" t="s">
        <v>25</v>
      </c>
      <c r="E550" s="17" t="s">
        <v>78</v>
      </c>
      <c r="F550" s="1"/>
      <c r="G550" s="2" t="s">
        <v>25</v>
      </c>
      <c r="H550" s="18"/>
      <c r="I550" s="6"/>
      <c r="J550" s="19"/>
    </row>
    <row r="551" spans="1:10" ht="13.5" customHeight="1">
      <c r="A551" s="204" t="s">
        <v>63</v>
      </c>
      <c r="B551" s="205"/>
      <c r="C551" s="206"/>
      <c r="D551" s="229">
        <f>SUM(D544:D550)</f>
        <v>31667</v>
      </c>
      <c r="E551" s="1" t="s">
        <v>43</v>
      </c>
      <c r="F551" s="1"/>
      <c r="G551" s="2" t="s">
        <v>25</v>
      </c>
      <c r="H551" s="18"/>
      <c r="I551" s="6"/>
      <c r="J551" s="19"/>
    </row>
    <row r="552" spans="1:10" ht="13.5" customHeight="1">
      <c r="A552" s="207"/>
      <c r="B552" s="197"/>
      <c r="C552" s="208"/>
      <c r="D552" s="230"/>
      <c r="E552" s="21" t="s">
        <v>21</v>
      </c>
      <c r="F552" s="22"/>
      <c r="G552" s="13">
        <f>SUM(G544:G551)</f>
        <v>100</v>
      </c>
      <c r="H552" s="21" t="s">
        <v>44</v>
      </c>
      <c r="I552" s="22"/>
      <c r="J552" s="13">
        <f>D551-G552</f>
        <v>31567</v>
      </c>
    </row>
    <row r="553" spans="1:10" ht="13.5" customHeight="1">
      <c r="A553" s="3" t="s">
        <v>45</v>
      </c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3.5" customHeight="1">
      <c r="A554" s="184" t="s">
        <v>0</v>
      </c>
      <c r="B554" s="185"/>
      <c r="C554" s="185"/>
      <c r="D554" s="185"/>
      <c r="E554" s="185"/>
      <c r="F554" s="185"/>
      <c r="G554" s="185"/>
      <c r="H554" s="185"/>
      <c r="I554" s="185"/>
      <c r="J554" s="186"/>
    </row>
    <row r="555" spans="1:10" ht="13.5" customHeight="1">
      <c r="A555" s="187" t="s">
        <v>1</v>
      </c>
      <c r="B555" s="188"/>
      <c r="C555" s="188"/>
      <c r="D555" s="188"/>
      <c r="E555" s="188"/>
      <c r="F555" s="188"/>
      <c r="G555" s="188"/>
      <c r="H555" s="188"/>
      <c r="I555" s="188"/>
      <c r="J555" s="189"/>
    </row>
    <row r="556" spans="1:10" ht="13.5" customHeight="1">
      <c r="A556" s="1" t="s">
        <v>2</v>
      </c>
      <c r="B556" s="1"/>
      <c r="C556" s="194" t="s">
        <v>587</v>
      </c>
      <c r="D556" s="194"/>
      <c r="E556" s="2"/>
      <c r="F556" s="3"/>
      <c r="G556" s="1" t="s">
        <v>4</v>
      </c>
      <c r="H556" s="209" t="s">
        <v>182</v>
      </c>
      <c r="I556" s="209"/>
      <c r="J556" s="209"/>
    </row>
    <row r="557" spans="1:10" ht="13.5" customHeight="1">
      <c r="A557" s="1" t="s">
        <v>6</v>
      </c>
      <c r="B557" s="1"/>
      <c r="C557" s="192" t="s">
        <v>628</v>
      </c>
      <c r="D557" s="192"/>
      <c r="E557" s="2"/>
      <c r="F557" s="3"/>
      <c r="G557" s="1" t="s">
        <v>8</v>
      </c>
      <c r="H557" s="193" t="s">
        <v>9</v>
      </c>
      <c r="I557" s="193"/>
      <c r="J557" s="193"/>
    </row>
    <row r="558" spans="1:10" ht="13.5" customHeight="1">
      <c r="A558" s="6" t="s">
        <v>10</v>
      </c>
      <c r="B558" s="6"/>
      <c r="C558" s="194" t="s">
        <v>571</v>
      </c>
      <c r="D558" s="194"/>
      <c r="E558" s="2"/>
      <c r="F558" s="3"/>
      <c r="G558" s="1" t="s">
        <v>12</v>
      </c>
      <c r="H558" s="195" t="s">
        <v>13</v>
      </c>
      <c r="I558" s="195"/>
      <c r="J558" s="195"/>
    </row>
    <row r="559" spans="1:10" ht="13.5" customHeight="1">
      <c r="A559" s="2" t="s">
        <v>14</v>
      </c>
      <c r="B559" s="2"/>
      <c r="C559" s="2" t="s">
        <v>15</v>
      </c>
      <c r="D559" s="2"/>
      <c r="E559" s="2"/>
      <c r="F559" s="3"/>
      <c r="G559" s="1" t="s">
        <v>16</v>
      </c>
      <c r="H559" s="196" t="s">
        <v>140</v>
      </c>
      <c r="I559" s="196"/>
      <c r="J559" s="196"/>
    </row>
    <row r="560" spans="1:10" ht="13.5" customHeight="1">
      <c r="A560" s="2">
        <v>30</v>
      </c>
      <c r="B560" s="2"/>
      <c r="C560" s="2">
        <f>A560-H560</f>
        <v>19</v>
      </c>
      <c r="D560" s="2"/>
      <c r="E560" s="2"/>
      <c r="F560" s="3"/>
      <c r="G560" s="8" t="s">
        <v>18</v>
      </c>
      <c r="H560" s="197">
        <v>11</v>
      </c>
      <c r="I560" s="197"/>
      <c r="J560" s="197"/>
    </row>
    <row r="561" spans="1:10" ht="13.5" customHeight="1">
      <c r="A561" s="198" t="s">
        <v>19</v>
      </c>
      <c r="B561" s="199"/>
      <c r="C561" s="200"/>
      <c r="D561" s="13" t="s">
        <v>20</v>
      </c>
      <c r="E561" s="14" t="s">
        <v>21</v>
      </c>
      <c r="F561" s="15"/>
      <c r="G561" s="16" t="s">
        <v>20</v>
      </c>
      <c r="H561" s="201" t="s">
        <v>22</v>
      </c>
      <c r="I561" s="202"/>
      <c r="J561" s="203"/>
    </row>
    <row r="562" spans="1:10" ht="13.5" customHeight="1">
      <c r="A562" s="17" t="s">
        <v>23</v>
      </c>
      <c r="B562" s="1"/>
      <c r="C562" s="1"/>
      <c r="D562" s="2">
        <v>20000</v>
      </c>
      <c r="E562" s="17" t="s">
        <v>24</v>
      </c>
      <c r="F562" s="1"/>
      <c r="G562" s="2" t="s">
        <v>25</v>
      </c>
      <c r="H562" s="18" t="s">
        <v>26</v>
      </c>
      <c r="I562" s="23"/>
      <c r="J562" s="24"/>
    </row>
    <row r="563" spans="1:10" ht="13.5" customHeight="1">
      <c r="A563" s="17" t="s">
        <v>57</v>
      </c>
      <c r="B563" s="209"/>
      <c r="C563" s="209"/>
      <c r="D563" s="2" t="s">
        <v>25</v>
      </c>
      <c r="E563" s="17" t="s">
        <v>58</v>
      </c>
      <c r="F563" s="1"/>
      <c r="G563" s="2" t="s">
        <v>25</v>
      </c>
      <c r="H563" s="18" t="s">
        <v>29</v>
      </c>
      <c r="I563" s="23"/>
      <c r="J563" s="24"/>
    </row>
    <row r="564" spans="1:10" ht="13.5" customHeight="1">
      <c r="A564" s="17" t="s">
        <v>30</v>
      </c>
      <c r="B564" s="1"/>
      <c r="C564" s="1"/>
      <c r="D564" s="2">
        <v>1767</v>
      </c>
      <c r="E564" s="17" t="s">
        <v>566</v>
      </c>
      <c r="F564" s="1"/>
      <c r="G564" s="2" t="s">
        <v>25</v>
      </c>
      <c r="H564" s="18" t="s">
        <v>32</v>
      </c>
      <c r="I564" s="23"/>
      <c r="J564" s="24"/>
    </row>
    <row r="565" spans="1:10" ht="13.5" customHeight="1">
      <c r="A565" s="17" t="s">
        <v>629</v>
      </c>
      <c r="B565" s="1"/>
      <c r="C565" s="1"/>
      <c r="D565" s="2" t="s">
        <v>25</v>
      </c>
      <c r="E565" s="17" t="s">
        <v>35</v>
      </c>
      <c r="F565" s="1"/>
      <c r="G565" s="2">
        <v>12667</v>
      </c>
      <c r="H565" s="18"/>
      <c r="I565" s="6"/>
      <c r="J565" s="19"/>
    </row>
    <row r="566" spans="1:10" ht="13.5" customHeight="1">
      <c r="A566" s="17" t="s">
        <v>78</v>
      </c>
      <c r="B566" s="1"/>
      <c r="C566" s="1"/>
      <c r="D566" s="2" t="s">
        <v>25</v>
      </c>
      <c r="E566" s="17" t="s">
        <v>39</v>
      </c>
      <c r="F566" s="1"/>
      <c r="G566" s="2">
        <v>100</v>
      </c>
      <c r="H566" s="18"/>
      <c r="I566" s="6"/>
      <c r="J566" s="40"/>
    </row>
    <row r="567" spans="1:10" ht="13.5" customHeight="1">
      <c r="A567" s="17" t="s">
        <v>136</v>
      </c>
      <c r="B567" s="1"/>
      <c r="C567" s="1"/>
      <c r="D567" s="2" t="s">
        <v>25</v>
      </c>
      <c r="E567" s="17" t="s">
        <v>61</v>
      </c>
      <c r="F567" s="1"/>
      <c r="G567" s="2" t="s">
        <v>25</v>
      </c>
      <c r="H567" s="18"/>
      <c r="I567" s="6"/>
      <c r="J567" s="40"/>
    </row>
    <row r="568" spans="1:10" ht="13.5" customHeight="1">
      <c r="A568" s="18" t="s">
        <v>40</v>
      </c>
      <c r="B568" s="6"/>
      <c r="C568" s="6"/>
      <c r="D568" s="2" t="s">
        <v>25</v>
      </c>
      <c r="E568" s="17" t="s">
        <v>41</v>
      </c>
      <c r="F568" s="1"/>
      <c r="G568" s="2" t="s">
        <v>25</v>
      </c>
      <c r="H568" s="18"/>
      <c r="I568" s="6"/>
      <c r="J568" s="40"/>
    </row>
    <row r="569" spans="1:10" ht="13.5" customHeight="1">
      <c r="A569" s="204" t="s">
        <v>63</v>
      </c>
      <c r="B569" s="205"/>
      <c r="C569" s="206"/>
      <c r="D569" s="229">
        <f>SUM(D562:D568)</f>
        <v>21767</v>
      </c>
      <c r="E569" s="1" t="s">
        <v>43</v>
      </c>
      <c r="F569" s="1"/>
      <c r="G569" s="2" t="s">
        <v>25</v>
      </c>
      <c r="H569" s="18"/>
      <c r="I569" s="6"/>
      <c r="J569" s="19"/>
    </row>
    <row r="570" spans="1:10" ht="13.5" customHeight="1">
      <c r="A570" s="207"/>
      <c r="B570" s="197"/>
      <c r="C570" s="208"/>
      <c r="D570" s="230"/>
      <c r="E570" s="21" t="s">
        <v>21</v>
      </c>
      <c r="F570" s="22"/>
      <c r="G570" s="13">
        <f>SUM(G562:G569)</f>
        <v>12767</v>
      </c>
      <c r="H570" s="21" t="s">
        <v>44</v>
      </c>
      <c r="I570" s="22"/>
      <c r="J570" s="13">
        <f>D569-G570</f>
        <v>9000</v>
      </c>
    </row>
    <row r="571" spans="1:10" ht="13.5" customHeight="1">
      <c r="A571" s="3" t="s">
        <v>45</v>
      </c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3.5" customHeight="1"/>
    <row r="573" spans="1:10" ht="13.5" customHeight="1">
      <c r="A573" s="3"/>
      <c r="B573" s="3" t="s">
        <v>47</v>
      </c>
      <c r="C573" s="3"/>
      <c r="D573" s="3"/>
      <c r="E573" s="3" t="s">
        <v>48</v>
      </c>
      <c r="F573" s="3"/>
      <c r="G573" s="3"/>
      <c r="H573" s="3" t="s">
        <v>49</v>
      </c>
      <c r="I573" s="3"/>
      <c r="J573" s="3"/>
    </row>
    <row r="574" spans="1:10" ht="13.5" customHeight="1">
      <c r="A574" s="184" t="s">
        <v>0</v>
      </c>
      <c r="B574" s="185"/>
      <c r="C574" s="185"/>
      <c r="D574" s="185"/>
      <c r="E574" s="185"/>
      <c r="F574" s="185"/>
      <c r="G574" s="185"/>
      <c r="H574" s="185"/>
      <c r="I574" s="185"/>
      <c r="J574" s="186"/>
    </row>
    <row r="575" spans="1:10" ht="13.5" customHeight="1">
      <c r="A575" s="187" t="s">
        <v>1</v>
      </c>
      <c r="B575" s="188"/>
      <c r="C575" s="188"/>
      <c r="D575" s="188"/>
      <c r="E575" s="188"/>
      <c r="F575" s="188"/>
      <c r="G575" s="188"/>
      <c r="H575" s="188"/>
      <c r="I575" s="188"/>
      <c r="J575" s="189"/>
    </row>
    <row r="576" spans="1:10" ht="13.5" customHeight="1">
      <c r="A576" s="1" t="s">
        <v>2</v>
      </c>
      <c r="B576" s="1"/>
      <c r="C576" s="194" t="s">
        <v>587</v>
      </c>
      <c r="D576" s="194"/>
      <c r="E576" s="2"/>
      <c r="F576" s="3"/>
      <c r="G576" s="1" t="s">
        <v>4</v>
      </c>
      <c r="H576" s="209" t="s">
        <v>182</v>
      </c>
      <c r="I576" s="209"/>
      <c r="J576" s="209"/>
    </row>
    <row r="577" spans="1:10" ht="13.5" customHeight="1">
      <c r="A577" s="1" t="s">
        <v>6</v>
      </c>
      <c r="B577" s="1"/>
      <c r="C577" s="192" t="s">
        <v>630</v>
      </c>
      <c r="D577" s="192"/>
      <c r="E577" s="2"/>
      <c r="F577" s="3"/>
      <c r="G577" s="1" t="s">
        <v>8</v>
      </c>
      <c r="H577" s="193" t="s">
        <v>9</v>
      </c>
      <c r="I577" s="193"/>
      <c r="J577" s="193"/>
    </row>
    <row r="578" spans="1:10" ht="13.5" customHeight="1">
      <c r="A578" s="6" t="s">
        <v>10</v>
      </c>
      <c r="B578" s="6"/>
      <c r="C578" s="194" t="s">
        <v>571</v>
      </c>
      <c r="D578" s="194"/>
      <c r="E578" s="2"/>
      <c r="F578" s="3"/>
      <c r="G578" s="1" t="s">
        <v>12</v>
      </c>
      <c r="H578" s="195" t="s">
        <v>13</v>
      </c>
      <c r="I578" s="195"/>
      <c r="J578" s="195"/>
    </row>
    <row r="579" spans="1:10" ht="13.5" customHeight="1">
      <c r="A579" s="2" t="s">
        <v>14</v>
      </c>
      <c r="B579" s="2"/>
      <c r="C579" s="2" t="s">
        <v>15</v>
      </c>
      <c r="D579" s="2"/>
      <c r="E579" s="2"/>
      <c r="F579" s="3"/>
      <c r="G579" s="1" t="s">
        <v>16</v>
      </c>
      <c r="H579" s="196" t="s">
        <v>55</v>
      </c>
      <c r="I579" s="196"/>
      <c r="J579" s="196"/>
    </row>
    <row r="580" spans="1:10" ht="13.5" customHeight="1">
      <c r="A580" s="2">
        <v>30</v>
      </c>
      <c r="B580" s="2"/>
      <c r="C580" s="2">
        <f>A580-H580</f>
        <v>10</v>
      </c>
      <c r="D580" s="2"/>
      <c r="E580" s="2"/>
      <c r="F580" s="3"/>
      <c r="G580" s="8" t="s">
        <v>18</v>
      </c>
      <c r="H580" s="197">
        <v>20</v>
      </c>
      <c r="I580" s="197"/>
      <c r="J580" s="197"/>
    </row>
    <row r="581" spans="1:10" ht="13.5" customHeight="1">
      <c r="A581" s="198" t="s">
        <v>19</v>
      </c>
      <c r="B581" s="199"/>
      <c r="C581" s="200"/>
      <c r="D581" s="13" t="s">
        <v>20</v>
      </c>
      <c r="E581" s="14" t="s">
        <v>21</v>
      </c>
      <c r="F581" s="15"/>
      <c r="G581" s="16" t="s">
        <v>20</v>
      </c>
      <c r="H581" s="201" t="s">
        <v>22</v>
      </c>
      <c r="I581" s="202"/>
      <c r="J581" s="203"/>
    </row>
    <row r="582" spans="1:10" ht="13.5" customHeight="1">
      <c r="A582" s="17" t="s">
        <v>23</v>
      </c>
      <c r="B582" s="1"/>
      <c r="C582" s="1"/>
      <c r="D582" s="2">
        <v>20000</v>
      </c>
      <c r="E582" s="17" t="s">
        <v>24</v>
      </c>
      <c r="F582" s="1"/>
      <c r="G582" s="2" t="s">
        <v>25</v>
      </c>
      <c r="H582" s="18" t="s">
        <v>26</v>
      </c>
      <c r="I582" s="23"/>
      <c r="J582" s="24"/>
    </row>
    <row r="583" spans="1:10" ht="13.5" customHeight="1">
      <c r="A583" s="17" t="s">
        <v>57</v>
      </c>
      <c r="B583" s="209" t="s">
        <v>196</v>
      </c>
      <c r="C583" s="209"/>
      <c r="D583" s="2">
        <v>2000</v>
      </c>
      <c r="E583" s="17" t="s">
        <v>58</v>
      </c>
      <c r="F583" s="1"/>
      <c r="G583" s="2" t="s">
        <v>25</v>
      </c>
      <c r="H583" s="18" t="s">
        <v>29</v>
      </c>
      <c r="I583" s="23"/>
      <c r="J583" s="24"/>
    </row>
    <row r="584" spans="1:10" ht="13.5" customHeight="1">
      <c r="A584" s="17" t="s">
        <v>30</v>
      </c>
      <c r="B584" s="1"/>
      <c r="C584" s="1"/>
      <c r="D584" s="2">
        <v>1566</v>
      </c>
      <c r="E584" s="17" t="s">
        <v>566</v>
      </c>
      <c r="F584" s="1"/>
      <c r="G584" s="2" t="s">
        <v>25</v>
      </c>
      <c r="H584" s="18" t="s">
        <v>32</v>
      </c>
      <c r="I584" s="23"/>
      <c r="J584" s="24"/>
    </row>
    <row r="585" spans="1:10" ht="13.5" customHeight="1">
      <c r="A585" s="17" t="s">
        <v>629</v>
      </c>
      <c r="B585" s="1"/>
      <c r="C585" s="1"/>
      <c r="D585" s="2" t="s">
        <v>25</v>
      </c>
      <c r="E585" s="17" t="s">
        <v>35</v>
      </c>
      <c r="F585" s="1"/>
      <c r="G585" s="2">
        <v>633</v>
      </c>
      <c r="H585" s="18"/>
      <c r="I585" s="6"/>
      <c r="J585" s="19"/>
    </row>
    <row r="586" spans="1:10" ht="13.5" customHeight="1">
      <c r="A586" s="17" t="s">
        <v>78</v>
      </c>
      <c r="B586" s="1"/>
      <c r="C586" s="1"/>
      <c r="D586" s="2" t="s">
        <v>25</v>
      </c>
      <c r="E586" s="17" t="s">
        <v>39</v>
      </c>
      <c r="F586" s="1"/>
      <c r="G586" s="2">
        <v>100</v>
      </c>
      <c r="H586" s="18" t="s">
        <v>415</v>
      </c>
      <c r="I586" s="6"/>
      <c r="J586" s="40"/>
    </row>
    <row r="587" spans="1:10" ht="13.5" customHeight="1">
      <c r="A587" s="17" t="s">
        <v>136</v>
      </c>
      <c r="B587" s="1"/>
      <c r="C587" s="1"/>
      <c r="D587" s="2" t="s">
        <v>25</v>
      </c>
      <c r="E587" s="17" t="s">
        <v>1108</v>
      </c>
      <c r="F587" s="1"/>
      <c r="G587" s="2">
        <v>1333</v>
      </c>
      <c r="H587" s="18" t="s">
        <v>631</v>
      </c>
      <c r="I587" s="6"/>
      <c r="J587" s="40"/>
    </row>
    <row r="588" spans="1:10" ht="13.5" customHeight="1">
      <c r="A588" s="18" t="s">
        <v>40</v>
      </c>
      <c r="B588" s="6"/>
      <c r="C588" s="6"/>
      <c r="D588" s="2" t="s">
        <v>25</v>
      </c>
      <c r="E588" s="17" t="s">
        <v>41</v>
      </c>
      <c r="F588" s="1"/>
      <c r="G588" s="2" t="s">
        <v>25</v>
      </c>
      <c r="H588" s="18"/>
      <c r="I588" s="6"/>
      <c r="J588" s="40"/>
    </row>
    <row r="589" spans="1:10" ht="13.5" customHeight="1">
      <c r="A589" s="204" t="s">
        <v>63</v>
      </c>
      <c r="B589" s="205"/>
      <c r="C589" s="206"/>
      <c r="D589" s="229">
        <f>SUM(D582:D588)</f>
        <v>23566</v>
      </c>
      <c r="E589" s="1" t="s">
        <v>43</v>
      </c>
      <c r="F589" s="1"/>
      <c r="G589" s="2" t="s">
        <v>25</v>
      </c>
      <c r="H589" s="18"/>
      <c r="I589" s="6"/>
      <c r="J589" s="19"/>
    </row>
    <row r="590" spans="1:10" ht="13.5" customHeight="1">
      <c r="A590" s="207"/>
      <c r="B590" s="197"/>
      <c r="C590" s="208"/>
      <c r="D590" s="230"/>
      <c r="E590" s="21" t="s">
        <v>21</v>
      </c>
      <c r="F590" s="22"/>
      <c r="G590" s="13">
        <f>SUM(G582:G589)</f>
        <v>2066</v>
      </c>
      <c r="H590" s="21" t="s">
        <v>44</v>
      </c>
      <c r="I590" s="22"/>
      <c r="J590" s="13">
        <f>D589-G590</f>
        <v>21500</v>
      </c>
    </row>
    <row r="591" spans="1:10" ht="13.5" customHeight="1">
      <c r="A591" s="3" t="s">
        <v>45</v>
      </c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3.5" customHeight="1"/>
    <row r="593" spans="1:10" ht="13.5" customHeight="1">
      <c r="A593" s="3"/>
      <c r="B593" s="3" t="s">
        <v>47</v>
      </c>
      <c r="C593" s="3"/>
      <c r="D593" s="3"/>
      <c r="E593" s="3" t="s">
        <v>48</v>
      </c>
      <c r="F593" s="3"/>
      <c r="G593" s="3"/>
      <c r="H593" s="3" t="s">
        <v>49</v>
      </c>
      <c r="I593" s="3"/>
      <c r="J593" s="3"/>
    </row>
    <row r="594" spans="1:10" ht="13.5" customHeight="1">
      <c r="A594" s="184" t="s">
        <v>0</v>
      </c>
      <c r="B594" s="185"/>
      <c r="C594" s="185"/>
      <c r="D594" s="185"/>
      <c r="E594" s="185"/>
      <c r="F594" s="185"/>
      <c r="G594" s="185"/>
      <c r="H594" s="185"/>
      <c r="I594" s="185"/>
      <c r="J594" s="186"/>
    </row>
    <row r="595" spans="1:10" ht="13.5" customHeight="1">
      <c r="A595" s="187" t="s">
        <v>1</v>
      </c>
      <c r="B595" s="188"/>
      <c r="C595" s="188"/>
      <c r="D595" s="188"/>
      <c r="E595" s="188"/>
      <c r="F595" s="188"/>
      <c r="G595" s="188"/>
      <c r="H595" s="188"/>
      <c r="I595" s="188"/>
      <c r="J595" s="189"/>
    </row>
    <row r="596" spans="1:10" ht="13.5" customHeight="1">
      <c r="A596" s="1" t="s">
        <v>2</v>
      </c>
      <c r="B596" s="1"/>
      <c r="C596" s="209" t="s">
        <v>413</v>
      </c>
      <c r="D596" s="209"/>
      <c r="E596" s="2"/>
      <c r="F596" s="3"/>
      <c r="G596" s="1" t="s">
        <v>4</v>
      </c>
      <c r="H596" s="209" t="s">
        <v>182</v>
      </c>
      <c r="I596" s="209"/>
      <c r="J596" s="209"/>
    </row>
    <row r="597" spans="1:10" ht="13.5" customHeight="1">
      <c r="A597" s="1" t="s">
        <v>6</v>
      </c>
      <c r="B597" s="1"/>
      <c r="C597" s="196" t="s">
        <v>632</v>
      </c>
      <c r="D597" s="196"/>
      <c r="E597" s="2"/>
      <c r="F597" s="3"/>
      <c r="G597" s="1" t="s">
        <v>8</v>
      </c>
      <c r="H597" s="193" t="s">
        <v>9</v>
      </c>
      <c r="I597" s="193"/>
      <c r="J597" s="193"/>
    </row>
    <row r="598" spans="1:10" ht="13.5" customHeight="1">
      <c r="A598" s="6" t="s">
        <v>10</v>
      </c>
      <c r="B598" s="6"/>
      <c r="C598" s="209" t="s">
        <v>633</v>
      </c>
      <c r="D598" s="209"/>
      <c r="E598" s="2"/>
      <c r="F598" s="3"/>
      <c r="G598" s="1" t="s">
        <v>12</v>
      </c>
      <c r="H598" s="195" t="s">
        <v>13</v>
      </c>
      <c r="I598" s="195"/>
      <c r="J598" s="195"/>
    </row>
    <row r="599" spans="1:10" ht="13.5" customHeight="1">
      <c r="A599" s="2" t="s">
        <v>14</v>
      </c>
      <c r="B599" s="2"/>
      <c r="C599" s="2" t="s">
        <v>15</v>
      </c>
      <c r="D599" s="2"/>
      <c r="E599" s="2"/>
      <c r="F599" s="3"/>
      <c r="G599" s="1" t="s">
        <v>16</v>
      </c>
      <c r="H599" s="209" t="s">
        <v>140</v>
      </c>
      <c r="I599" s="209"/>
      <c r="J599" s="209"/>
    </row>
    <row r="600" spans="1:10" ht="13.5" customHeight="1">
      <c r="A600" s="2">
        <v>30</v>
      </c>
      <c r="B600" s="2"/>
      <c r="C600" s="2">
        <f>A600-H600</f>
        <v>2</v>
      </c>
      <c r="D600" s="2"/>
      <c r="E600" s="2"/>
      <c r="F600" s="3"/>
      <c r="G600" s="8" t="s">
        <v>18</v>
      </c>
      <c r="H600" s="197">
        <v>28</v>
      </c>
      <c r="I600" s="197"/>
      <c r="J600" s="197"/>
    </row>
    <row r="601" spans="1:10" ht="13.5" customHeight="1">
      <c r="A601" s="198" t="s">
        <v>19</v>
      </c>
      <c r="B601" s="199"/>
      <c r="C601" s="200"/>
      <c r="D601" s="13" t="s">
        <v>20</v>
      </c>
      <c r="E601" s="14" t="s">
        <v>21</v>
      </c>
      <c r="F601" s="15"/>
      <c r="G601" s="16" t="s">
        <v>20</v>
      </c>
      <c r="H601" s="201" t="s">
        <v>22</v>
      </c>
      <c r="I601" s="202"/>
      <c r="J601" s="203"/>
    </row>
    <row r="602" spans="1:10" ht="13.5" customHeight="1">
      <c r="A602" s="117" t="s">
        <v>23</v>
      </c>
      <c r="B602" s="118"/>
      <c r="C602" s="1"/>
      <c r="D602" s="2">
        <v>25000</v>
      </c>
      <c r="E602" s="17" t="s">
        <v>24</v>
      </c>
      <c r="F602" s="1"/>
      <c r="G602" s="2" t="s">
        <v>25</v>
      </c>
      <c r="H602" s="18" t="s">
        <v>26</v>
      </c>
      <c r="I602" s="23"/>
      <c r="J602" s="24"/>
    </row>
    <row r="603" spans="1:10" ht="13.5" customHeight="1">
      <c r="A603" s="17" t="s">
        <v>77</v>
      </c>
      <c r="B603" s="209"/>
      <c r="C603" s="209"/>
      <c r="D603" s="2" t="s">
        <v>25</v>
      </c>
      <c r="E603" s="17" t="s">
        <v>376</v>
      </c>
      <c r="F603" s="1"/>
      <c r="G603" s="2" t="s">
        <v>25</v>
      </c>
      <c r="H603" s="18" t="s">
        <v>29</v>
      </c>
      <c r="I603" s="23"/>
      <c r="J603" s="24"/>
    </row>
    <row r="604" spans="1:10" ht="13.5" customHeight="1">
      <c r="A604" s="17" t="s">
        <v>30</v>
      </c>
      <c r="B604" s="1"/>
      <c r="C604" s="1"/>
      <c r="D604" s="2">
        <v>3433</v>
      </c>
      <c r="E604" s="17" t="s">
        <v>58</v>
      </c>
      <c r="F604" s="1"/>
      <c r="G604" s="2" t="s">
        <v>25</v>
      </c>
      <c r="H604" s="18" t="s">
        <v>32</v>
      </c>
      <c r="I604" s="23"/>
      <c r="J604" s="24"/>
    </row>
    <row r="605" spans="1:10" ht="13.5" customHeight="1">
      <c r="A605" s="17" t="s">
        <v>147</v>
      </c>
      <c r="B605" s="1"/>
      <c r="C605" s="1"/>
      <c r="D605" s="2" t="s">
        <v>25</v>
      </c>
      <c r="E605" s="17" t="s">
        <v>35</v>
      </c>
      <c r="F605" s="1"/>
      <c r="G605" s="2">
        <v>833</v>
      </c>
      <c r="H605" s="18"/>
      <c r="I605" s="6"/>
      <c r="J605" s="19"/>
    </row>
    <row r="606" spans="1:10" ht="13.5" customHeight="1">
      <c r="A606" s="17" t="s">
        <v>72</v>
      </c>
      <c r="B606" s="1"/>
      <c r="C606" s="1"/>
      <c r="D606" s="2" t="s">
        <v>25</v>
      </c>
      <c r="E606" s="17" t="s">
        <v>61</v>
      </c>
      <c r="F606" s="1"/>
      <c r="G606" s="2" t="s">
        <v>25</v>
      </c>
      <c r="H606" s="18"/>
      <c r="I606" s="6"/>
      <c r="J606" s="19"/>
    </row>
    <row r="607" spans="1:10" ht="13.5" customHeight="1">
      <c r="A607" s="17" t="s">
        <v>136</v>
      </c>
      <c r="B607" s="1"/>
      <c r="C607" s="1"/>
      <c r="D607" s="2" t="s">
        <v>25</v>
      </c>
      <c r="E607" s="17" t="s">
        <v>39</v>
      </c>
      <c r="F607" s="1"/>
      <c r="G607" s="2">
        <v>100</v>
      </c>
      <c r="H607" s="18"/>
      <c r="I607" s="6"/>
      <c r="J607" s="19"/>
    </row>
    <row r="608" spans="1:10" ht="13.5" customHeight="1">
      <c r="A608" s="18" t="s">
        <v>40</v>
      </c>
      <c r="B608" s="6"/>
      <c r="C608" s="6"/>
      <c r="D608" s="2" t="s">
        <v>25</v>
      </c>
      <c r="E608" s="17" t="s">
        <v>41</v>
      </c>
      <c r="F608" s="1"/>
      <c r="G608" s="2" t="s">
        <v>25</v>
      </c>
      <c r="H608" s="18"/>
      <c r="I608" s="6"/>
      <c r="J608" s="19"/>
    </row>
    <row r="609" spans="1:10" ht="13.5" customHeight="1">
      <c r="A609" s="204" t="s">
        <v>63</v>
      </c>
      <c r="B609" s="205"/>
      <c r="C609" s="206"/>
      <c r="D609" s="229">
        <f>SUM(D602:D608)</f>
        <v>28433</v>
      </c>
      <c r="E609" s="1" t="s">
        <v>43</v>
      </c>
      <c r="F609" s="1"/>
      <c r="G609" s="2" t="s">
        <v>25</v>
      </c>
      <c r="H609" s="18"/>
      <c r="I609" s="6"/>
      <c r="J609" s="19"/>
    </row>
    <row r="610" spans="1:10" ht="13.5" customHeight="1">
      <c r="A610" s="207"/>
      <c r="B610" s="197"/>
      <c r="C610" s="208"/>
      <c r="D610" s="230"/>
      <c r="E610" s="21" t="s">
        <v>21</v>
      </c>
      <c r="F610" s="22"/>
      <c r="G610" s="13">
        <f>SUM(G602:G609)</f>
        <v>933</v>
      </c>
      <c r="H610" s="21" t="s">
        <v>44</v>
      </c>
      <c r="I610" s="22"/>
      <c r="J610" s="13">
        <f>D609-G610</f>
        <v>27500</v>
      </c>
    </row>
    <row r="611" spans="1:10" ht="13.5" customHeight="1">
      <c r="A611" s="3" t="s">
        <v>45</v>
      </c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3.5" customHeight="1">
      <c r="A613" s="3"/>
      <c r="B613" s="3" t="s">
        <v>47</v>
      </c>
      <c r="C613" s="3"/>
      <c r="D613" s="3"/>
      <c r="E613" s="3" t="s">
        <v>48</v>
      </c>
      <c r="F613" s="3"/>
      <c r="G613" s="3"/>
      <c r="H613" s="3" t="s">
        <v>49</v>
      </c>
      <c r="I613" s="3"/>
      <c r="J613" s="3"/>
    </row>
    <row r="614" spans="1:10" ht="13.5" customHeight="1">
      <c r="A614" s="184" t="s">
        <v>0</v>
      </c>
      <c r="B614" s="185"/>
      <c r="C614" s="185"/>
      <c r="D614" s="185"/>
      <c r="E614" s="185"/>
      <c r="F614" s="185"/>
      <c r="G614" s="185"/>
      <c r="H614" s="185"/>
      <c r="I614" s="185"/>
      <c r="J614" s="186"/>
    </row>
    <row r="615" spans="1:10" ht="13.5" customHeight="1">
      <c r="A615" s="187" t="s">
        <v>1</v>
      </c>
      <c r="B615" s="188"/>
      <c r="C615" s="188"/>
      <c r="D615" s="188"/>
      <c r="E615" s="188"/>
      <c r="F615" s="188"/>
      <c r="G615" s="188"/>
      <c r="H615" s="188"/>
      <c r="I615" s="188"/>
      <c r="J615" s="189"/>
    </row>
    <row r="616" spans="1:10" ht="13.5" customHeight="1">
      <c r="A616" s="1" t="s">
        <v>2</v>
      </c>
      <c r="B616" s="1"/>
      <c r="C616" s="194" t="s">
        <v>634</v>
      </c>
      <c r="D616" s="194"/>
      <c r="E616" s="2"/>
      <c r="F616" s="3"/>
      <c r="G616" s="1" t="s">
        <v>4</v>
      </c>
      <c r="H616" s="209" t="s">
        <v>182</v>
      </c>
      <c r="I616" s="209"/>
      <c r="J616" s="209"/>
    </row>
    <row r="617" spans="1:10" ht="13.5" customHeight="1">
      <c r="A617" s="1" t="s">
        <v>6</v>
      </c>
      <c r="B617" s="1"/>
      <c r="C617" s="192" t="s">
        <v>635</v>
      </c>
      <c r="D617" s="192"/>
      <c r="E617" s="2"/>
      <c r="F617" s="3"/>
      <c r="G617" s="1" t="s">
        <v>8</v>
      </c>
      <c r="H617" s="193" t="s">
        <v>9</v>
      </c>
      <c r="I617" s="193"/>
      <c r="J617" s="193"/>
    </row>
    <row r="618" spans="1:10" ht="13.5" customHeight="1">
      <c r="A618" s="6" t="s">
        <v>10</v>
      </c>
      <c r="B618" s="6"/>
      <c r="C618" s="6" t="s">
        <v>636</v>
      </c>
      <c r="D618" s="6"/>
      <c r="E618" s="2"/>
      <c r="F618" s="3"/>
      <c r="G618" s="1" t="s">
        <v>12</v>
      </c>
      <c r="H618" s="195" t="s">
        <v>13</v>
      </c>
      <c r="I618" s="195"/>
      <c r="J618" s="195"/>
    </row>
    <row r="619" spans="1:10" ht="13.5" customHeight="1">
      <c r="A619" s="2" t="s">
        <v>14</v>
      </c>
      <c r="B619" s="2"/>
      <c r="C619" s="1" t="s">
        <v>15</v>
      </c>
      <c r="D619" s="1"/>
      <c r="E619" s="2"/>
      <c r="F619" s="3"/>
      <c r="G619" s="1" t="s">
        <v>16</v>
      </c>
      <c r="H619" s="209" t="s">
        <v>637</v>
      </c>
      <c r="I619" s="209"/>
      <c r="J619" s="209"/>
    </row>
    <row r="620" spans="1:10" ht="13.5" customHeight="1">
      <c r="A620" s="2">
        <v>30</v>
      </c>
      <c r="B620" s="2"/>
      <c r="C620" s="2">
        <f>A620-H620</f>
        <v>0</v>
      </c>
      <c r="D620" s="2"/>
      <c r="E620" s="2"/>
      <c r="F620" s="3"/>
      <c r="G620" s="8" t="s">
        <v>18</v>
      </c>
      <c r="H620" s="197">
        <v>30</v>
      </c>
      <c r="I620" s="197"/>
      <c r="J620" s="197"/>
    </row>
    <row r="621" spans="1:10" ht="13.5" customHeight="1">
      <c r="A621" s="198" t="s">
        <v>19</v>
      </c>
      <c r="B621" s="199"/>
      <c r="C621" s="200"/>
      <c r="D621" s="13" t="s">
        <v>20</v>
      </c>
      <c r="E621" s="14" t="s">
        <v>21</v>
      </c>
      <c r="F621" s="15"/>
      <c r="G621" s="16" t="s">
        <v>20</v>
      </c>
      <c r="H621" s="201" t="s">
        <v>22</v>
      </c>
      <c r="I621" s="202"/>
      <c r="J621" s="203"/>
    </row>
    <row r="622" spans="1:10" ht="13.5" customHeight="1">
      <c r="A622" s="17" t="s">
        <v>23</v>
      </c>
      <c r="B622" s="1"/>
      <c r="C622" s="1"/>
      <c r="D622" s="2">
        <v>20000</v>
      </c>
      <c r="E622" s="17" t="s">
        <v>24</v>
      </c>
      <c r="F622" s="1"/>
      <c r="G622" s="2" t="s">
        <v>25</v>
      </c>
      <c r="H622" s="18" t="s">
        <v>26</v>
      </c>
      <c r="I622" s="23"/>
      <c r="J622" s="24"/>
    </row>
    <row r="623" spans="1:10" ht="13.5" customHeight="1">
      <c r="A623" s="17" t="s">
        <v>77</v>
      </c>
      <c r="B623" s="209"/>
      <c r="C623" s="209"/>
      <c r="D623" s="2" t="s">
        <v>25</v>
      </c>
      <c r="E623" s="17" t="s">
        <v>28</v>
      </c>
      <c r="F623" s="1"/>
      <c r="G623" s="2" t="s">
        <v>25</v>
      </c>
      <c r="H623" s="18" t="s">
        <v>29</v>
      </c>
      <c r="I623" s="23"/>
      <c r="J623" s="24"/>
    </row>
    <row r="624" spans="1:10" ht="13.5" customHeight="1">
      <c r="A624" s="17" t="s">
        <v>30</v>
      </c>
      <c r="B624" s="1"/>
      <c r="C624" s="1"/>
      <c r="D624" s="2">
        <v>4600</v>
      </c>
      <c r="E624" s="17" t="s">
        <v>89</v>
      </c>
      <c r="F624" s="1"/>
      <c r="G624" s="2" t="s">
        <v>25</v>
      </c>
      <c r="H624" s="18" t="s">
        <v>32</v>
      </c>
      <c r="I624" s="23"/>
      <c r="J624" s="24"/>
    </row>
    <row r="625" spans="1:10" ht="13.5" customHeight="1">
      <c r="A625" s="17" t="s">
        <v>34</v>
      </c>
      <c r="B625" s="1"/>
      <c r="C625" s="1"/>
      <c r="D625" s="2" t="s">
        <v>25</v>
      </c>
      <c r="E625" s="17" t="s">
        <v>35</v>
      </c>
      <c r="F625" s="1"/>
      <c r="G625" s="2" t="s">
        <v>25</v>
      </c>
      <c r="H625" s="18"/>
      <c r="I625" s="6"/>
      <c r="J625" s="19"/>
    </row>
    <row r="626" spans="1:10" ht="13.5" customHeight="1">
      <c r="A626" s="17" t="s">
        <v>78</v>
      </c>
      <c r="B626" s="1"/>
      <c r="C626" s="1"/>
      <c r="D626" s="2" t="s">
        <v>25</v>
      </c>
      <c r="E626" s="17" t="s">
        <v>61</v>
      </c>
      <c r="F626" s="1"/>
      <c r="G626" s="2" t="s">
        <v>25</v>
      </c>
      <c r="H626" s="18"/>
      <c r="I626" s="6"/>
      <c r="J626" s="19"/>
    </row>
    <row r="627" spans="1:10" ht="13.5" customHeight="1">
      <c r="A627" s="17" t="s">
        <v>638</v>
      </c>
      <c r="B627" s="1"/>
      <c r="C627" s="1"/>
      <c r="D627" s="2" t="s">
        <v>25</v>
      </c>
      <c r="E627" s="17" t="s">
        <v>39</v>
      </c>
      <c r="F627" s="1"/>
      <c r="G627" s="2">
        <v>100</v>
      </c>
      <c r="H627" s="18"/>
      <c r="I627" s="6"/>
      <c r="J627" s="19"/>
    </row>
    <row r="628" spans="1:10" ht="13.5" customHeight="1">
      <c r="A628" s="18" t="s">
        <v>40</v>
      </c>
      <c r="B628" s="6"/>
      <c r="C628" s="6"/>
      <c r="D628" s="2" t="s">
        <v>25</v>
      </c>
      <c r="E628" s="17" t="s">
        <v>78</v>
      </c>
      <c r="F628" s="1"/>
      <c r="G628" s="2" t="s">
        <v>25</v>
      </c>
      <c r="H628" s="18"/>
      <c r="I628" s="6"/>
      <c r="J628" s="19"/>
    </row>
    <row r="629" spans="1:10" ht="13.5" customHeight="1">
      <c r="A629" s="204" t="s">
        <v>63</v>
      </c>
      <c r="B629" s="205"/>
      <c r="C629" s="206"/>
      <c r="D629" s="229">
        <f>SUM(D622:D628)</f>
        <v>24600</v>
      </c>
      <c r="E629" s="1" t="s">
        <v>43</v>
      </c>
      <c r="F629" s="1"/>
      <c r="G629" s="2" t="s">
        <v>25</v>
      </c>
      <c r="H629" s="18"/>
      <c r="I629" s="6"/>
      <c r="J629" s="19"/>
    </row>
    <row r="630" spans="1:10" ht="13.5" customHeight="1">
      <c r="A630" s="207"/>
      <c r="B630" s="197"/>
      <c r="C630" s="208"/>
      <c r="D630" s="230"/>
      <c r="E630" s="21" t="s">
        <v>21</v>
      </c>
      <c r="F630" s="22"/>
      <c r="G630" s="13">
        <f>SUM(G622:G629)</f>
        <v>100</v>
      </c>
      <c r="H630" s="21" t="s">
        <v>44</v>
      </c>
      <c r="I630" s="22"/>
      <c r="J630" s="13">
        <f>D629-G630</f>
        <v>24500</v>
      </c>
    </row>
    <row r="631" spans="1:10" ht="13.5" customHeight="1">
      <c r="A631" s="3" t="s">
        <v>45</v>
      </c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3.5" customHeight="1">
      <c r="A633" s="3"/>
      <c r="B633" s="3" t="s">
        <v>47</v>
      </c>
      <c r="C633" s="3"/>
      <c r="D633" s="3"/>
      <c r="E633" s="3" t="s">
        <v>48</v>
      </c>
      <c r="F633" s="3"/>
      <c r="G633" s="3"/>
      <c r="H633" s="3" t="s">
        <v>49</v>
      </c>
      <c r="I633" s="3"/>
      <c r="J633" s="3"/>
    </row>
    <row r="634" spans="1:10" ht="13.5" customHeight="1">
      <c r="A634" s="306" t="s">
        <v>0</v>
      </c>
      <c r="B634" s="307"/>
      <c r="C634" s="307"/>
      <c r="D634" s="307"/>
      <c r="E634" s="307"/>
      <c r="F634" s="307"/>
      <c r="G634" s="307"/>
      <c r="H634" s="307"/>
      <c r="I634" s="307"/>
      <c r="J634" s="308"/>
    </row>
    <row r="635" spans="1:10" ht="13.5" customHeight="1">
      <c r="A635" s="187" t="s">
        <v>1</v>
      </c>
      <c r="B635" s="188"/>
      <c r="C635" s="188"/>
      <c r="D635" s="188"/>
      <c r="E635" s="188"/>
      <c r="F635" s="188"/>
      <c r="G635" s="188"/>
      <c r="H635" s="188"/>
      <c r="I635" s="188"/>
      <c r="J635" s="189"/>
    </row>
    <row r="636" spans="1:10" ht="13.5" customHeight="1">
      <c r="A636" s="57" t="s">
        <v>2</v>
      </c>
      <c r="B636" s="57"/>
      <c r="C636" s="309" t="s">
        <v>639</v>
      </c>
      <c r="D636" s="309"/>
      <c r="E636" s="58"/>
      <c r="F636" s="59"/>
      <c r="G636" s="57" t="s">
        <v>4</v>
      </c>
      <c r="H636" s="191" t="s">
        <v>191</v>
      </c>
      <c r="I636" s="191"/>
      <c r="J636" s="191"/>
    </row>
    <row r="637" spans="1:10" ht="13.5" customHeight="1">
      <c r="A637" s="57" t="s">
        <v>6</v>
      </c>
      <c r="B637" s="57"/>
      <c r="C637" s="154" t="s">
        <v>640</v>
      </c>
      <c r="D637" s="154"/>
      <c r="E637" s="60"/>
      <c r="F637" s="59"/>
      <c r="G637" s="57" t="s">
        <v>8</v>
      </c>
      <c r="H637" s="310" t="s">
        <v>9</v>
      </c>
      <c r="I637" s="310"/>
      <c r="J637" s="310"/>
    </row>
    <row r="638" spans="1:10" ht="13.5" customHeight="1">
      <c r="A638" s="61" t="s">
        <v>10</v>
      </c>
      <c r="B638" s="61"/>
      <c r="C638" s="309" t="s">
        <v>571</v>
      </c>
      <c r="D638" s="309"/>
      <c r="E638" s="58"/>
      <c r="F638" s="59"/>
      <c r="G638" s="57" t="s">
        <v>12</v>
      </c>
      <c r="H638" s="195" t="s">
        <v>13</v>
      </c>
      <c r="I638" s="195"/>
      <c r="J638" s="195"/>
    </row>
    <row r="639" spans="1:10" ht="13.5" customHeight="1">
      <c r="A639" s="61" t="s">
        <v>14</v>
      </c>
      <c r="B639" s="61"/>
      <c r="C639" s="58" t="s">
        <v>15</v>
      </c>
      <c r="D639" s="58"/>
      <c r="E639" s="58"/>
      <c r="F639" s="59"/>
      <c r="G639" s="57" t="s">
        <v>16</v>
      </c>
      <c r="H639" s="317" t="s">
        <v>446</v>
      </c>
      <c r="I639" s="317"/>
      <c r="J639" s="317"/>
    </row>
    <row r="640" spans="1:10" ht="13.5" customHeight="1">
      <c r="A640" s="61">
        <v>30</v>
      </c>
      <c r="B640" s="61"/>
      <c r="C640" s="58">
        <f>A640-I640</f>
        <v>2</v>
      </c>
      <c r="D640" s="58"/>
      <c r="E640" s="58"/>
      <c r="F640" s="59"/>
      <c r="G640" s="62" t="s">
        <v>18</v>
      </c>
      <c r="H640" s="62"/>
      <c r="I640" s="63">
        <v>28</v>
      </c>
      <c r="J640" s="63"/>
    </row>
    <row r="641" spans="1:10" ht="13.5" customHeight="1">
      <c r="A641" s="300" t="s">
        <v>19</v>
      </c>
      <c r="B641" s="301"/>
      <c r="C641" s="302"/>
      <c r="D641" s="64" t="s">
        <v>20</v>
      </c>
      <c r="E641" s="65" t="s">
        <v>21</v>
      </c>
      <c r="F641" s="66"/>
      <c r="G641" s="67" t="s">
        <v>20</v>
      </c>
      <c r="H641" s="303" t="s">
        <v>22</v>
      </c>
      <c r="I641" s="304"/>
      <c r="J641" s="305"/>
    </row>
    <row r="642" spans="1:10" ht="13.5" customHeight="1">
      <c r="A642" s="68" t="s">
        <v>23</v>
      </c>
      <c r="B642" s="57"/>
      <c r="C642" s="57"/>
      <c r="D642" s="58">
        <v>23000</v>
      </c>
      <c r="E642" s="68" t="s">
        <v>24</v>
      </c>
      <c r="F642" s="57"/>
      <c r="G642" s="58" t="s">
        <v>25</v>
      </c>
      <c r="H642" s="18" t="s">
        <v>26</v>
      </c>
      <c r="I642" s="23"/>
      <c r="J642" s="24"/>
    </row>
    <row r="643" spans="1:10" ht="13.5" customHeight="1">
      <c r="A643" s="68" t="s">
        <v>77</v>
      </c>
      <c r="B643" s="311" t="s">
        <v>196</v>
      </c>
      <c r="C643" s="311"/>
      <c r="D643" s="58">
        <v>2300</v>
      </c>
      <c r="E643" s="68" t="s">
        <v>28</v>
      </c>
      <c r="F643" s="57"/>
      <c r="G643" s="58" t="s">
        <v>25</v>
      </c>
      <c r="H643" s="18" t="s">
        <v>29</v>
      </c>
      <c r="I643" s="23"/>
      <c r="J643" s="24"/>
    </row>
    <row r="644" spans="1:10" ht="13.5" customHeight="1">
      <c r="A644" s="68" t="s">
        <v>30</v>
      </c>
      <c r="B644" s="57"/>
      <c r="C644" s="57"/>
      <c r="D644" s="58">
        <v>1333</v>
      </c>
      <c r="E644" s="68" t="s">
        <v>58</v>
      </c>
      <c r="F644" s="57"/>
      <c r="G644" s="58" t="s">
        <v>25</v>
      </c>
      <c r="H644" s="18" t="s">
        <v>32</v>
      </c>
      <c r="I644" s="23"/>
      <c r="J644" s="24"/>
    </row>
    <row r="645" spans="1:10" ht="13.5" customHeight="1">
      <c r="A645" s="68" t="s">
        <v>34</v>
      </c>
      <c r="B645" s="57"/>
      <c r="C645" s="57"/>
      <c r="D645" s="58" t="s">
        <v>25</v>
      </c>
      <c r="E645" s="68" t="s">
        <v>71</v>
      </c>
      <c r="F645" s="57"/>
      <c r="G645" s="58">
        <v>1533</v>
      </c>
      <c r="H645" s="70"/>
      <c r="I645" s="61"/>
      <c r="J645" s="69"/>
    </row>
    <row r="646" spans="1:10" ht="13.5" customHeight="1">
      <c r="A646" s="68" t="s">
        <v>78</v>
      </c>
      <c r="B646" s="57"/>
      <c r="C646" s="57"/>
      <c r="D646" s="58" t="s">
        <v>25</v>
      </c>
      <c r="E646" s="68" t="s">
        <v>286</v>
      </c>
      <c r="F646" s="57"/>
      <c r="G646" s="58" t="s">
        <v>25</v>
      </c>
      <c r="H646" s="70" t="s">
        <v>641</v>
      </c>
      <c r="I646" s="61"/>
      <c r="J646" s="71"/>
    </row>
    <row r="647" spans="1:10" ht="13.5" customHeight="1">
      <c r="A647" s="68" t="s">
        <v>136</v>
      </c>
      <c r="B647" s="57"/>
      <c r="C647" s="57"/>
      <c r="D647" s="58" t="s">
        <v>25</v>
      </c>
      <c r="E647" s="68" t="s">
        <v>39</v>
      </c>
      <c r="F647" s="57"/>
      <c r="G647" s="58">
        <v>100</v>
      </c>
      <c r="H647" s="70"/>
      <c r="I647" s="61"/>
      <c r="J647" s="71"/>
    </row>
    <row r="648" spans="1:10" ht="13.5" customHeight="1">
      <c r="A648" s="70" t="s">
        <v>40</v>
      </c>
      <c r="B648" s="61"/>
      <c r="C648" s="61"/>
      <c r="D648" s="58" t="s">
        <v>25</v>
      </c>
      <c r="E648" s="68" t="s">
        <v>78</v>
      </c>
      <c r="F648" s="57"/>
      <c r="G648" s="58" t="s">
        <v>25</v>
      </c>
      <c r="H648" s="70"/>
      <c r="I648" s="61"/>
      <c r="J648" s="71"/>
    </row>
    <row r="649" spans="1:10" ht="13.5" customHeight="1">
      <c r="A649" s="320" t="s">
        <v>63</v>
      </c>
      <c r="B649" s="321"/>
      <c r="C649" s="322"/>
      <c r="D649" s="318">
        <f>SUM(D642:D648)</f>
        <v>26633</v>
      </c>
      <c r="E649" s="57" t="s">
        <v>43</v>
      </c>
      <c r="F649" s="57"/>
      <c r="G649" s="58" t="s">
        <v>25</v>
      </c>
      <c r="H649" s="70"/>
      <c r="I649" s="61"/>
      <c r="J649" s="69"/>
    </row>
    <row r="650" spans="1:10" ht="13.5" customHeight="1">
      <c r="A650" s="323"/>
      <c r="B650" s="324"/>
      <c r="C650" s="325"/>
      <c r="D650" s="319"/>
      <c r="E650" s="72" t="s">
        <v>21</v>
      </c>
      <c r="F650" s="73"/>
      <c r="G650" s="64">
        <f>SUM(G642:G649)</f>
        <v>1633</v>
      </c>
      <c r="H650" s="72" t="s">
        <v>44</v>
      </c>
      <c r="I650" s="73"/>
      <c r="J650" s="13">
        <f>D649-G650</f>
        <v>25000</v>
      </c>
    </row>
    <row r="651" spans="1:10" ht="13.5" customHeight="1">
      <c r="A651" s="59" t="s">
        <v>45</v>
      </c>
      <c r="B651" s="59"/>
      <c r="C651" s="59"/>
      <c r="D651" s="59"/>
      <c r="E651" s="59"/>
      <c r="F651" s="59"/>
      <c r="G651" s="59"/>
      <c r="H651" s="59"/>
      <c r="I651" s="59"/>
      <c r="J651" s="59"/>
    </row>
    <row r="652" spans="1:10" ht="13.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</row>
    <row r="653" spans="1:10" ht="13.5" customHeight="1">
      <c r="A653" s="59"/>
      <c r="B653" s="59" t="s">
        <v>47</v>
      </c>
      <c r="C653" s="59"/>
      <c r="D653" s="59"/>
      <c r="E653" s="59" t="s">
        <v>48</v>
      </c>
      <c r="F653" s="59"/>
      <c r="G653" s="59"/>
      <c r="H653" s="59" t="s">
        <v>49</v>
      </c>
      <c r="I653" s="59"/>
      <c r="J653" s="59"/>
    </row>
    <row r="654" spans="1:10" ht="13.5" customHeight="1">
      <c r="A654" s="306" t="s">
        <v>0</v>
      </c>
      <c r="B654" s="307"/>
      <c r="C654" s="307"/>
      <c r="D654" s="307"/>
      <c r="E654" s="307"/>
      <c r="F654" s="307"/>
      <c r="G654" s="307"/>
      <c r="H654" s="307"/>
      <c r="I654" s="307"/>
      <c r="J654" s="308"/>
    </row>
    <row r="655" spans="1:10" ht="13.5" customHeight="1">
      <c r="A655" s="187" t="s">
        <v>1</v>
      </c>
      <c r="B655" s="188"/>
      <c r="C655" s="188"/>
      <c r="D655" s="188"/>
      <c r="E655" s="188"/>
      <c r="F655" s="188"/>
      <c r="G655" s="188"/>
      <c r="H655" s="188"/>
      <c r="I655" s="188"/>
      <c r="J655" s="189"/>
    </row>
    <row r="656" spans="1:10" ht="13.5" customHeight="1">
      <c r="A656" s="57" t="s">
        <v>2</v>
      </c>
      <c r="B656" s="57"/>
      <c r="C656" s="309" t="s">
        <v>639</v>
      </c>
      <c r="D656" s="309"/>
      <c r="E656" s="58"/>
      <c r="F656" s="59"/>
      <c r="G656" s="57" t="s">
        <v>4</v>
      </c>
      <c r="H656" s="191" t="s">
        <v>191</v>
      </c>
      <c r="I656" s="191"/>
      <c r="J656" s="191"/>
    </row>
    <row r="657" spans="1:10" ht="13.5" customHeight="1">
      <c r="A657" s="57" t="s">
        <v>6</v>
      </c>
      <c r="B657" s="57"/>
      <c r="C657" s="154" t="s">
        <v>642</v>
      </c>
      <c r="D657" s="154"/>
      <c r="E657" s="60"/>
      <c r="F657" s="59"/>
      <c r="G657" s="57" t="s">
        <v>8</v>
      </c>
      <c r="H657" s="310" t="s">
        <v>9</v>
      </c>
      <c r="I657" s="310"/>
      <c r="J657" s="310"/>
    </row>
    <row r="658" spans="1:10" ht="13.5" customHeight="1">
      <c r="A658" s="61" t="s">
        <v>10</v>
      </c>
      <c r="B658" s="61"/>
      <c r="C658" s="309" t="s">
        <v>571</v>
      </c>
      <c r="D658" s="309"/>
      <c r="E658" s="58"/>
      <c r="F658" s="59"/>
      <c r="G658" s="57" t="s">
        <v>12</v>
      </c>
      <c r="H658" s="195" t="s">
        <v>13</v>
      </c>
      <c r="I658" s="195"/>
      <c r="J658" s="195"/>
    </row>
    <row r="659" spans="1:10" ht="13.5" customHeight="1">
      <c r="A659" s="61" t="s">
        <v>14</v>
      </c>
      <c r="B659" s="61"/>
      <c r="C659" s="58" t="s">
        <v>15</v>
      </c>
      <c r="D659" s="58"/>
      <c r="E659" s="58"/>
      <c r="F659" s="59"/>
      <c r="G659" s="57" t="s">
        <v>16</v>
      </c>
      <c r="H659" s="317" t="s">
        <v>140</v>
      </c>
      <c r="I659" s="317"/>
      <c r="J659" s="317"/>
    </row>
    <row r="660" spans="1:10" ht="13.5" customHeight="1">
      <c r="A660" s="61">
        <v>30</v>
      </c>
      <c r="B660" s="61"/>
      <c r="C660" s="58">
        <f>A660-I660</f>
        <v>24</v>
      </c>
      <c r="D660" s="58"/>
      <c r="E660" s="58"/>
      <c r="F660" s="59"/>
      <c r="G660" s="62" t="s">
        <v>18</v>
      </c>
      <c r="H660" s="62"/>
      <c r="I660" s="63">
        <v>6</v>
      </c>
      <c r="J660" s="63"/>
    </row>
    <row r="661" spans="1:10" ht="13.5" customHeight="1">
      <c r="A661" s="300" t="s">
        <v>19</v>
      </c>
      <c r="B661" s="301"/>
      <c r="C661" s="302"/>
      <c r="D661" s="64" t="s">
        <v>20</v>
      </c>
      <c r="E661" s="65" t="s">
        <v>21</v>
      </c>
      <c r="F661" s="66"/>
      <c r="G661" s="67" t="s">
        <v>20</v>
      </c>
      <c r="H661" s="303" t="s">
        <v>22</v>
      </c>
      <c r="I661" s="304"/>
      <c r="J661" s="305"/>
    </row>
    <row r="662" spans="1:10" ht="13.5" customHeight="1">
      <c r="A662" s="68" t="s">
        <v>23</v>
      </c>
      <c r="B662" s="57"/>
      <c r="C662" s="57"/>
      <c r="D662" s="58">
        <v>22000</v>
      </c>
      <c r="E662" s="68" t="s">
        <v>24</v>
      </c>
      <c r="F662" s="57"/>
      <c r="G662" s="58" t="s">
        <v>25</v>
      </c>
      <c r="H662" s="18" t="s">
        <v>26</v>
      </c>
      <c r="I662" s="23"/>
      <c r="J662" s="24"/>
    </row>
    <row r="663" spans="1:10" ht="13.5" customHeight="1">
      <c r="A663" s="68" t="s">
        <v>77</v>
      </c>
      <c r="B663" s="311" t="s">
        <v>355</v>
      </c>
      <c r="C663" s="311"/>
      <c r="D663" s="58">
        <v>2933</v>
      </c>
      <c r="E663" s="68" t="s">
        <v>28</v>
      </c>
      <c r="F663" s="57"/>
      <c r="G663" s="58" t="s">
        <v>25</v>
      </c>
      <c r="H663" s="18" t="s">
        <v>29</v>
      </c>
      <c r="I663" s="23"/>
      <c r="J663" s="24"/>
    </row>
    <row r="664" spans="1:10" ht="13.5" customHeight="1">
      <c r="A664" s="68" t="s">
        <v>30</v>
      </c>
      <c r="B664" s="57"/>
      <c r="C664" s="57"/>
      <c r="D664" s="58">
        <v>1167</v>
      </c>
      <c r="E664" s="68" t="s">
        <v>58</v>
      </c>
      <c r="F664" s="57"/>
      <c r="G664" s="58" t="s">
        <v>25</v>
      </c>
      <c r="H664" s="18" t="s">
        <v>32</v>
      </c>
      <c r="I664" s="23"/>
      <c r="J664" s="24"/>
    </row>
    <row r="665" spans="1:10" ht="13.5" customHeight="1">
      <c r="A665" s="68" t="s">
        <v>34</v>
      </c>
      <c r="B665" s="57"/>
      <c r="C665" s="57"/>
      <c r="D665" s="58" t="s">
        <v>25</v>
      </c>
      <c r="E665" s="68" t="s">
        <v>71</v>
      </c>
      <c r="F665" s="57"/>
      <c r="G665" s="58" t="s">
        <v>25</v>
      </c>
      <c r="H665" s="70"/>
      <c r="I665" s="61"/>
      <c r="J665" s="69"/>
    </row>
    <row r="666" spans="1:10" ht="13.5" customHeight="1">
      <c r="A666" s="68" t="s">
        <v>78</v>
      </c>
      <c r="B666" s="57"/>
      <c r="C666" s="57"/>
      <c r="D666" s="58" t="s">
        <v>25</v>
      </c>
      <c r="E666" s="68" t="s">
        <v>286</v>
      </c>
      <c r="F666" s="57"/>
      <c r="G666" s="58" t="s">
        <v>25</v>
      </c>
      <c r="H666" s="70" t="s">
        <v>643</v>
      </c>
      <c r="I666" s="61"/>
      <c r="J666" s="71"/>
    </row>
    <row r="667" spans="1:10" ht="13.5" customHeight="1">
      <c r="A667" s="68" t="s">
        <v>136</v>
      </c>
      <c r="B667" s="57"/>
      <c r="C667" s="57"/>
      <c r="D667" s="58" t="s">
        <v>25</v>
      </c>
      <c r="E667" s="68" t="s">
        <v>39</v>
      </c>
      <c r="F667" s="57"/>
      <c r="G667" s="58">
        <v>100</v>
      </c>
      <c r="H667" s="70"/>
      <c r="I667" s="61"/>
      <c r="J667" s="71"/>
    </row>
    <row r="668" spans="1:10" ht="13.5" customHeight="1">
      <c r="A668" s="70" t="s">
        <v>40</v>
      </c>
      <c r="B668" s="61"/>
      <c r="C668" s="61"/>
      <c r="D668" s="58" t="s">
        <v>25</v>
      </c>
      <c r="E668" s="68" t="s">
        <v>78</v>
      </c>
      <c r="F668" s="57"/>
      <c r="G668" s="58" t="s">
        <v>25</v>
      </c>
      <c r="H668" s="70"/>
      <c r="I668" s="61"/>
      <c r="J668" s="71"/>
    </row>
    <row r="669" spans="1:10" ht="13.5" customHeight="1">
      <c r="A669" s="320" t="s">
        <v>63</v>
      </c>
      <c r="B669" s="321"/>
      <c r="C669" s="322"/>
      <c r="D669" s="318">
        <f>SUM(D662:D668)</f>
        <v>26100</v>
      </c>
      <c r="E669" s="57" t="s">
        <v>43</v>
      </c>
      <c r="F669" s="57"/>
      <c r="G669" s="58" t="s">
        <v>25</v>
      </c>
      <c r="H669" s="70"/>
      <c r="I669" s="61"/>
      <c r="J669" s="69"/>
    </row>
    <row r="670" spans="1:10" ht="13.5" customHeight="1">
      <c r="A670" s="323"/>
      <c r="B670" s="324"/>
      <c r="C670" s="325"/>
      <c r="D670" s="319"/>
      <c r="E670" s="72" t="s">
        <v>21</v>
      </c>
      <c r="F670" s="73"/>
      <c r="G670" s="64">
        <f>SUM(G662:G669)</f>
        <v>100</v>
      </c>
      <c r="H670" s="72" t="s">
        <v>44</v>
      </c>
      <c r="I670" s="73"/>
      <c r="J670" s="13">
        <f>D669-G670</f>
        <v>26000</v>
      </c>
    </row>
    <row r="671" spans="1:10" ht="13.5" customHeight="1">
      <c r="A671" s="59" t="s">
        <v>45</v>
      </c>
      <c r="B671" s="59"/>
      <c r="C671" s="59"/>
      <c r="D671" s="59"/>
      <c r="E671" s="59"/>
      <c r="F671" s="59"/>
      <c r="G671" s="59"/>
      <c r="H671" s="59"/>
      <c r="I671" s="59"/>
      <c r="J671" s="59"/>
    </row>
    <row r="672" spans="1:10" ht="13.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</row>
    <row r="673" spans="1:10" ht="13.5" customHeight="1">
      <c r="A673" s="59"/>
      <c r="B673" s="59" t="s">
        <v>47</v>
      </c>
      <c r="C673" s="59"/>
      <c r="D673" s="59"/>
      <c r="E673" s="59" t="s">
        <v>48</v>
      </c>
      <c r="F673" s="59"/>
      <c r="G673" s="59"/>
      <c r="H673" s="59" t="s">
        <v>49</v>
      </c>
      <c r="I673" s="59"/>
      <c r="J673" s="59"/>
    </row>
    <row r="674" spans="1:10" ht="13.5" customHeight="1">
      <c r="A674" s="184" t="s">
        <v>0</v>
      </c>
      <c r="B674" s="185"/>
      <c r="C674" s="185"/>
      <c r="D674" s="185"/>
      <c r="E674" s="185"/>
      <c r="F674" s="185"/>
      <c r="G674" s="185"/>
      <c r="H674" s="185"/>
      <c r="I674" s="185"/>
      <c r="J674" s="186"/>
    </row>
    <row r="675" spans="1:10" ht="13.5" customHeight="1">
      <c r="A675" s="187" t="s">
        <v>1</v>
      </c>
      <c r="B675" s="188"/>
      <c r="C675" s="188"/>
      <c r="D675" s="188"/>
      <c r="E675" s="188"/>
      <c r="F675" s="188"/>
      <c r="G675" s="188"/>
      <c r="H675" s="188"/>
      <c r="I675" s="188"/>
      <c r="J675" s="189"/>
    </row>
    <row r="676" spans="1:10" ht="13.5" customHeight="1">
      <c r="A676" s="1" t="s">
        <v>2</v>
      </c>
      <c r="B676" s="1"/>
      <c r="C676" s="190" t="s">
        <v>418</v>
      </c>
      <c r="D676" s="190"/>
      <c r="E676" s="2"/>
      <c r="F676" s="3"/>
      <c r="G676" s="1" t="s">
        <v>4</v>
      </c>
      <c r="H676" s="191" t="s">
        <v>191</v>
      </c>
      <c r="I676" s="191"/>
      <c r="J676" s="191"/>
    </row>
    <row r="677" spans="1:10" ht="13.5" customHeight="1">
      <c r="A677" s="1" t="s">
        <v>6</v>
      </c>
      <c r="B677" s="1"/>
      <c r="C677" s="192" t="s">
        <v>644</v>
      </c>
      <c r="D677" s="192"/>
      <c r="E677" s="2"/>
      <c r="F677" s="3"/>
      <c r="G677" s="1" t="s">
        <v>8</v>
      </c>
      <c r="H677" s="193" t="s">
        <v>9</v>
      </c>
      <c r="I677" s="193"/>
      <c r="J677" s="193"/>
    </row>
    <row r="678" spans="1:10" ht="13.5" customHeight="1">
      <c r="A678" s="6" t="s">
        <v>10</v>
      </c>
      <c r="B678" s="6"/>
      <c r="C678" s="194" t="s">
        <v>565</v>
      </c>
      <c r="D678" s="194"/>
      <c r="E678" s="2"/>
      <c r="F678" s="3"/>
      <c r="G678" s="1" t="s">
        <v>12</v>
      </c>
      <c r="H678" s="195" t="s">
        <v>13</v>
      </c>
      <c r="I678" s="195"/>
      <c r="J678" s="195"/>
    </row>
    <row r="679" spans="1:10" ht="13.5" customHeight="1">
      <c r="A679" s="2" t="s">
        <v>14</v>
      </c>
      <c r="B679" s="2"/>
      <c r="C679" s="2" t="s">
        <v>15</v>
      </c>
      <c r="D679" s="2"/>
      <c r="E679" s="2"/>
      <c r="F679" s="3"/>
      <c r="G679" s="1" t="s">
        <v>16</v>
      </c>
      <c r="H679" s="196" t="s">
        <v>386</v>
      </c>
      <c r="I679" s="196"/>
      <c r="J679" s="196"/>
    </row>
    <row r="680" spans="1:10" ht="13.5" customHeight="1">
      <c r="A680" s="2">
        <v>30</v>
      </c>
      <c r="B680" s="2"/>
      <c r="C680" s="2">
        <f>A680-H680</f>
        <v>1</v>
      </c>
      <c r="D680" s="2"/>
      <c r="E680" s="2"/>
      <c r="F680" s="3"/>
      <c r="G680" s="8" t="s">
        <v>18</v>
      </c>
      <c r="H680" s="197">
        <v>29</v>
      </c>
      <c r="I680" s="197"/>
      <c r="J680" s="197"/>
    </row>
    <row r="681" spans="1:10" ht="13.5" customHeight="1">
      <c r="A681" s="198" t="s">
        <v>19</v>
      </c>
      <c r="B681" s="199"/>
      <c r="C681" s="200"/>
      <c r="D681" s="13" t="s">
        <v>20</v>
      </c>
      <c r="E681" s="14" t="s">
        <v>21</v>
      </c>
      <c r="F681" s="15"/>
      <c r="G681" s="16" t="s">
        <v>20</v>
      </c>
      <c r="H681" s="201" t="s">
        <v>22</v>
      </c>
      <c r="I681" s="202"/>
      <c r="J681" s="203"/>
    </row>
    <row r="682" spans="1:10" ht="13.5" customHeight="1">
      <c r="A682" s="17" t="s">
        <v>23</v>
      </c>
      <c r="B682" s="1"/>
      <c r="C682" s="1"/>
      <c r="D682" s="2">
        <v>17000</v>
      </c>
      <c r="E682" s="17" t="s">
        <v>24</v>
      </c>
      <c r="F682" s="1"/>
      <c r="G682" s="2" t="s">
        <v>25</v>
      </c>
      <c r="H682" s="18" t="s">
        <v>26</v>
      </c>
      <c r="I682" s="23"/>
      <c r="J682" s="24"/>
    </row>
    <row r="683" spans="1:10" ht="13.5" customHeight="1">
      <c r="A683" s="17" t="s">
        <v>57</v>
      </c>
      <c r="B683" s="209"/>
      <c r="C683" s="209"/>
      <c r="D683" s="2" t="s">
        <v>25</v>
      </c>
      <c r="E683" s="17" t="s">
        <v>420</v>
      </c>
      <c r="F683" s="1"/>
      <c r="G683" s="2" t="s">
        <v>25</v>
      </c>
      <c r="H683" s="18" t="s">
        <v>29</v>
      </c>
      <c r="I683" s="23"/>
      <c r="J683" s="24"/>
    </row>
    <row r="684" spans="1:10" ht="13.5" customHeight="1">
      <c r="A684" s="17" t="s">
        <v>30</v>
      </c>
      <c r="B684" s="1"/>
      <c r="C684" s="1"/>
      <c r="D684" s="2">
        <v>1667</v>
      </c>
      <c r="E684" s="17" t="s">
        <v>40</v>
      </c>
      <c r="F684" s="1"/>
      <c r="G684" s="2" t="s">
        <v>25</v>
      </c>
      <c r="H684" s="18" t="s">
        <v>32</v>
      </c>
      <c r="I684" s="23"/>
      <c r="J684" s="24"/>
    </row>
    <row r="685" spans="1:10" ht="13.5" customHeight="1">
      <c r="A685" s="17" t="s">
        <v>34</v>
      </c>
      <c r="B685" s="1"/>
      <c r="C685" s="1"/>
      <c r="D685" s="2" t="s">
        <v>25</v>
      </c>
      <c r="E685" s="17" t="s">
        <v>71</v>
      </c>
      <c r="F685" s="1"/>
      <c r="G685" s="2">
        <v>567</v>
      </c>
      <c r="H685" s="42"/>
      <c r="I685" s="36"/>
      <c r="J685" s="19"/>
    </row>
    <row r="686" spans="1:10" ht="13.5" customHeight="1">
      <c r="A686" s="17" t="s">
        <v>645</v>
      </c>
      <c r="B686" s="1"/>
      <c r="C686" s="1"/>
      <c r="D686" s="2">
        <v>1500</v>
      </c>
      <c r="E686" s="17" t="s">
        <v>37</v>
      </c>
      <c r="F686" s="1"/>
      <c r="G686" s="2" t="s">
        <v>25</v>
      </c>
      <c r="H686" s="42"/>
      <c r="I686" s="36"/>
      <c r="J686" s="43"/>
    </row>
    <row r="687" spans="1:10" ht="13.5" customHeight="1">
      <c r="A687" s="17" t="s">
        <v>136</v>
      </c>
      <c r="B687" s="1"/>
      <c r="C687" s="1"/>
      <c r="D687" s="2" t="s">
        <v>25</v>
      </c>
      <c r="E687" s="17" t="s">
        <v>39</v>
      </c>
      <c r="F687" s="1"/>
      <c r="G687" s="2">
        <v>100</v>
      </c>
      <c r="H687" s="42"/>
      <c r="J687" s="43"/>
    </row>
    <row r="688" spans="1:10" ht="13.5" customHeight="1">
      <c r="A688" s="18" t="s">
        <v>40</v>
      </c>
      <c r="B688" s="6"/>
      <c r="C688" s="6"/>
      <c r="D688" s="2" t="s">
        <v>25</v>
      </c>
      <c r="E688" s="17" t="s">
        <v>62</v>
      </c>
      <c r="F688" s="1"/>
      <c r="G688" s="2" t="s">
        <v>25</v>
      </c>
      <c r="H688" s="42"/>
      <c r="I688" s="36"/>
      <c r="J688" s="43"/>
    </row>
    <row r="689" spans="1:10" ht="13.5" customHeight="1">
      <c r="A689" s="204" t="s">
        <v>63</v>
      </c>
      <c r="B689" s="205"/>
      <c r="C689" s="206"/>
      <c r="D689" s="229">
        <f>SUM(D682:D688)</f>
        <v>20167</v>
      </c>
      <c r="E689" s="1" t="s">
        <v>43</v>
      </c>
      <c r="F689" s="1"/>
      <c r="G689" s="2" t="s">
        <v>25</v>
      </c>
      <c r="H689" s="18"/>
      <c r="I689" s="6"/>
      <c r="J689" s="19"/>
    </row>
    <row r="690" spans="1:10" ht="13.5" customHeight="1">
      <c r="A690" s="207"/>
      <c r="B690" s="197"/>
      <c r="C690" s="208"/>
      <c r="D690" s="230"/>
      <c r="E690" s="21" t="s">
        <v>21</v>
      </c>
      <c r="F690" s="22"/>
      <c r="G690" s="13">
        <f>SUM(G682:G689)</f>
        <v>667</v>
      </c>
      <c r="H690" s="21" t="s">
        <v>44</v>
      </c>
      <c r="I690" s="22"/>
      <c r="J690" s="13">
        <f>D689-G690</f>
        <v>19500</v>
      </c>
    </row>
    <row r="691" spans="1:10" ht="13.5" customHeight="1">
      <c r="A691" s="3" t="s">
        <v>45</v>
      </c>
      <c r="B691" s="3"/>
      <c r="C691" s="3"/>
      <c r="D691" s="3"/>
      <c r="E691" s="3"/>
      <c r="F691" s="3"/>
      <c r="G691" s="2"/>
      <c r="H691" s="1"/>
      <c r="I691" s="1"/>
      <c r="J691" s="2"/>
    </row>
    <row r="692" spans="1:10" ht="13.5" customHeight="1">
      <c r="A692" s="3"/>
      <c r="B692" s="3"/>
      <c r="C692" s="3"/>
      <c r="D692" s="3"/>
      <c r="E692" s="3"/>
      <c r="F692" s="3"/>
      <c r="G692" s="2"/>
      <c r="H692" s="1"/>
      <c r="I692" s="1"/>
      <c r="J692" s="2"/>
    </row>
    <row r="693" spans="1:10" ht="13.5" customHeight="1">
      <c r="A693" s="3"/>
      <c r="B693" s="3" t="s">
        <v>47</v>
      </c>
      <c r="C693" s="3"/>
      <c r="D693" s="3"/>
      <c r="E693" s="3" t="s">
        <v>48</v>
      </c>
      <c r="F693" s="3"/>
      <c r="G693" s="3"/>
      <c r="H693" s="3" t="s">
        <v>49</v>
      </c>
      <c r="I693" s="3"/>
      <c r="J693" s="2"/>
    </row>
    <row r="694" spans="1:10" ht="13.5" customHeight="1">
      <c r="A694" s="184" t="s">
        <v>0</v>
      </c>
      <c r="B694" s="185"/>
      <c r="C694" s="185"/>
      <c r="D694" s="185"/>
      <c r="E694" s="185"/>
      <c r="F694" s="185"/>
      <c r="G694" s="185"/>
      <c r="H694" s="185"/>
      <c r="I694" s="185"/>
      <c r="J694" s="186"/>
    </row>
    <row r="695" spans="1:10" ht="13.5" customHeight="1">
      <c r="A695" s="187" t="s">
        <v>1</v>
      </c>
      <c r="B695" s="188"/>
      <c r="C695" s="188"/>
      <c r="D695" s="188"/>
      <c r="E695" s="188"/>
      <c r="F695" s="188"/>
      <c r="G695" s="188"/>
      <c r="H695" s="188"/>
      <c r="I695" s="188"/>
      <c r="J695" s="189"/>
    </row>
    <row r="696" spans="1:10" ht="13.5" customHeight="1">
      <c r="A696" s="1" t="s">
        <v>2</v>
      </c>
      <c r="B696" s="1"/>
      <c r="C696" s="190" t="s">
        <v>646</v>
      </c>
      <c r="D696" s="190"/>
      <c r="E696" s="2"/>
      <c r="F696" s="3"/>
      <c r="G696" s="1" t="s">
        <v>4</v>
      </c>
      <c r="H696" s="191" t="s">
        <v>191</v>
      </c>
      <c r="I696" s="191"/>
      <c r="J696" s="191"/>
    </row>
    <row r="697" spans="1:10" ht="13.5" customHeight="1">
      <c r="A697" s="1" t="s">
        <v>6</v>
      </c>
      <c r="B697" s="1"/>
      <c r="C697" s="192" t="s">
        <v>647</v>
      </c>
      <c r="D697" s="192"/>
      <c r="E697" s="2"/>
      <c r="F697" s="3"/>
      <c r="G697" s="1" t="s">
        <v>8</v>
      </c>
      <c r="H697" s="193" t="s">
        <v>9</v>
      </c>
      <c r="I697" s="193"/>
      <c r="J697" s="193"/>
    </row>
    <row r="698" spans="1:10" ht="13.5" customHeight="1">
      <c r="A698" s="6" t="s">
        <v>10</v>
      </c>
      <c r="B698" s="6"/>
      <c r="C698" s="6" t="s">
        <v>636</v>
      </c>
      <c r="D698" s="6"/>
      <c r="E698" s="6"/>
      <c r="F698" s="3"/>
      <c r="G698" s="1" t="s">
        <v>12</v>
      </c>
      <c r="H698" s="195" t="s">
        <v>13</v>
      </c>
      <c r="I698" s="195"/>
      <c r="J698" s="195"/>
    </row>
    <row r="699" spans="1:10" ht="13.5" customHeight="1">
      <c r="A699" s="2" t="s">
        <v>14</v>
      </c>
      <c r="B699" s="2"/>
      <c r="C699" s="2" t="s">
        <v>15</v>
      </c>
      <c r="D699" s="2"/>
      <c r="E699" s="2"/>
      <c r="F699" s="3"/>
      <c r="G699" s="1" t="s">
        <v>16</v>
      </c>
      <c r="H699" s="196" t="s">
        <v>140</v>
      </c>
      <c r="I699" s="196"/>
      <c r="J699" s="196"/>
    </row>
    <row r="700" spans="1:10" ht="13.5" customHeight="1">
      <c r="A700" s="2">
        <v>30</v>
      </c>
      <c r="B700" s="2"/>
      <c r="C700" s="2">
        <f>A700-H700</f>
        <v>7</v>
      </c>
      <c r="D700" s="2"/>
      <c r="E700" s="2"/>
      <c r="F700" s="3"/>
      <c r="G700" s="8" t="s">
        <v>18</v>
      </c>
      <c r="H700" s="197">
        <v>23</v>
      </c>
      <c r="I700" s="197"/>
      <c r="J700" s="197"/>
    </row>
    <row r="701" spans="1:10" ht="13.5" customHeight="1">
      <c r="A701" s="198" t="s">
        <v>19</v>
      </c>
      <c r="B701" s="199"/>
      <c r="C701" s="200"/>
      <c r="D701" s="13" t="s">
        <v>20</v>
      </c>
      <c r="E701" s="14" t="s">
        <v>21</v>
      </c>
      <c r="F701" s="15"/>
      <c r="G701" s="16" t="s">
        <v>20</v>
      </c>
      <c r="H701" s="201" t="s">
        <v>22</v>
      </c>
      <c r="I701" s="202"/>
      <c r="J701" s="203"/>
    </row>
    <row r="702" spans="1:10" ht="13.5" customHeight="1">
      <c r="A702" s="17" t="s">
        <v>23</v>
      </c>
      <c r="B702" s="1"/>
      <c r="C702" s="1"/>
      <c r="D702" s="2">
        <v>20000</v>
      </c>
      <c r="E702" s="17" t="s">
        <v>24</v>
      </c>
      <c r="F702" s="1"/>
      <c r="G702" s="2" t="s">
        <v>25</v>
      </c>
      <c r="H702" s="18" t="s">
        <v>26</v>
      </c>
      <c r="I702" s="23"/>
      <c r="J702" s="24"/>
    </row>
    <row r="703" spans="1:10" ht="13.5" customHeight="1">
      <c r="A703" s="17" t="s">
        <v>57</v>
      </c>
      <c r="B703" s="209"/>
      <c r="C703" s="209"/>
      <c r="D703" s="2" t="s">
        <v>25</v>
      </c>
      <c r="E703" s="17" t="s">
        <v>420</v>
      </c>
      <c r="F703" s="1"/>
      <c r="G703" s="2" t="s">
        <v>25</v>
      </c>
      <c r="H703" s="18" t="s">
        <v>29</v>
      </c>
      <c r="I703" s="23"/>
      <c r="J703" s="24"/>
    </row>
    <row r="704" spans="1:10" ht="13.5" customHeight="1">
      <c r="A704" s="17" t="s">
        <v>30</v>
      </c>
      <c r="B704" s="1"/>
      <c r="C704" s="1"/>
      <c r="D704" s="2">
        <v>2267</v>
      </c>
      <c r="E704" s="17" t="s">
        <v>40</v>
      </c>
      <c r="F704" s="1"/>
      <c r="G704" s="2" t="s">
        <v>25</v>
      </c>
      <c r="H704" s="18" t="s">
        <v>32</v>
      </c>
      <c r="I704" s="23"/>
      <c r="J704" s="24"/>
    </row>
    <row r="705" spans="1:10" ht="13.5" customHeight="1">
      <c r="A705" s="17" t="s">
        <v>34</v>
      </c>
      <c r="B705" s="1"/>
      <c r="C705" s="1"/>
      <c r="D705" s="2" t="s">
        <v>25</v>
      </c>
      <c r="E705" s="17" t="s">
        <v>71</v>
      </c>
      <c r="F705" s="1"/>
      <c r="G705" s="2">
        <v>4667</v>
      </c>
      <c r="H705" s="42"/>
      <c r="I705" s="36"/>
      <c r="J705" s="19"/>
    </row>
    <row r="706" spans="1:10" ht="13.5" customHeight="1">
      <c r="A706" s="17" t="s">
        <v>78</v>
      </c>
      <c r="B706" s="1"/>
      <c r="C706" s="1"/>
      <c r="D706" s="2" t="s">
        <v>25</v>
      </c>
      <c r="E706" s="17" t="s">
        <v>37</v>
      </c>
      <c r="F706" s="1"/>
      <c r="G706" s="2" t="s">
        <v>25</v>
      </c>
      <c r="H706" s="42"/>
      <c r="I706" s="36"/>
      <c r="J706" s="43"/>
    </row>
    <row r="707" spans="1:10" ht="13.5" customHeight="1">
      <c r="A707" s="17" t="s">
        <v>136</v>
      </c>
      <c r="B707" s="1"/>
      <c r="C707" s="1"/>
      <c r="D707" s="2" t="s">
        <v>25</v>
      </c>
      <c r="E707" s="17" t="s">
        <v>39</v>
      </c>
      <c r="F707" s="1"/>
      <c r="G707" s="2">
        <v>100</v>
      </c>
      <c r="H707" s="42"/>
      <c r="J707" s="43"/>
    </row>
    <row r="708" spans="1:10" ht="13.5" customHeight="1">
      <c r="A708" s="18" t="s">
        <v>40</v>
      </c>
      <c r="B708" s="6"/>
      <c r="C708" s="6"/>
      <c r="D708" s="2" t="s">
        <v>25</v>
      </c>
      <c r="E708" s="17" t="s">
        <v>62</v>
      </c>
      <c r="F708" s="1"/>
      <c r="G708" s="2" t="s">
        <v>25</v>
      </c>
      <c r="H708" s="42"/>
      <c r="I708" s="36"/>
      <c r="J708" s="43"/>
    </row>
    <row r="709" spans="1:10" ht="13.5" customHeight="1">
      <c r="A709" s="204" t="s">
        <v>63</v>
      </c>
      <c r="B709" s="205"/>
      <c r="C709" s="206"/>
      <c r="D709" s="229">
        <f>SUM(D702:D708)</f>
        <v>22267</v>
      </c>
      <c r="E709" s="1" t="s">
        <v>43</v>
      </c>
      <c r="F709" s="1"/>
      <c r="G709" s="2" t="s">
        <v>25</v>
      </c>
      <c r="H709" s="18"/>
      <c r="I709" s="6"/>
      <c r="J709" s="19"/>
    </row>
    <row r="710" spans="1:10" ht="13.5" customHeight="1">
      <c r="A710" s="207"/>
      <c r="B710" s="197"/>
      <c r="C710" s="208"/>
      <c r="D710" s="230"/>
      <c r="E710" s="21" t="s">
        <v>21</v>
      </c>
      <c r="F710" s="22"/>
      <c r="G710" s="13">
        <f>SUM(G702:G709)</f>
        <v>4767</v>
      </c>
      <c r="H710" s="21" t="s">
        <v>44</v>
      </c>
      <c r="I710" s="22"/>
      <c r="J710" s="13">
        <f>D709-G710</f>
        <v>17500</v>
      </c>
    </row>
    <row r="711" spans="1:10" ht="13.5" customHeight="1">
      <c r="A711" s="3" t="s">
        <v>45</v>
      </c>
      <c r="B711" s="3"/>
      <c r="C711" s="3"/>
      <c r="D711" s="3"/>
      <c r="E711" s="3"/>
      <c r="F711" s="3"/>
      <c r="G711" s="2"/>
      <c r="H711" s="1"/>
      <c r="I711" s="1"/>
      <c r="J711" s="2"/>
    </row>
    <row r="712" spans="1:10" ht="13.5" customHeight="1">
      <c r="A712" s="3"/>
      <c r="B712" s="3"/>
      <c r="C712" s="3"/>
      <c r="D712" s="3"/>
      <c r="E712" s="3"/>
      <c r="F712" s="3"/>
      <c r="G712" s="2"/>
      <c r="H712" s="1"/>
      <c r="I712" s="1"/>
      <c r="J712" s="2"/>
    </row>
    <row r="713" spans="1:10" ht="13.5" customHeight="1">
      <c r="A713" s="3"/>
      <c r="B713" s="3" t="s">
        <v>47</v>
      </c>
      <c r="C713" s="3"/>
      <c r="D713" s="3"/>
      <c r="E713" s="3" t="s">
        <v>48</v>
      </c>
      <c r="F713" s="3"/>
      <c r="G713" s="3"/>
      <c r="H713" s="3" t="s">
        <v>49</v>
      </c>
      <c r="I713" s="3"/>
      <c r="J713" s="2"/>
    </row>
    <row r="714" spans="1:10" ht="13.5" customHeight="1">
      <c r="A714" s="184" t="s">
        <v>0</v>
      </c>
      <c r="B714" s="185"/>
      <c r="C714" s="185"/>
      <c r="D714" s="185"/>
      <c r="E714" s="185"/>
      <c r="F714" s="185"/>
      <c r="G714" s="185"/>
      <c r="H714" s="185"/>
      <c r="I714" s="185"/>
      <c r="J714" s="186"/>
    </row>
    <row r="715" spans="1:10" ht="13.5" customHeight="1">
      <c r="A715" s="187" t="s">
        <v>1</v>
      </c>
      <c r="B715" s="188"/>
      <c r="C715" s="188"/>
      <c r="D715" s="188"/>
      <c r="E715" s="188"/>
      <c r="F715" s="188"/>
      <c r="G715" s="188"/>
      <c r="H715" s="188"/>
      <c r="I715" s="188"/>
      <c r="J715" s="189"/>
    </row>
    <row r="716" spans="1:10" ht="13.5" customHeight="1">
      <c r="A716" s="1" t="s">
        <v>2</v>
      </c>
      <c r="B716" s="1"/>
      <c r="C716" s="190" t="s">
        <v>418</v>
      </c>
      <c r="D716" s="190"/>
      <c r="E716" s="2"/>
      <c r="F716" s="3"/>
      <c r="G716" s="1" t="s">
        <v>4</v>
      </c>
      <c r="H716" s="191" t="s">
        <v>191</v>
      </c>
      <c r="I716" s="191"/>
      <c r="J716" s="191"/>
    </row>
    <row r="717" spans="1:10" ht="13.5" customHeight="1">
      <c r="A717" s="1" t="s">
        <v>6</v>
      </c>
      <c r="B717" s="1"/>
      <c r="C717" s="192" t="s">
        <v>648</v>
      </c>
      <c r="D717" s="192"/>
      <c r="E717" s="2"/>
      <c r="F717" s="3"/>
      <c r="G717" s="1" t="s">
        <v>8</v>
      </c>
      <c r="H717" s="193" t="s">
        <v>9</v>
      </c>
      <c r="I717" s="193"/>
      <c r="J717" s="193"/>
    </row>
    <row r="718" spans="1:10" ht="13.5" customHeight="1">
      <c r="A718" s="6" t="s">
        <v>10</v>
      </c>
      <c r="B718" s="6"/>
      <c r="C718" s="194" t="s">
        <v>563</v>
      </c>
      <c r="D718" s="194"/>
      <c r="E718" s="2"/>
      <c r="F718" s="3"/>
      <c r="G718" s="1" t="s">
        <v>12</v>
      </c>
      <c r="H718" s="195" t="s">
        <v>13</v>
      </c>
      <c r="I718" s="195"/>
      <c r="J718" s="195"/>
    </row>
    <row r="719" spans="1:10" ht="13.5" customHeight="1">
      <c r="A719" s="2" t="s">
        <v>14</v>
      </c>
      <c r="B719" s="2"/>
      <c r="C719" s="2" t="s">
        <v>15</v>
      </c>
      <c r="D719" s="2"/>
      <c r="E719" s="2"/>
      <c r="F719" s="3"/>
      <c r="G719" s="1" t="s">
        <v>16</v>
      </c>
      <c r="H719" s="196" t="s">
        <v>55</v>
      </c>
      <c r="I719" s="196"/>
      <c r="J719" s="196"/>
    </row>
    <row r="720" spans="1:10" ht="13.5" customHeight="1">
      <c r="A720" s="2">
        <v>30</v>
      </c>
      <c r="B720" s="2"/>
      <c r="C720" s="2">
        <f>A720-H720</f>
        <v>2</v>
      </c>
      <c r="D720" s="2"/>
      <c r="E720" s="2"/>
      <c r="F720" s="3"/>
      <c r="G720" s="8" t="s">
        <v>18</v>
      </c>
      <c r="H720" s="197">
        <v>28</v>
      </c>
      <c r="I720" s="197"/>
      <c r="J720" s="197"/>
    </row>
    <row r="721" spans="1:10" ht="13.5" customHeight="1">
      <c r="A721" s="198" t="s">
        <v>19</v>
      </c>
      <c r="B721" s="199"/>
      <c r="C721" s="200"/>
      <c r="D721" s="13" t="s">
        <v>20</v>
      </c>
      <c r="E721" s="14" t="s">
        <v>21</v>
      </c>
      <c r="F721" s="15"/>
      <c r="G721" s="16" t="s">
        <v>20</v>
      </c>
      <c r="H721" s="201" t="s">
        <v>22</v>
      </c>
      <c r="I721" s="202"/>
      <c r="J721" s="203"/>
    </row>
    <row r="722" spans="1:10" ht="13.5" customHeight="1">
      <c r="A722" s="17" t="s">
        <v>23</v>
      </c>
      <c r="B722" s="1"/>
      <c r="C722" s="1"/>
      <c r="D722" s="2">
        <v>20000</v>
      </c>
      <c r="E722" s="17" t="s">
        <v>24</v>
      </c>
      <c r="F722" s="1"/>
      <c r="G722" s="2" t="s">
        <v>25</v>
      </c>
      <c r="H722" s="18" t="s">
        <v>26</v>
      </c>
      <c r="I722" s="23"/>
      <c r="J722" s="24"/>
    </row>
    <row r="723" spans="1:10" ht="13.5" customHeight="1">
      <c r="A723" s="17" t="s">
        <v>57</v>
      </c>
      <c r="B723" s="209" t="s">
        <v>649</v>
      </c>
      <c r="C723" s="209"/>
      <c r="D723" s="2">
        <v>667</v>
      </c>
      <c r="E723" s="17" t="s">
        <v>420</v>
      </c>
      <c r="F723" s="1"/>
      <c r="G723" s="2" t="s">
        <v>25</v>
      </c>
      <c r="H723" s="18" t="s">
        <v>29</v>
      </c>
      <c r="I723" s="23"/>
      <c r="J723" s="24"/>
    </row>
    <row r="724" spans="1:10" ht="13.5" customHeight="1">
      <c r="A724" s="17" t="s">
        <v>30</v>
      </c>
      <c r="B724" s="1"/>
      <c r="C724" s="1"/>
      <c r="D724" s="2">
        <v>4266</v>
      </c>
      <c r="E724" s="17" t="s">
        <v>40</v>
      </c>
      <c r="F724" s="1"/>
      <c r="G724" s="2" t="s">
        <v>25</v>
      </c>
      <c r="H724" s="18" t="s">
        <v>32</v>
      </c>
      <c r="I724" s="23"/>
      <c r="J724" s="24"/>
    </row>
    <row r="725" spans="1:10" ht="13.5" customHeight="1">
      <c r="A725" s="17" t="s">
        <v>34</v>
      </c>
      <c r="B725" s="1"/>
      <c r="C725" s="1"/>
      <c r="D725" s="2" t="s">
        <v>25</v>
      </c>
      <c r="E725" s="17" t="s">
        <v>71</v>
      </c>
      <c r="F725" s="1"/>
      <c r="G725" s="2">
        <v>1333</v>
      </c>
      <c r="H725" s="42"/>
      <c r="I725" s="36"/>
      <c r="J725" s="19"/>
    </row>
    <row r="726" spans="1:10" ht="13.5" customHeight="1">
      <c r="A726" s="17" t="s">
        <v>78</v>
      </c>
      <c r="B726" s="1"/>
      <c r="C726" s="1"/>
      <c r="D726" s="2" t="s">
        <v>25</v>
      </c>
      <c r="E726" s="17" t="s">
        <v>37</v>
      </c>
      <c r="F726" s="1"/>
      <c r="G726" s="2" t="s">
        <v>25</v>
      </c>
      <c r="H726" s="42"/>
      <c r="I726" s="36"/>
      <c r="J726" s="43"/>
    </row>
    <row r="727" spans="1:10" ht="13.5" customHeight="1">
      <c r="A727" s="17" t="s">
        <v>136</v>
      </c>
      <c r="B727" s="1"/>
      <c r="C727" s="1"/>
      <c r="D727" s="2" t="s">
        <v>25</v>
      </c>
      <c r="E727" s="17" t="s">
        <v>39</v>
      </c>
      <c r="F727" s="1"/>
      <c r="G727" s="2">
        <v>100</v>
      </c>
      <c r="H727" s="42"/>
      <c r="J727" s="43"/>
    </row>
    <row r="728" spans="1:10" ht="13.5" customHeight="1">
      <c r="A728" s="18" t="s">
        <v>40</v>
      </c>
      <c r="B728" s="6"/>
      <c r="C728" s="6"/>
      <c r="D728" s="2" t="s">
        <v>25</v>
      </c>
      <c r="E728" s="17" t="s">
        <v>62</v>
      </c>
      <c r="F728" s="1"/>
      <c r="G728" s="2" t="s">
        <v>25</v>
      </c>
      <c r="H728" s="42"/>
      <c r="I728" s="36"/>
      <c r="J728" s="43"/>
    </row>
    <row r="729" spans="1:10" ht="13.5" customHeight="1">
      <c r="A729" s="204" t="s">
        <v>63</v>
      </c>
      <c r="B729" s="205"/>
      <c r="C729" s="206"/>
      <c r="D729" s="229">
        <f>SUM(D722:D728)</f>
        <v>24933</v>
      </c>
      <c r="E729" s="1" t="s">
        <v>43</v>
      </c>
      <c r="F729" s="1"/>
      <c r="G729" s="2" t="s">
        <v>25</v>
      </c>
      <c r="H729" s="18"/>
      <c r="I729" s="6"/>
      <c r="J729" s="19"/>
    </row>
    <row r="730" spans="1:10" ht="13.5" customHeight="1">
      <c r="A730" s="207"/>
      <c r="B730" s="197"/>
      <c r="C730" s="208"/>
      <c r="D730" s="230"/>
      <c r="E730" s="21" t="s">
        <v>21</v>
      </c>
      <c r="F730" s="22"/>
      <c r="G730" s="13">
        <f>SUM(G722:G729)</f>
        <v>1433</v>
      </c>
      <c r="H730" s="21" t="s">
        <v>44</v>
      </c>
      <c r="I730" s="22"/>
      <c r="J730" s="13">
        <f>D729-G730</f>
        <v>23500</v>
      </c>
    </row>
    <row r="731" spans="1:10" ht="13.5" customHeight="1">
      <c r="A731" s="3" t="s">
        <v>45</v>
      </c>
      <c r="B731" s="3"/>
      <c r="C731" s="3"/>
      <c r="D731" s="3"/>
      <c r="E731" s="3"/>
      <c r="F731" s="3"/>
      <c r="G731" s="2"/>
      <c r="H731" s="1"/>
      <c r="I731" s="1"/>
      <c r="J731" s="2"/>
    </row>
    <row r="732" spans="1:10" ht="13.5" customHeight="1">
      <c r="A732" s="3"/>
      <c r="B732" s="3"/>
      <c r="C732" s="3"/>
      <c r="D732" s="3"/>
      <c r="E732" s="3"/>
      <c r="F732" s="3"/>
      <c r="G732" s="2"/>
      <c r="H732" s="1"/>
      <c r="I732" s="1"/>
      <c r="J732" s="2"/>
    </row>
    <row r="733" spans="1:10" ht="13.5" customHeight="1">
      <c r="A733" s="3"/>
      <c r="B733" s="3" t="s">
        <v>47</v>
      </c>
      <c r="C733" s="3"/>
      <c r="D733" s="3"/>
      <c r="E733" s="3" t="s">
        <v>48</v>
      </c>
      <c r="F733" s="3"/>
      <c r="G733" s="3"/>
      <c r="H733" s="3" t="s">
        <v>49</v>
      </c>
      <c r="I733" s="3"/>
      <c r="J733" s="2"/>
    </row>
    <row r="734" spans="1:10" ht="13.5" customHeight="1">
      <c r="A734" s="184" t="s">
        <v>0</v>
      </c>
      <c r="B734" s="185"/>
      <c r="C734" s="185"/>
      <c r="D734" s="185"/>
      <c r="E734" s="185"/>
      <c r="F734" s="185"/>
      <c r="G734" s="185"/>
      <c r="H734" s="185"/>
      <c r="I734" s="185"/>
      <c r="J734" s="186"/>
    </row>
    <row r="735" spans="1:10" ht="13.5" customHeight="1">
      <c r="A735" s="187" t="s">
        <v>1</v>
      </c>
      <c r="B735" s="188"/>
      <c r="C735" s="188"/>
      <c r="D735" s="188"/>
      <c r="E735" s="188"/>
      <c r="F735" s="188"/>
      <c r="G735" s="188"/>
      <c r="H735" s="188"/>
      <c r="I735" s="188"/>
      <c r="J735" s="189"/>
    </row>
    <row r="736" spans="1:10" ht="13.5" customHeight="1">
      <c r="A736" s="1" t="s">
        <v>2</v>
      </c>
      <c r="B736" s="1"/>
      <c r="C736" s="190" t="s">
        <v>650</v>
      </c>
      <c r="D736" s="190"/>
      <c r="E736" s="2"/>
      <c r="F736" s="3"/>
      <c r="G736" s="1" t="s">
        <v>4</v>
      </c>
      <c r="H736" s="191" t="s">
        <v>205</v>
      </c>
      <c r="I736" s="191"/>
      <c r="J736" s="191"/>
    </row>
    <row r="737" spans="1:10" ht="13.5" customHeight="1">
      <c r="A737" s="1" t="s">
        <v>6</v>
      </c>
      <c r="B737" s="1"/>
      <c r="C737" s="25" t="s">
        <v>600</v>
      </c>
      <c r="D737" s="25"/>
      <c r="E737" s="2"/>
      <c r="F737" s="3"/>
      <c r="G737" s="1" t="s">
        <v>8</v>
      </c>
      <c r="H737" s="193" t="s">
        <v>9</v>
      </c>
      <c r="I737" s="193"/>
      <c r="J737" s="193"/>
    </row>
    <row r="738" spans="1:10" ht="13.5" customHeight="1">
      <c r="A738" s="6" t="s">
        <v>10</v>
      </c>
      <c r="B738" s="6"/>
      <c r="C738" s="194" t="s">
        <v>571</v>
      </c>
      <c r="D738" s="194"/>
      <c r="E738" s="2"/>
      <c r="F738" s="3"/>
      <c r="G738" s="1" t="s">
        <v>12</v>
      </c>
      <c r="H738" s="195" t="s">
        <v>13</v>
      </c>
      <c r="I738" s="195"/>
      <c r="J738" s="195"/>
    </row>
    <row r="739" spans="1:10" ht="13.5" customHeight="1">
      <c r="A739" s="2" t="s">
        <v>14</v>
      </c>
      <c r="B739" s="2"/>
      <c r="C739" s="2" t="s">
        <v>15</v>
      </c>
      <c r="D739" s="2"/>
      <c r="E739" s="2"/>
      <c r="F739" s="3"/>
      <c r="G739" s="1" t="s">
        <v>16</v>
      </c>
      <c r="H739" s="196" t="s">
        <v>55</v>
      </c>
      <c r="I739" s="196"/>
      <c r="J739" s="196"/>
    </row>
    <row r="740" spans="1:10" ht="13.5" customHeight="1">
      <c r="A740" s="2">
        <v>30</v>
      </c>
      <c r="B740" s="2"/>
      <c r="C740" s="2">
        <f>A740-H740</f>
        <v>0</v>
      </c>
      <c r="D740" s="2"/>
      <c r="E740" s="2"/>
      <c r="F740" s="3"/>
      <c r="G740" s="8" t="s">
        <v>18</v>
      </c>
      <c r="H740" s="197">
        <v>30</v>
      </c>
      <c r="I740" s="197"/>
      <c r="J740" s="197"/>
    </row>
    <row r="741" spans="1:10" ht="13.5" customHeight="1">
      <c r="A741" s="198" t="s">
        <v>19</v>
      </c>
      <c r="B741" s="199"/>
      <c r="C741" s="200"/>
      <c r="D741" s="13" t="s">
        <v>20</v>
      </c>
      <c r="E741" s="14" t="s">
        <v>21</v>
      </c>
      <c r="F741" s="15"/>
      <c r="G741" s="16" t="s">
        <v>20</v>
      </c>
      <c r="H741" s="201" t="s">
        <v>22</v>
      </c>
      <c r="I741" s="202"/>
      <c r="J741" s="203"/>
    </row>
    <row r="742" spans="1:10" ht="13.5" customHeight="1">
      <c r="A742" s="17" t="s">
        <v>23</v>
      </c>
      <c r="B742" s="1"/>
      <c r="C742" s="1"/>
      <c r="D742" s="2">
        <v>20000</v>
      </c>
      <c r="E742" s="17" t="s">
        <v>24</v>
      </c>
      <c r="F742" s="1"/>
      <c r="G742" s="2" t="s">
        <v>25</v>
      </c>
      <c r="H742" s="18" t="s">
        <v>26</v>
      </c>
      <c r="I742" s="23"/>
      <c r="J742" s="24"/>
    </row>
    <row r="743" spans="1:10" ht="13.5" customHeight="1">
      <c r="A743" s="17" t="s">
        <v>57</v>
      </c>
      <c r="B743" s="209"/>
      <c r="C743" s="209"/>
      <c r="D743" s="2" t="s">
        <v>25</v>
      </c>
      <c r="E743" s="17" t="s">
        <v>28</v>
      </c>
      <c r="F743" s="1"/>
      <c r="G743" s="2" t="s">
        <v>25</v>
      </c>
      <c r="H743" s="18" t="s">
        <v>29</v>
      </c>
      <c r="I743" s="23"/>
      <c r="J743" s="24"/>
    </row>
    <row r="744" spans="1:10" ht="13.5" customHeight="1">
      <c r="A744" s="17" t="s">
        <v>30</v>
      </c>
      <c r="B744" s="1"/>
      <c r="C744" s="1"/>
      <c r="D744" s="2">
        <v>1600</v>
      </c>
      <c r="E744" s="17" t="s">
        <v>40</v>
      </c>
      <c r="F744" s="1"/>
      <c r="G744" s="2" t="s">
        <v>25</v>
      </c>
      <c r="H744" s="18" t="s">
        <v>32</v>
      </c>
      <c r="I744" s="23"/>
      <c r="J744" s="24"/>
    </row>
    <row r="745" spans="1:10" ht="13.5" customHeight="1">
      <c r="A745" s="17" t="s">
        <v>34</v>
      </c>
      <c r="B745" s="1"/>
      <c r="C745" s="1"/>
      <c r="D745" s="2" t="s">
        <v>25</v>
      </c>
      <c r="E745" s="17" t="s">
        <v>71</v>
      </c>
      <c r="F745" s="1"/>
      <c r="G745" s="2" t="s">
        <v>25</v>
      </c>
      <c r="H745" s="18"/>
      <c r="I745" s="36"/>
      <c r="J745" s="19"/>
    </row>
    <row r="746" spans="1:10" ht="13.5" customHeight="1">
      <c r="A746" s="17" t="s">
        <v>110</v>
      </c>
      <c r="B746" s="1"/>
      <c r="C746" s="1"/>
      <c r="D746" s="2" t="s">
        <v>25</v>
      </c>
      <c r="E746" s="17" t="s">
        <v>37</v>
      </c>
      <c r="F746" s="1"/>
      <c r="G746" s="2" t="s">
        <v>25</v>
      </c>
      <c r="H746" s="18"/>
      <c r="I746" s="6"/>
      <c r="J746" s="39"/>
    </row>
    <row r="747" spans="1:10" ht="13.5" customHeight="1">
      <c r="A747" s="17" t="s">
        <v>78</v>
      </c>
      <c r="B747" s="1"/>
      <c r="C747" s="1"/>
      <c r="D747" s="2" t="s">
        <v>25</v>
      </c>
      <c r="E747" s="17" t="s">
        <v>39</v>
      </c>
      <c r="F747" s="1"/>
      <c r="G747" s="2">
        <v>100</v>
      </c>
      <c r="H747" s="18"/>
      <c r="I747" s="6"/>
      <c r="J747" s="39"/>
    </row>
    <row r="748" spans="1:10" ht="13.5" customHeight="1">
      <c r="A748" s="18" t="s">
        <v>40</v>
      </c>
      <c r="B748" s="6"/>
      <c r="C748" s="6"/>
      <c r="D748" s="2" t="s">
        <v>25</v>
      </c>
      <c r="E748" s="17" t="s">
        <v>41</v>
      </c>
      <c r="F748" s="1"/>
      <c r="G748" s="2" t="s">
        <v>25</v>
      </c>
      <c r="H748" s="18"/>
      <c r="I748" s="6"/>
      <c r="J748" s="39"/>
    </row>
    <row r="749" spans="1:10" ht="13.5" customHeight="1">
      <c r="A749" s="204" t="s">
        <v>63</v>
      </c>
      <c r="B749" s="205"/>
      <c r="C749" s="206"/>
      <c r="D749" s="229">
        <f>SUM(D742:D748)</f>
        <v>21600</v>
      </c>
      <c r="E749" s="1" t="s">
        <v>78</v>
      </c>
      <c r="F749" s="1"/>
      <c r="G749" s="2" t="s">
        <v>25</v>
      </c>
      <c r="H749" s="18"/>
      <c r="I749" s="6"/>
      <c r="J749" s="19"/>
    </row>
    <row r="750" spans="1:10" ht="13.5" customHeight="1">
      <c r="A750" s="207"/>
      <c r="B750" s="197"/>
      <c r="C750" s="208"/>
      <c r="D750" s="230"/>
      <c r="E750" s="21" t="s">
        <v>21</v>
      </c>
      <c r="F750" s="22"/>
      <c r="G750" s="13">
        <f>SUM(G742:G749)</f>
        <v>100</v>
      </c>
      <c r="H750" s="21" t="s">
        <v>44</v>
      </c>
      <c r="I750" s="22"/>
      <c r="J750" s="13">
        <f>D749-G750</f>
        <v>21500</v>
      </c>
    </row>
    <row r="751" spans="1:10" ht="13.5" customHeight="1">
      <c r="A751" s="3" t="s">
        <v>45</v>
      </c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3.5" customHeight="1">
      <c r="A753" s="3"/>
      <c r="B753" s="3" t="s">
        <v>47</v>
      </c>
      <c r="C753" s="3"/>
      <c r="D753" s="3"/>
      <c r="E753" s="3" t="s">
        <v>48</v>
      </c>
      <c r="F753" s="3"/>
      <c r="G753" s="3"/>
      <c r="H753" s="3" t="s">
        <v>49</v>
      </c>
      <c r="I753" s="3"/>
      <c r="J753" s="3"/>
    </row>
    <row r="754" spans="1:10" ht="13.5" customHeight="1">
      <c r="A754" s="184" t="s">
        <v>0</v>
      </c>
      <c r="B754" s="185"/>
      <c r="C754" s="185"/>
      <c r="D754" s="185"/>
      <c r="E754" s="185"/>
      <c r="F754" s="185"/>
      <c r="G754" s="185"/>
      <c r="H754" s="185"/>
      <c r="I754" s="185"/>
      <c r="J754" s="186"/>
    </row>
    <row r="755" spans="1:10" ht="13.5" customHeight="1">
      <c r="A755" s="187" t="s">
        <v>1</v>
      </c>
      <c r="B755" s="188"/>
      <c r="C755" s="188"/>
      <c r="D755" s="188"/>
      <c r="E755" s="188"/>
      <c r="F755" s="188"/>
      <c r="G755" s="188"/>
      <c r="H755" s="188"/>
      <c r="I755" s="188"/>
      <c r="J755" s="189"/>
    </row>
    <row r="756" spans="1:10" ht="13.5" customHeight="1">
      <c r="A756" s="1" t="s">
        <v>2</v>
      </c>
      <c r="B756" s="1"/>
      <c r="C756" s="194" t="s">
        <v>651</v>
      </c>
      <c r="D756" s="194"/>
      <c r="E756" s="2"/>
      <c r="F756" s="3"/>
      <c r="G756" s="1" t="s">
        <v>4</v>
      </c>
      <c r="H756" s="191" t="s">
        <v>205</v>
      </c>
      <c r="I756" s="191"/>
      <c r="J756" s="191"/>
    </row>
    <row r="757" spans="1:10" ht="13.5" customHeight="1">
      <c r="A757" s="1" t="s">
        <v>6</v>
      </c>
      <c r="B757" s="1"/>
      <c r="C757" s="25" t="s">
        <v>652</v>
      </c>
      <c r="D757" s="25"/>
      <c r="E757" s="2"/>
      <c r="F757" s="3"/>
      <c r="G757" s="1" t="s">
        <v>8</v>
      </c>
      <c r="H757" s="193" t="s">
        <v>9</v>
      </c>
      <c r="I757" s="193"/>
      <c r="J757" s="193"/>
    </row>
    <row r="758" spans="1:10" ht="13.5" customHeight="1">
      <c r="A758" s="6" t="s">
        <v>10</v>
      </c>
      <c r="B758" s="6"/>
      <c r="C758" s="194" t="s">
        <v>571</v>
      </c>
      <c r="D758" s="194"/>
      <c r="E758" s="2"/>
      <c r="F758" s="3"/>
      <c r="G758" s="1" t="s">
        <v>12</v>
      </c>
      <c r="H758" s="195" t="s">
        <v>13</v>
      </c>
      <c r="I758" s="195"/>
      <c r="J758" s="195"/>
    </row>
    <row r="759" spans="1:10" ht="13.5" customHeight="1">
      <c r="A759" s="2" t="s">
        <v>14</v>
      </c>
      <c r="B759" s="2"/>
      <c r="C759" s="2" t="s">
        <v>15</v>
      </c>
      <c r="D759" s="2"/>
      <c r="E759" s="2"/>
      <c r="F759" s="3"/>
      <c r="G759" s="1" t="s">
        <v>16</v>
      </c>
      <c r="H759" s="196" t="s">
        <v>140</v>
      </c>
      <c r="I759" s="196"/>
      <c r="J759" s="196"/>
    </row>
    <row r="760" spans="1:10" ht="13.5" customHeight="1">
      <c r="A760" s="2">
        <v>30</v>
      </c>
      <c r="B760" s="2"/>
      <c r="C760" s="2">
        <f>A760-H760</f>
        <v>0</v>
      </c>
      <c r="D760" s="2"/>
      <c r="E760" s="2"/>
      <c r="F760" s="3"/>
      <c r="G760" s="8" t="s">
        <v>18</v>
      </c>
      <c r="H760" s="197">
        <v>30</v>
      </c>
      <c r="I760" s="197"/>
      <c r="J760" s="197"/>
    </row>
    <row r="761" spans="1:10" ht="13.5" customHeight="1">
      <c r="A761" s="198" t="s">
        <v>19</v>
      </c>
      <c r="B761" s="199"/>
      <c r="C761" s="200"/>
      <c r="D761" s="13" t="s">
        <v>20</v>
      </c>
      <c r="E761" s="14" t="s">
        <v>21</v>
      </c>
      <c r="F761" s="15"/>
      <c r="G761" s="16" t="s">
        <v>20</v>
      </c>
      <c r="H761" s="201" t="s">
        <v>22</v>
      </c>
      <c r="I761" s="202"/>
      <c r="J761" s="203"/>
    </row>
    <row r="762" spans="1:10" ht="13.5" customHeight="1">
      <c r="A762" s="17" t="s">
        <v>23</v>
      </c>
      <c r="B762" s="1"/>
      <c r="C762" s="1"/>
      <c r="D762" s="2">
        <v>20000</v>
      </c>
      <c r="E762" s="17" t="s">
        <v>24</v>
      </c>
      <c r="F762" s="1"/>
      <c r="G762" s="2" t="s">
        <v>25</v>
      </c>
      <c r="H762" s="18" t="s">
        <v>26</v>
      </c>
      <c r="I762" s="23"/>
      <c r="J762" s="24"/>
    </row>
    <row r="763" spans="1:10" ht="13.5" customHeight="1">
      <c r="A763" s="17" t="s">
        <v>57</v>
      </c>
      <c r="B763" s="209"/>
      <c r="C763" s="209"/>
      <c r="D763" s="2" t="s">
        <v>25</v>
      </c>
      <c r="E763" s="17" t="s">
        <v>28</v>
      </c>
      <c r="F763" s="1"/>
      <c r="G763" s="2" t="s">
        <v>25</v>
      </c>
      <c r="H763" s="18" t="s">
        <v>29</v>
      </c>
      <c r="I763" s="23"/>
      <c r="J763" s="24"/>
    </row>
    <row r="764" spans="1:10" ht="13.5" customHeight="1">
      <c r="A764" s="17" t="s">
        <v>30</v>
      </c>
      <c r="B764" s="1"/>
      <c r="C764" s="1"/>
      <c r="D764" s="2" t="s">
        <v>25</v>
      </c>
      <c r="E764" s="17" t="s">
        <v>40</v>
      </c>
      <c r="F764" s="1"/>
      <c r="G764" s="2" t="s">
        <v>25</v>
      </c>
      <c r="H764" s="18" t="s">
        <v>32</v>
      </c>
      <c r="I764" s="23"/>
      <c r="J764" s="24"/>
    </row>
    <row r="765" spans="1:10" ht="13.5" customHeight="1">
      <c r="A765" s="17" t="s">
        <v>34</v>
      </c>
      <c r="B765" s="1"/>
      <c r="C765" s="1"/>
      <c r="D765" s="2" t="s">
        <v>25</v>
      </c>
      <c r="E765" s="17" t="s">
        <v>71</v>
      </c>
      <c r="F765" s="1"/>
      <c r="G765" s="2" t="s">
        <v>25</v>
      </c>
      <c r="H765" s="18"/>
      <c r="I765" s="36"/>
      <c r="J765" s="19"/>
    </row>
    <row r="766" spans="1:10" ht="13.5" customHeight="1">
      <c r="A766" s="17" t="s">
        <v>110</v>
      </c>
      <c r="B766" s="1"/>
      <c r="C766" s="1"/>
      <c r="D766" s="2" t="s">
        <v>25</v>
      </c>
      <c r="E766" s="17" t="s">
        <v>61</v>
      </c>
      <c r="F766" s="1"/>
      <c r="G766" s="2" t="s">
        <v>25</v>
      </c>
      <c r="H766" s="18"/>
      <c r="I766" s="6"/>
      <c r="J766" s="39"/>
    </row>
    <row r="767" spans="1:10" ht="13.5" customHeight="1">
      <c r="A767" s="17" t="s">
        <v>78</v>
      </c>
      <c r="B767" s="1"/>
      <c r="C767" s="1"/>
      <c r="D767" s="2" t="s">
        <v>25</v>
      </c>
      <c r="E767" s="17" t="s">
        <v>39</v>
      </c>
      <c r="F767" s="1"/>
      <c r="G767" s="2">
        <v>100</v>
      </c>
      <c r="H767" s="18"/>
      <c r="I767" s="6"/>
      <c r="J767" s="39"/>
    </row>
    <row r="768" spans="1:10" ht="13.5" customHeight="1">
      <c r="A768" s="18" t="s">
        <v>40</v>
      </c>
      <c r="B768" s="6"/>
      <c r="C768" s="6"/>
      <c r="D768" s="2" t="s">
        <v>25</v>
      </c>
      <c r="E768" s="17" t="s">
        <v>41</v>
      </c>
      <c r="F768" s="1"/>
      <c r="G768" s="2" t="s">
        <v>25</v>
      </c>
      <c r="H768" s="18"/>
      <c r="I768" s="6"/>
      <c r="J768" s="39"/>
    </row>
    <row r="769" spans="1:10" ht="13.5" customHeight="1">
      <c r="A769" s="204" t="s">
        <v>63</v>
      </c>
      <c r="B769" s="205"/>
      <c r="C769" s="206"/>
      <c r="D769" s="229">
        <f>SUM(D762:D768)</f>
        <v>20000</v>
      </c>
      <c r="E769" s="1" t="s">
        <v>78</v>
      </c>
      <c r="F769" s="1"/>
      <c r="G769" s="2" t="s">
        <v>25</v>
      </c>
      <c r="H769" s="18"/>
      <c r="I769" s="6"/>
      <c r="J769" s="19"/>
    </row>
    <row r="770" spans="1:10" ht="13.5" customHeight="1">
      <c r="A770" s="207"/>
      <c r="B770" s="197"/>
      <c r="C770" s="208"/>
      <c r="D770" s="230"/>
      <c r="E770" s="21" t="s">
        <v>21</v>
      </c>
      <c r="F770" s="22"/>
      <c r="G770" s="13">
        <f>SUM(G762:G769)</f>
        <v>100</v>
      </c>
      <c r="H770" s="21" t="s">
        <v>44</v>
      </c>
      <c r="I770" s="22"/>
      <c r="J770" s="13">
        <f>D769-G770</f>
        <v>19900</v>
      </c>
    </row>
    <row r="771" spans="1:10" ht="13.5" customHeight="1">
      <c r="A771" s="3" t="s">
        <v>45</v>
      </c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3.5" customHeight="1">
      <c r="A773" s="3"/>
      <c r="B773" s="3" t="s">
        <v>47</v>
      </c>
      <c r="C773" s="3"/>
      <c r="D773" s="3"/>
      <c r="E773" s="3" t="s">
        <v>48</v>
      </c>
      <c r="F773" s="3"/>
      <c r="G773" s="3"/>
      <c r="H773" s="3" t="s">
        <v>49</v>
      </c>
      <c r="I773" s="3"/>
      <c r="J773" s="3"/>
    </row>
    <row r="774" spans="1:10" ht="13.5" customHeight="1">
      <c r="A774" s="184" t="s">
        <v>0</v>
      </c>
      <c r="B774" s="185"/>
      <c r="C774" s="185"/>
      <c r="D774" s="185"/>
      <c r="E774" s="185"/>
      <c r="F774" s="185"/>
      <c r="G774" s="185"/>
      <c r="H774" s="185"/>
      <c r="I774" s="185"/>
      <c r="J774" s="186"/>
    </row>
    <row r="775" spans="1:10" ht="13.5" customHeight="1">
      <c r="A775" s="187" t="s">
        <v>1</v>
      </c>
      <c r="B775" s="188"/>
      <c r="C775" s="188"/>
      <c r="D775" s="188"/>
      <c r="E775" s="188"/>
      <c r="F775" s="188"/>
      <c r="G775" s="188"/>
      <c r="H775" s="188"/>
      <c r="I775" s="188"/>
      <c r="J775" s="189"/>
    </row>
    <row r="776" spans="1:10" ht="13.5" customHeight="1">
      <c r="A776" s="1" t="s">
        <v>2</v>
      </c>
      <c r="B776" s="1"/>
      <c r="C776" s="194"/>
      <c r="D776" s="194"/>
      <c r="E776" s="2"/>
      <c r="F776" s="3"/>
      <c r="G776" s="1" t="s">
        <v>4</v>
      </c>
      <c r="H776" s="191" t="s">
        <v>205</v>
      </c>
      <c r="I776" s="191"/>
      <c r="J776" s="191"/>
    </row>
    <row r="777" spans="1:10" ht="13.5" customHeight="1">
      <c r="A777" s="1" t="s">
        <v>6</v>
      </c>
      <c r="B777" s="1"/>
      <c r="C777" s="25" t="s">
        <v>653</v>
      </c>
      <c r="D777" s="25"/>
      <c r="E777" s="2"/>
      <c r="F777" s="3"/>
      <c r="G777" s="1" t="s">
        <v>8</v>
      </c>
      <c r="H777" s="193" t="s">
        <v>9</v>
      </c>
      <c r="I777" s="193"/>
      <c r="J777" s="193"/>
    </row>
    <row r="778" spans="1:10" ht="13.5" customHeight="1">
      <c r="A778" s="6" t="s">
        <v>10</v>
      </c>
      <c r="B778" s="6"/>
      <c r="C778" s="194" t="s">
        <v>571</v>
      </c>
      <c r="D778" s="194"/>
      <c r="E778" s="2"/>
      <c r="F778" s="3"/>
      <c r="G778" s="1" t="s">
        <v>12</v>
      </c>
      <c r="H778" s="195" t="s">
        <v>13</v>
      </c>
      <c r="I778" s="195"/>
      <c r="J778" s="195"/>
    </row>
    <row r="779" spans="1:10" ht="13.5" customHeight="1">
      <c r="A779" s="2" t="s">
        <v>14</v>
      </c>
      <c r="B779" s="2"/>
      <c r="C779" s="1" t="s">
        <v>15</v>
      </c>
      <c r="D779" s="1"/>
      <c r="E779" s="2"/>
      <c r="F779" s="3"/>
      <c r="G779" s="1" t="s">
        <v>16</v>
      </c>
      <c r="H779" s="209" t="s">
        <v>55</v>
      </c>
      <c r="I779" s="209"/>
      <c r="J779" s="209"/>
    </row>
    <row r="780" spans="1:10" ht="13.5" customHeight="1">
      <c r="A780" s="2">
        <v>30</v>
      </c>
      <c r="B780" s="2"/>
      <c r="C780" s="2">
        <f>A780-H780</f>
        <v>0</v>
      </c>
      <c r="D780" s="2"/>
      <c r="E780" s="2"/>
      <c r="F780" s="3"/>
      <c r="G780" s="8" t="s">
        <v>18</v>
      </c>
      <c r="H780" s="197">
        <v>30</v>
      </c>
      <c r="I780" s="197"/>
      <c r="J780" s="197"/>
    </row>
    <row r="781" spans="1:10" ht="13.5" customHeight="1">
      <c r="A781" s="198" t="s">
        <v>19</v>
      </c>
      <c r="B781" s="199"/>
      <c r="C781" s="200"/>
      <c r="D781" s="13" t="s">
        <v>20</v>
      </c>
      <c r="E781" s="14" t="s">
        <v>21</v>
      </c>
      <c r="F781" s="15"/>
      <c r="G781" s="16" t="s">
        <v>20</v>
      </c>
      <c r="H781" s="201" t="s">
        <v>22</v>
      </c>
      <c r="I781" s="202"/>
      <c r="J781" s="203"/>
    </row>
    <row r="782" spans="1:10" ht="13.5" customHeight="1">
      <c r="A782" s="17" t="s">
        <v>56</v>
      </c>
      <c r="B782" s="1"/>
      <c r="C782" s="1"/>
      <c r="D782" s="2">
        <v>18000</v>
      </c>
      <c r="E782" s="17" t="s">
        <v>24</v>
      </c>
      <c r="F782" s="1"/>
      <c r="G782" s="2" t="s">
        <v>25</v>
      </c>
      <c r="H782" s="18" t="s">
        <v>26</v>
      </c>
      <c r="I782" s="23"/>
      <c r="J782" s="24"/>
    </row>
    <row r="783" spans="1:10" ht="13.5" customHeight="1">
      <c r="A783" s="18" t="s">
        <v>57</v>
      </c>
      <c r="B783" s="283" t="s">
        <v>320</v>
      </c>
      <c r="C783" s="283"/>
      <c r="D783" s="2">
        <v>1200</v>
      </c>
      <c r="E783" s="17" t="s">
        <v>28</v>
      </c>
      <c r="F783" s="1"/>
      <c r="G783" s="2" t="s">
        <v>25</v>
      </c>
      <c r="H783" s="18" t="s">
        <v>29</v>
      </c>
      <c r="I783" s="23"/>
      <c r="J783" s="24"/>
    </row>
    <row r="784" spans="1:10" ht="13.5" customHeight="1">
      <c r="A784" s="17" t="s">
        <v>30</v>
      </c>
      <c r="B784" s="1"/>
      <c r="C784" s="1"/>
      <c r="D784" s="2" t="s">
        <v>25</v>
      </c>
      <c r="E784" s="17" t="s">
        <v>58</v>
      </c>
      <c r="F784" s="1"/>
      <c r="G784" s="2" t="s">
        <v>25</v>
      </c>
      <c r="H784" s="18" t="s">
        <v>32</v>
      </c>
      <c r="I784" s="23"/>
      <c r="J784" s="24"/>
    </row>
    <row r="785" spans="1:10" ht="13.5" customHeight="1">
      <c r="A785" s="17" t="s">
        <v>34</v>
      </c>
      <c r="B785" s="1"/>
      <c r="C785" s="1"/>
      <c r="D785" s="2" t="s">
        <v>25</v>
      </c>
      <c r="E785" s="17" t="s">
        <v>35</v>
      </c>
      <c r="F785" s="1"/>
      <c r="G785" s="2" t="s">
        <v>25</v>
      </c>
      <c r="H785" s="18"/>
      <c r="I785" s="6"/>
      <c r="J785" s="19"/>
    </row>
    <row r="786" spans="1:10" ht="13.5" customHeight="1">
      <c r="A786" s="17" t="s">
        <v>78</v>
      </c>
      <c r="B786" s="1"/>
      <c r="C786" s="1"/>
      <c r="D786" s="2" t="s">
        <v>25</v>
      </c>
      <c r="E786" s="17" t="s">
        <v>61</v>
      </c>
      <c r="F786" s="1"/>
      <c r="G786" s="2" t="s">
        <v>25</v>
      </c>
      <c r="H786" s="18" t="s">
        <v>654</v>
      </c>
      <c r="I786" s="6"/>
      <c r="J786" s="19"/>
    </row>
    <row r="787" spans="1:10" ht="13.5" customHeight="1">
      <c r="A787" s="17" t="s">
        <v>136</v>
      </c>
      <c r="B787" s="1"/>
      <c r="C787" s="1"/>
      <c r="D787" s="2" t="s">
        <v>25</v>
      </c>
      <c r="E787" s="17" t="s">
        <v>39</v>
      </c>
      <c r="F787" s="1"/>
      <c r="G787" s="2">
        <v>100</v>
      </c>
      <c r="H787" s="18"/>
      <c r="I787" s="6"/>
      <c r="J787" s="19"/>
    </row>
    <row r="788" spans="1:10" ht="13.5" customHeight="1">
      <c r="A788" s="18" t="s">
        <v>40</v>
      </c>
      <c r="B788" s="6"/>
      <c r="C788" s="6"/>
      <c r="D788" s="2" t="s">
        <v>25</v>
      </c>
      <c r="E788" s="17" t="s">
        <v>78</v>
      </c>
      <c r="F788" s="1"/>
      <c r="G788" s="2" t="s">
        <v>25</v>
      </c>
      <c r="H788" s="18"/>
      <c r="I788" s="6"/>
      <c r="J788" s="19"/>
    </row>
    <row r="789" spans="1:10" ht="13.5" customHeight="1">
      <c r="A789" s="204" t="s">
        <v>63</v>
      </c>
      <c r="B789" s="205"/>
      <c r="C789" s="206"/>
      <c r="D789" s="229">
        <f>SUM(D782:D788)</f>
        <v>19200</v>
      </c>
      <c r="E789" s="1" t="s">
        <v>43</v>
      </c>
      <c r="F789" s="1"/>
      <c r="G789" s="2" t="s">
        <v>25</v>
      </c>
      <c r="H789" s="18"/>
      <c r="I789" s="6"/>
      <c r="J789" s="19"/>
    </row>
    <row r="790" spans="1:10" ht="13.5" customHeight="1">
      <c r="A790" s="207"/>
      <c r="B790" s="197"/>
      <c r="C790" s="208"/>
      <c r="D790" s="230"/>
      <c r="E790" s="21" t="s">
        <v>21</v>
      </c>
      <c r="F790" s="22"/>
      <c r="G790" s="13">
        <f>SUM(G782:G789)</f>
        <v>100</v>
      </c>
      <c r="H790" s="21" t="s">
        <v>44</v>
      </c>
      <c r="I790" s="22"/>
      <c r="J790" s="13">
        <f>D789-G790</f>
        <v>19100</v>
      </c>
    </row>
    <row r="791" spans="1:10" ht="13.5" customHeight="1">
      <c r="A791" s="3" t="s">
        <v>45</v>
      </c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3.5" customHeight="1">
      <c r="A793" s="3"/>
      <c r="B793" s="3" t="s">
        <v>47</v>
      </c>
      <c r="C793" s="3"/>
      <c r="D793" s="3"/>
      <c r="E793" s="3" t="s">
        <v>48</v>
      </c>
      <c r="F793" s="3"/>
      <c r="G793" s="3"/>
      <c r="H793" s="3" t="s">
        <v>49</v>
      </c>
      <c r="I793" s="3"/>
      <c r="J793" s="3"/>
    </row>
    <row r="794" spans="1:10" ht="13.5" customHeight="1">
      <c r="A794" s="184" t="s">
        <v>0</v>
      </c>
      <c r="B794" s="185"/>
      <c r="C794" s="185"/>
      <c r="D794" s="185"/>
      <c r="E794" s="185"/>
      <c r="F794" s="185"/>
      <c r="G794" s="185"/>
      <c r="H794" s="185"/>
      <c r="I794" s="185"/>
      <c r="J794" s="186"/>
    </row>
    <row r="795" spans="1:10" ht="13.5" customHeight="1">
      <c r="A795" s="187" t="s">
        <v>1</v>
      </c>
      <c r="B795" s="188"/>
      <c r="C795" s="188"/>
      <c r="D795" s="188"/>
      <c r="E795" s="188"/>
      <c r="F795" s="188"/>
      <c r="G795" s="188"/>
      <c r="H795" s="188"/>
      <c r="I795" s="188"/>
      <c r="J795" s="189"/>
    </row>
    <row r="796" spans="1:10" ht="13.5" customHeight="1">
      <c r="A796" s="1" t="s">
        <v>2</v>
      </c>
      <c r="B796" s="1"/>
      <c r="C796" s="209" t="s">
        <v>655</v>
      </c>
      <c r="D796" s="209"/>
      <c r="E796" s="2"/>
      <c r="F796" s="3"/>
      <c r="G796" s="1" t="s">
        <v>4</v>
      </c>
      <c r="H796" s="193" t="s">
        <v>211</v>
      </c>
      <c r="I796" s="193"/>
      <c r="J796" s="193"/>
    </row>
    <row r="797" spans="1:10" ht="13.5" customHeight="1">
      <c r="A797" s="1" t="s">
        <v>6</v>
      </c>
      <c r="B797" s="1"/>
      <c r="C797" s="196" t="s">
        <v>656</v>
      </c>
      <c r="D797" s="196"/>
      <c r="E797" s="2"/>
      <c r="F797" s="3"/>
      <c r="G797" s="1" t="s">
        <v>8</v>
      </c>
      <c r="H797" s="193" t="s">
        <v>9</v>
      </c>
      <c r="I797" s="193"/>
      <c r="J797" s="193"/>
    </row>
    <row r="798" spans="1:10" ht="13.5" customHeight="1">
      <c r="A798" s="6" t="s">
        <v>10</v>
      </c>
      <c r="B798" s="6"/>
      <c r="C798" s="6" t="s">
        <v>657</v>
      </c>
      <c r="D798" s="6"/>
      <c r="E798" s="2"/>
      <c r="F798" s="3"/>
      <c r="G798" s="1" t="s">
        <v>12</v>
      </c>
      <c r="H798" s="195" t="s">
        <v>13</v>
      </c>
      <c r="I798" s="195"/>
      <c r="J798" s="195"/>
    </row>
    <row r="799" spans="1:10" ht="13.5" customHeight="1">
      <c r="A799" s="6" t="s">
        <v>14</v>
      </c>
      <c r="B799" s="6"/>
      <c r="C799" s="2" t="s">
        <v>15</v>
      </c>
      <c r="D799" s="2"/>
      <c r="E799" s="36"/>
      <c r="F799" s="3"/>
      <c r="G799" s="1" t="s">
        <v>16</v>
      </c>
      <c r="H799" s="196" t="s">
        <v>55</v>
      </c>
      <c r="I799" s="196"/>
      <c r="J799" s="196"/>
    </row>
    <row r="800" spans="1:10" ht="13.5" customHeight="1">
      <c r="A800" s="6">
        <v>30</v>
      </c>
      <c r="B800" s="6"/>
      <c r="C800" s="2">
        <f>A800-I800</f>
        <v>12</v>
      </c>
      <c r="D800" s="2"/>
      <c r="E800" s="2"/>
      <c r="F800" s="3"/>
      <c r="G800" s="8" t="s">
        <v>18</v>
      </c>
      <c r="H800" s="8"/>
      <c r="I800" s="9">
        <v>18</v>
      </c>
      <c r="J800" s="9"/>
    </row>
    <row r="801" spans="1:10" ht="13.5" customHeight="1">
      <c r="A801" s="198" t="s">
        <v>19</v>
      </c>
      <c r="B801" s="199"/>
      <c r="C801" s="200"/>
      <c r="D801" s="13" t="s">
        <v>20</v>
      </c>
      <c r="E801" s="14" t="s">
        <v>21</v>
      </c>
      <c r="F801" s="15"/>
      <c r="G801" s="16" t="s">
        <v>20</v>
      </c>
      <c r="H801" s="201"/>
      <c r="I801" s="202"/>
      <c r="J801" s="203"/>
    </row>
    <row r="802" spans="1:10" ht="13.5" customHeight="1">
      <c r="A802" s="17" t="s">
        <v>23</v>
      </c>
      <c r="B802" s="1"/>
      <c r="C802" s="1"/>
      <c r="D802" s="2">
        <v>25000</v>
      </c>
      <c r="E802" s="17" t="s">
        <v>24</v>
      </c>
      <c r="F802" s="1"/>
      <c r="G802" s="2" t="s">
        <v>25</v>
      </c>
      <c r="H802" s="18" t="s">
        <v>26</v>
      </c>
      <c r="I802" s="23"/>
      <c r="J802" s="24"/>
    </row>
    <row r="803" spans="1:10" ht="13.5" customHeight="1">
      <c r="A803" s="17" t="s">
        <v>77</v>
      </c>
      <c r="B803" s="209"/>
      <c r="C803" s="209"/>
      <c r="D803" s="2" t="s">
        <v>25</v>
      </c>
      <c r="E803" s="17" t="s">
        <v>141</v>
      </c>
      <c r="F803" s="1"/>
      <c r="G803" s="2" t="s">
        <v>25</v>
      </c>
      <c r="H803" s="18" t="s">
        <v>29</v>
      </c>
      <c r="I803" s="23"/>
      <c r="J803" s="24"/>
    </row>
    <row r="804" spans="1:10" ht="13.5" customHeight="1">
      <c r="A804" s="17" t="s">
        <v>30</v>
      </c>
      <c r="B804" s="1"/>
      <c r="C804" s="1"/>
      <c r="D804" s="2">
        <v>1600</v>
      </c>
      <c r="E804" s="17" t="s">
        <v>58</v>
      </c>
      <c r="F804" s="1"/>
      <c r="G804" s="2" t="s">
        <v>25</v>
      </c>
      <c r="H804" s="18" t="s">
        <v>32</v>
      </c>
      <c r="I804" s="23"/>
      <c r="J804" s="24"/>
    </row>
    <row r="805" spans="1:10" ht="13.5" customHeight="1">
      <c r="A805" s="17" t="s">
        <v>147</v>
      </c>
      <c r="B805" s="1"/>
      <c r="C805" s="1"/>
      <c r="D805" s="2" t="s">
        <v>25</v>
      </c>
      <c r="E805" s="17" t="s">
        <v>35</v>
      </c>
      <c r="F805" s="1"/>
      <c r="G805" s="2">
        <v>10000</v>
      </c>
      <c r="H805" s="18"/>
      <c r="I805" s="6"/>
      <c r="J805" s="19"/>
    </row>
    <row r="806" spans="1:10" ht="13.5" customHeight="1">
      <c r="A806" s="17" t="s">
        <v>72</v>
      </c>
      <c r="B806" s="1"/>
      <c r="C806" s="1"/>
      <c r="D806" s="2" t="s">
        <v>25</v>
      </c>
      <c r="E806" s="17" t="s">
        <v>37</v>
      </c>
      <c r="F806" s="1"/>
      <c r="G806" s="2">
        <v>500</v>
      </c>
      <c r="H806" s="18" t="s">
        <v>658</v>
      </c>
      <c r="I806" s="6"/>
      <c r="J806" s="26"/>
    </row>
    <row r="807" spans="1:10" ht="13.5" customHeight="1">
      <c r="A807" s="17" t="s">
        <v>78</v>
      </c>
      <c r="B807" s="1"/>
      <c r="C807" s="1"/>
      <c r="D807" s="2" t="s">
        <v>25</v>
      </c>
      <c r="E807" s="17" t="s">
        <v>39</v>
      </c>
      <c r="F807" s="1"/>
      <c r="G807" s="2">
        <v>100</v>
      </c>
      <c r="H807" s="18" t="s">
        <v>659</v>
      </c>
      <c r="I807" s="6"/>
      <c r="J807" s="26"/>
    </row>
    <row r="808" spans="1:10" ht="13.5" customHeight="1">
      <c r="A808" s="18" t="s">
        <v>40</v>
      </c>
      <c r="B808" s="6"/>
      <c r="C808" s="6"/>
      <c r="D808" s="2" t="s">
        <v>25</v>
      </c>
      <c r="E808" s="17" t="s">
        <v>333</v>
      </c>
      <c r="F808" s="1"/>
      <c r="G808" s="2" t="s">
        <v>25</v>
      </c>
      <c r="H808" s="18"/>
      <c r="I808" s="6"/>
      <c r="J808" s="19"/>
    </row>
    <row r="809" spans="1:10" ht="13.5" customHeight="1">
      <c r="A809" s="204" t="s">
        <v>63</v>
      </c>
      <c r="B809" s="205"/>
      <c r="C809" s="206"/>
      <c r="D809" s="229">
        <f>SUM(D802:D808)</f>
        <v>26600</v>
      </c>
      <c r="E809" s="1" t="s">
        <v>78</v>
      </c>
      <c r="F809" s="1"/>
      <c r="G809" s="2" t="s">
        <v>25</v>
      </c>
      <c r="H809" s="18"/>
      <c r="I809" s="6"/>
      <c r="J809" s="19"/>
    </row>
    <row r="810" spans="1:10" ht="13.5" customHeight="1">
      <c r="A810" s="207"/>
      <c r="B810" s="197"/>
      <c r="C810" s="208"/>
      <c r="D810" s="230"/>
      <c r="E810" s="21" t="s">
        <v>21</v>
      </c>
      <c r="F810" s="22"/>
      <c r="G810" s="13">
        <f>SUM(G802:G809)</f>
        <v>10600</v>
      </c>
      <c r="H810" s="21" t="s">
        <v>44</v>
      </c>
      <c r="I810" s="22"/>
      <c r="J810" s="13">
        <f>D809-G810</f>
        <v>16000</v>
      </c>
    </row>
    <row r="811" spans="1:10" ht="13.5" customHeight="1">
      <c r="A811" s="3" t="s">
        <v>45</v>
      </c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3.5" customHeight="1"/>
    <row r="813" spans="1:10" ht="13.5" customHeight="1">
      <c r="B813" s="3" t="s">
        <v>47</v>
      </c>
      <c r="C813" s="3"/>
      <c r="D813" s="3"/>
      <c r="E813" s="3" t="s">
        <v>48</v>
      </c>
      <c r="F813" s="3"/>
      <c r="G813" s="3"/>
      <c r="H813" s="3" t="s">
        <v>49</v>
      </c>
      <c r="I813" s="3"/>
      <c r="J813" s="3"/>
    </row>
    <row r="814" spans="1:10" ht="13.5" customHeight="1">
      <c r="A814" s="184" t="s">
        <v>0</v>
      </c>
      <c r="B814" s="185"/>
      <c r="C814" s="185"/>
      <c r="D814" s="185"/>
      <c r="E814" s="185"/>
      <c r="F814" s="185"/>
      <c r="G814" s="185"/>
      <c r="H814" s="185"/>
      <c r="I814" s="185"/>
      <c r="J814" s="186"/>
    </row>
    <row r="815" spans="1:10" ht="13.5" customHeight="1">
      <c r="A815" s="187" t="s">
        <v>1</v>
      </c>
      <c r="B815" s="188"/>
      <c r="C815" s="188"/>
      <c r="D815" s="188"/>
      <c r="E815" s="188"/>
      <c r="F815" s="188"/>
      <c r="G815" s="188"/>
      <c r="H815" s="188"/>
      <c r="I815" s="188"/>
      <c r="J815" s="189"/>
    </row>
    <row r="816" spans="1:10" ht="13.5" customHeight="1">
      <c r="A816" s="1" t="s">
        <v>2</v>
      </c>
      <c r="B816" s="1"/>
      <c r="C816" s="209" t="s">
        <v>660</v>
      </c>
      <c r="D816" s="209"/>
      <c r="E816" s="2"/>
      <c r="F816" s="3"/>
      <c r="G816" s="1" t="s">
        <v>4</v>
      </c>
      <c r="H816" s="191" t="s">
        <v>661</v>
      </c>
      <c r="I816" s="191"/>
      <c r="J816" s="191"/>
    </row>
    <row r="817" spans="1:10" ht="13.5" customHeight="1">
      <c r="A817" s="1" t="s">
        <v>6</v>
      </c>
      <c r="B817" s="1"/>
      <c r="C817" s="196" t="s">
        <v>428</v>
      </c>
      <c r="D817" s="196"/>
      <c r="E817" s="2"/>
      <c r="F817" s="3"/>
      <c r="G817" s="1" t="s">
        <v>8</v>
      </c>
      <c r="H817" s="193" t="s">
        <v>211</v>
      </c>
      <c r="I817" s="193"/>
      <c r="J817" s="193"/>
    </row>
    <row r="818" spans="1:10" ht="13.5" customHeight="1">
      <c r="A818" s="6" t="s">
        <v>10</v>
      </c>
      <c r="B818" s="6"/>
      <c r="C818" s="209" t="s">
        <v>563</v>
      </c>
      <c r="D818" s="209"/>
      <c r="E818" s="2"/>
      <c r="F818" s="3"/>
      <c r="G818" s="1" t="s">
        <v>12</v>
      </c>
      <c r="H818" s="195" t="s">
        <v>13</v>
      </c>
      <c r="I818" s="195"/>
      <c r="J818" s="195"/>
    </row>
    <row r="819" spans="1:10" ht="13.5" customHeight="1">
      <c r="A819" s="6" t="s">
        <v>14</v>
      </c>
      <c r="B819" s="6"/>
      <c r="C819" s="2" t="s">
        <v>15</v>
      </c>
      <c r="D819" s="2"/>
      <c r="E819" s="36"/>
      <c r="F819" s="3"/>
      <c r="G819" s="1" t="s">
        <v>16</v>
      </c>
      <c r="H819" s="196" t="s">
        <v>429</v>
      </c>
      <c r="I819" s="196"/>
      <c r="J819" s="196"/>
    </row>
    <row r="820" spans="1:10" ht="13.5" customHeight="1">
      <c r="A820" s="6">
        <v>30</v>
      </c>
      <c r="B820" s="6"/>
      <c r="C820" s="2">
        <f>A820-I820</f>
        <v>2</v>
      </c>
      <c r="D820" s="2"/>
      <c r="E820" s="2"/>
      <c r="F820" s="3"/>
      <c r="G820" s="8" t="s">
        <v>18</v>
      </c>
      <c r="H820" s="8"/>
      <c r="I820" s="9">
        <v>28</v>
      </c>
      <c r="J820" s="9"/>
    </row>
    <row r="821" spans="1:10" ht="13.5" customHeight="1">
      <c r="A821" s="198" t="s">
        <v>19</v>
      </c>
      <c r="B821" s="199"/>
      <c r="C821" s="200"/>
      <c r="D821" s="13" t="s">
        <v>20</v>
      </c>
      <c r="E821" s="14" t="s">
        <v>21</v>
      </c>
      <c r="F821" s="15"/>
      <c r="G821" s="16" t="s">
        <v>20</v>
      </c>
      <c r="H821" s="201" t="s">
        <v>22</v>
      </c>
      <c r="I821" s="202"/>
      <c r="J821" s="203"/>
    </row>
    <row r="822" spans="1:10" ht="13.5" customHeight="1">
      <c r="A822" s="17" t="s">
        <v>23</v>
      </c>
      <c r="B822" s="1"/>
      <c r="C822" s="1"/>
      <c r="D822" s="2">
        <v>22000</v>
      </c>
      <c r="E822" s="17" t="s">
        <v>24</v>
      </c>
      <c r="F822" s="1"/>
      <c r="G822" s="2" t="s">
        <v>25</v>
      </c>
      <c r="H822" s="18" t="s">
        <v>26</v>
      </c>
      <c r="I822" s="23"/>
      <c r="J822" s="24"/>
    </row>
    <row r="823" spans="1:10" ht="13.5" customHeight="1">
      <c r="A823" s="17" t="s">
        <v>247</v>
      </c>
      <c r="B823" s="209" t="s">
        <v>320</v>
      </c>
      <c r="C823" s="209"/>
      <c r="D823" s="2">
        <v>1467</v>
      </c>
      <c r="E823" s="17" t="s">
        <v>58</v>
      </c>
      <c r="F823" s="1"/>
      <c r="G823" s="2" t="s">
        <v>25</v>
      </c>
      <c r="H823" s="18" t="s">
        <v>29</v>
      </c>
      <c r="I823" s="23"/>
      <c r="J823" s="24"/>
    </row>
    <row r="824" spans="1:10" ht="13.5" customHeight="1">
      <c r="A824" s="17" t="s">
        <v>30</v>
      </c>
      <c r="B824" s="1"/>
      <c r="C824" s="1"/>
      <c r="D824" s="2">
        <v>100</v>
      </c>
      <c r="E824" s="17" t="s">
        <v>40</v>
      </c>
      <c r="F824" s="1"/>
      <c r="G824" s="2" t="s">
        <v>25</v>
      </c>
      <c r="H824" s="18" t="s">
        <v>32</v>
      </c>
      <c r="I824" s="23"/>
      <c r="J824" s="24"/>
    </row>
    <row r="825" spans="1:10" ht="13.5" customHeight="1">
      <c r="A825" s="17" t="s">
        <v>34</v>
      </c>
      <c r="B825" s="1"/>
      <c r="C825" s="1"/>
      <c r="D825" s="2" t="s">
        <v>25</v>
      </c>
      <c r="E825" s="17" t="s">
        <v>35</v>
      </c>
      <c r="F825" s="1"/>
      <c r="G825" s="2">
        <v>1467</v>
      </c>
      <c r="H825" s="18"/>
      <c r="I825" s="6"/>
      <c r="J825" s="19"/>
    </row>
    <row r="826" spans="1:10" ht="13.5" customHeight="1">
      <c r="A826" s="17" t="s">
        <v>78</v>
      </c>
      <c r="B826" s="1"/>
      <c r="C826" s="1"/>
      <c r="D826" s="2" t="s">
        <v>25</v>
      </c>
      <c r="E826" s="17" t="s">
        <v>61</v>
      </c>
      <c r="F826" s="1"/>
      <c r="G826" s="2" t="s">
        <v>25</v>
      </c>
      <c r="H826" s="18" t="s">
        <v>662</v>
      </c>
      <c r="I826" s="6"/>
      <c r="J826" s="26"/>
    </row>
    <row r="827" spans="1:10" ht="13.5" customHeight="1">
      <c r="A827" s="17" t="s">
        <v>663</v>
      </c>
      <c r="B827" s="1"/>
      <c r="C827" s="1"/>
      <c r="D827" s="2" t="s">
        <v>25</v>
      </c>
      <c r="E827" s="17" t="s">
        <v>39</v>
      </c>
      <c r="F827" s="1"/>
      <c r="G827" s="2">
        <v>100</v>
      </c>
      <c r="H827" s="18"/>
      <c r="I827" s="6"/>
      <c r="J827" s="26"/>
    </row>
    <row r="828" spans="1:10" ht="13.5" customHeight="1">
      <c r="A828" s="18" t="s">
        <v>40</v>
      </c>
      <c r="B828" s="6"/>
      <c r="C828" s="6"/>
      <c r="D828" s="2" t="s">
        <v>25</v>
      </c>
      <c r="E828" s="17" t="s">
        <v>333</v>
      </c>
      <c r="F828" s="1"/>
      <c r="G828" s="2" t="s">
        <v>25</v>
      </c>
      <c r="H828" s="18"/>
      <c r="I828" s="6"/>
      <c r="J828" s="19"/>
    </row>
    <row r="829" spans="1:10" ht="13.5" customHeight="1">
      <c r="A829" s="204" t="s">
        <v>63</v>
      </c>
      <c r="B829" s="205"/>
      <c r="C829" s="206"/>
      <c r="D829" s="229">
        <f>SUM(D822:D828)</f>
        <v>23567</v>
      </c>
      <c r="E829" s="1" t="s">
        <v>78</v>
      </c>
      <c r="F829" s="1"/>
      <c r="G829" s="2" t="s">
        <v>25</v>
      </c>
      <c r="H829" s="18"/>
      <c r="I829" s="6"/>
      <c r="J829" s="19"/>
    </row>
    <row r="830" spans="1:10" ht="13.5" customHeight="1">
      <c r="A830" s="207"/>
      <c r="B830" s="197"/>
      <c r="C830" s="208"/>
      <c r="D830" s="230"/>
      <c r="E830" s="21" t="s">
        <v>21</v>
      </c>
      <c r="F830" s="22"/>
      <c r="G830" s="13">
        <f>SUM(G822:G829)</f>
        <v>1567</v>
      </c>
      <c r="H830" s="21" t="s">
        <v>44</v>
      </c>
      <c r="I830" s="22"/>
      <c r="J830" s="13">
        <f>D829-G830</f>
        <v>22000</v>
      </c>
    </row>
    <row r="831" spans="1:10" ht="13.5" customHeight="1">
      <c r="A831" s="3" t="s">
        <v>45</v>
      </c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3.5" customHeight="1">
      <c r="A832" s="3"/>
      <c r="B832" s="3" t="s">
        <v>47</v>
      </c>
      <c r="C832" s="3"/>
      <c r="D832" s="3"/>
      <c r="E832" s="3" t="s">
        <v>48</v>
      </c>
      <c r="F832" s="3"/>
      <c r="G832" s="3"/>
      <c r="H832" s="3" t="s">
        <v>49</v>
      </c>
      <c r="I832" s="3"/>
      <c r="J832" s="3"/>
    </row>
    <row r="833" spans="1:10" ht="13.5" customHeight="1">
      <c r="A833" s="184" t="s">
        <v>0</v>
      </c>
      <c r="B833" s="185"/>
      <c r="C833" s="185"/>
      <c r="D833" s="185"/>
      <c r="E833" s="185"/>
      <c r="F833" s="185"/>
      <c r="G833" s="185"/>
      <c r="H833" s="185"/>
      <c r="I833" s="185"/>
      <c r="J833" s="186"/>
    </row>
    <row r="834" spans="1:10" ht="13.5" customHeight="1">
      <c r="A834" s="187" t="s">
        <v>1</v>
      </c>
      <c r="B834" s="188"/>
      <c r="C834" s="188"/>
      <c r="D834" s="188"/>
      <c r="E834" s="188"/>
      <c r="F834" s="188"/>
      <c r="G834" s="188"/>
      <c r="H834" s="188"/>
      <c r="I834" s="188"/>
      <c r="J834" s="189"/>
    </row>
    <row r="835" spans="1:10" ht="13.5" customHeight="1">
      <c r="A835" s="1" t="s">
        <v>2</v>
      </c>
      <c r="B835" s="1"/>
      <c r="C835" s="209" t="s">
        <v>660</v>
      </c>
      <c r="D835" s="209"/>
      <c r="E835" s="2"/>
      <c r="F835" s="3"/>
      <c r="G835" s="1" t="s">
        <v>4</v>
      </c>
      <c r="H835" s="191" t="s">
        <v>661</v>
      </c>
      <c r="I835" s="191"/>
      <c r="J835" s="191"/>
    </row>
    <row r="836" spans="1:10" ht="13.5" customHeight="1">
      <c r="A836" s="1" t="s">
        <v>6</v>
      </c>
      <c r="B836" s="1"/>
      <c r="C836" s="196" t="s">
        <v>664</v>
      </c>
      <c r="D836" s="196"/>
      <c r="E836" s="2"/>
      <c r="F836" s="3"/>
      <c r="G836" s="1" t="s">
        <v>8</v>
      </c>
      <c r="H836" s="193" t="s">
        <v>211</v>
      </c>
      <c r="I836" s="193"/>
      <c r="J836" s="193"/>
    </row>
    <row r="837" spans="1:10" ht="13.5" customHeight="1">
      <c r="A837" s="6" t="s">
        <v>10</v>
      </c>
      <c r="B837" s="6"/>
      <c r="C837" s="209" t="s">
        <v>563</v>
      </c>
      <c r="D837" s="209"/>
      <c r="E837" s="2"/>
      <c r="F837" s="3"/>
      <c r="G837" s="1" t="s">
        <v>12</v>
      </c>
      <c r="H837" s="195" t="s">
        <v>13</v>
      </c>
      <c r="I837" s="195"/>
      <c r="J837" s="195"/>
    </row>
    <row r="838" spans="1:10" ht="13.5" customHeight="1">
      <c r="A838" s="6" t="s">
        <v>14</v>
      </c>
      <c r="B838" s="6"/>
      <c r="C838" s="2" t="s">
        <v>15</v>
      </c>
      <c r="D838" s="2"/>
      <c r="E838" s="36"/>
      <c r="F838" s="3"/>
      <c r="G838" s="1" t="s">
        <v>16</v>
      </c>
      <c r="H838" s="196" t="s">
        <v>55</v>
      </c>
      <c r="I838" s="196"/>
      <c r="J838" s="196"/>
    </row>
    <row r="839" spans="1:10" ht="13.5" customHeight="1">
      <c r="A839" s="6">
        <v>30</v>
      </c>
      <c r="B839" s="6"/>
      <c r="C839" s="2">
        <f>A839-I839</f>
        <v>21</v>
      </c>
      <c r="D839" s="2"/>
      <c r="E839" s="2"/>
      <c r="F839" s="3"/>
      <c r="G839" s="8" t="s">
        <v>18</v>
      </c>
      <c r="H839" s="8"/>
      <c r="I839" s="9">
        <v>9</v>
      </c>
      <c r="J839" s="9"/>
    </row>
    <row r="840" spans="1:10" ht="13.5" customHeight="1">
      <c r="A840" s="198" t="s">
        <v>19</v>
      </c>
      <c r="B840" s="199"/>
      <c r="C840" s="200"/>
      <c r="D840" s="13" t="s">
        <v>20</v>
      </c>
      <c r="E840" s="14" t="s">
        <v>21</v>
      </c>
      <c r="F840" s="15"/>
      <c r="G840" s="16" t="s">
        <v>20</v>
      </c>
      <c r="H840" s="201" t="s">
        <v>22</v>
      </c>
      <c r="I840" s="202"/>
      <c r="J840" s="203"/>
    </row>
    <row r="841" spans="1:10" ht="13.5" customHeight="1">
      <c r="A841" s="17" t="s">
        <v>23</v>
      </c>
      <c r="B841" s="1"/>
      <c r="C841" s="1"/>
      <c r="D841" s="2">
        <v>20000</v>
      </c>
      <c r="E841" s="17" t="s">
        <v>24</v>
      </c>
      <c r="F841" s="1"/>
      <c r="G841" s="2" t="s">
        <v>25</v>
      </c>
      <c r="H841" s="18" t="s">
        <v>26</v>
      </c>
      <c r="I841" s="23"/>
      <c r="J841" s="24"/>
    </row>
    <row r="842" spans="1:10" ht="13.5" customHeight="1">
      <c r="A842" s="17" t="s">
        <v>247</v>
      </c>
      <c r="B842" s="209"/>
      <c r="C842" s="209"/>
      <c r="D842" s="2" t="s">
        <v>25</v>
      </c>
      <c r="E842" s="17" t="s">
        <v>58</v>
      </c>
      <c r="F842" s="1"/>
      <c r="G842" s="2" t="s">
        <v>25</v>
      </c>
      <c r="H842" s="18" t="s">
        <v>29</v>
      </c>
      <c r="I842" s="23"/>
      <c r="J842" s="24"/>
    </row>
    <row r="843" spans="1:10" ht="13.5" customHeight="1">
      <c r="A843" s="17" t="s">
        <v>30</v>
      </c>
      <c r="B843" s="1"/>
      <c r="C843" s="1"/>
      <c r="D843" s="2">
        <v>1100</v>
      </c>
      <c r="E843" s="17" t="s">
        <v>40</v>
      </c>
      <c r="F843" s="1"/>
      <c r="G843" s="2" t="s">
        <v>25</v>
      </c>
      <c r="H843" s="18" t="s">
        <v>32</v>
      </c>
      <c r="I843" s="23"/>
      <c r="J843" s="24"/>
    </row>
    <row r="844" spans="1:10" ht="13.5" customHeight="1">
      <c r="A844" s="17" t="s">
        <v>34</v>
      </c>
      <c r="B844" s="1"/>
      <c r="C844" s="1"/>
      <c r="D844" s="2" t="s">
        <v>25</v>
      </c>
      <c r="E844" s="17" t="s">
        <v>35</v>
      </c>
      <c r="F844" s="1"/>
      <c r="G844" s="2">
        <v>14000</v>
      </c>
      <c r="H844" s="18"/>
      <c r="I844" s="6"/>
      <c r="J844" s="19"/>
    </row>
    <row r="845" spans="1:10" ht="13.5" customHeight="1">
      <c r="A845" s="17" t="s">
        <v>78</v>
      </c>
      <c r="B845" s="1"/>
      <c r="C845" s="1"/>
      <c r="D845" s="2" t="s">
        <v>25</v>
      </c>
      <c r="E845" s="17" t="s">
        <v>61</v>
      </c>
      <c r="F845" s="1"/>
      <c r="G845" s="2" t="s">
        <v>25</v>
      </c>
      <c r="H845" s="18"/>
      <c r="I845" s="6"/>
      <c r="J845" s="26"/>
    </row>
    <row r="846" spans="1:10" ht="13.5" customHeight="1">
      <c r="A846" s="17" t="s">
        <v>663</v>
      </c>
      <c r="B846" s="1"/>
      <c r="C846" s="1"/>
      <c r="D846" s="2" t="s">
        <v>25</v>
      </c>
      <c r="E846" s="17" t="s">
        <v>39</v>
      </c>
      <c r="F846" s="1"/>
      <c r="G846" s="2">
        <v>100</v>
      </c>
      <c r="H846" s="18"/>
      <c r="I846" s="6"/>
      <c r="J846" s="26"/>
    </row>
    <row r="847" spans="1:10" ht="13.5" customHeight="1">
      <c r="A847" s="18" t="s">
        <v>40</v>
      </c>
      <c r="B847" s="6"/>
      <c r="C847" s="6"/>
      <c r="D847" s="2" t="s">
        <v>25</v>
      </c>
      <c r="E847" s="17" t="s">
        <v>333</v>
      </c>
      <c r="F847" s="1"/>
      <c r="G847" s="2" t="s">
        <v>25</v>
      </c>
      <c r="H847" s="18"/>
      <c r="I847" s="6"/>
      <c r="J847" s="19"/>
    </row>
    <row r="848" spans="1:10" ht="13.5" customHeight="1">
      <c r="A848" s="204" t="s">
        <v>63</v>
      </c>
      <c r="B848" s="205"/>
      <c r="C848" s="206"/>
      <c r="D848" s="229">
        <f>SUM(D841:D847)</f>
        <v>21100</v>
      </c>
      <c r="E848" s="1" t="s">
        <v>78</v>
      </c>
      <c r="F848" s="1"/>
      <c r="G848" s="2" t="s">
        <v>25</v>
      </c>
      <c r="H848" s="18"/>
      <c r="I848" s="6"/>
      <c r="J848" s="19"/>
    </row>
    <row r="849" spans="1:10" ht="13.5" customHeight="1">
      <c r="A849" s="207"/>
      <c r="B849" s="197"/>
      <c r="C849" s="208"/>
      <c r="D849" s="230"/>
      <c r="E849" s="21" t="s">
        <v>21</v>
      </c>
      <c r="F849" s="22"/>
      <c r="G849" s="13">
        <f>SUM(G841:G848)</f>
        <v>14100</v>
      </c>
      <c r="H849" s="21" t="s">
        <v>44</v>
      </c>
      <c r="I849" s="22"/>
      <c r="J849" s="13">
        <f>D848-G849</f>
        <v>7000</v>
      </c>
    </row>
    <row r="850" spans="1:10" ht="13.5" customHeight="1">
      <c r="A850" s="3" t="s">
        <v>45</v>
      </c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3.5" customHeight="1">
      <c r="A851" s="3"/>
      <c r="B851" s="3" t="s">
        <v>47</v>
      </c>
      <c r="C851" s="3"/>
      <c r="D851" s="3"/>
      <c r="E851" s="3" t="s">
        <v>48</v>
      </c>
      <c r="F851" s="3"/>
      <c r="G851" s="3"/>
      <c r="H851" s="3" t="s">
        <v>49</v>
      </c>
      <c r="I851" s="3"/>
      <c r="J851" s="3"/>
    </row>
    <row r="852" spans="1:10" ht="13.5" customHeight="1">
      <c r="A852" s="184" t="s">
        <v>0</v>
      </c>
      <c r="B852" s="185"/>
      <c r="C852" s="185"/>
      <c r="D852" s="185"/>
      <c r="E852" s="185"/>
      <c r="F852" s="185"/>
      <c r="G852" s="185"/>
      <c r="H852" s="185"/>
      <c r="I852" s="185"/>
      <c r="J852" s="186"/>
    </row>
    <row r="853" spans="1:10" ht="13.5" customHeight="1">
      <c r="A853" s="187" t="s">
        <v>1</v>
      </c>
      <c r="B853" s="188"/>
      <c r="C853" s="188"/>
      <c r="D853" s="188"/>
      <c r="E853" s="188"/>
      <c r="F853" s="188"/>
      <c r="G853" s="188"/>
      <c r="H853" s="188"/>
      <c r="I853" s="188"/>
      <c r="J853" s="189"/>
    </row>
    <row r="854" spans="1:10" ht="13.5" customHeight="1">
      <c r="A854" s="1" t="s">
        <v>2</v>
      </c>
      <c r="B854" s="1"/>
      <c r="C854" s="209" t="s">
        <v>660</v>
      </c>
      <c r="D854" s="209"/>
      <c r="E854" s="2"/>
      <c r="F854" s="3"/>
      <c r="G854" s="1" t="s">
        <v>4</v>
      </c>
      <c r="H854" s="191" t="s">
        <v>661</v>
      </c>
      <c r="I854" s="191"/>
      <c r="J854" s="191"/>
    </row>
    <row r="855" spans="1:10" ht="13.5" customHeight="1">
      <c r="A855" s="1" t="s">
        <v>6</v>
      </c>
      <c r="B855" s="1"/>
      <c r="C855" s="196" t="s">
        <v>665</v>
      </c>
      <c r="D855" s="196"/>
      <c r="E855" s="2"/>
      <c r="F855" s="3"/>
      <c r="G855" s="1" t="s">
        <v>8</v>
      </c>
      <c r="H855" s="193" t="s">
        <v>211</v>
      </c>
      <c r="I855" s="193"/>
      <c r="J855" s="193"/>
    </row>
    <row r="856" spans="1:10" ht="13.5" customHeight="1">
      <c r="A856" s="6" t="s">
        <v>10</v>
      </c>
      <c r="B856" s="6"/>
      <c r="C856" s="209" t="s">
        <v>563</v>
      </c>
      <c r="D856" s="209"/>
      <c r="E856" s="2"/>
      <c r="F856" s="3"/>
      <c r="G856" s="1" t="s">
        <v>12</v>
      </c>
      <c r="H856" s="195" t="s">
        <v>13</v>
      </c>
      <c r="I856" s="195"/>
      <c r="J856" s="195"/>
    </row>
    <row r="857" spans="1:10" ht="13.5" customHeight="1">
      <c r="A857" s="6" t="s">
        <v>14</v>
      </c>
      <c r="B857" s="6"/>
      <c r="C857" s="2" t="s">
        <v>15</v>
      </c>
      <c r="D857" s="2"/>
      <c r="E857" s="36"/>
      <c r="F857" s="3"/>
      <c r="G857" s="1" t="s">
        <v>16</v>
      </c>
      <c r="H857" s="196" t="s">
        <v>55</v>
      </c>
      <c r="I857" s="196"/>
      <c r="J857" s="196"/>
    </row>
    <row r="858" spans="1:10" ht="13.5" customHeight="1">
      <c r="A858" s="6">
        <v>30</v>
      </c>
      <c r="B858" s="6"/>
      <c r="C858" s="2">
        <f>A858-I858</f>
        <v>20</v>
      </c>
      <c r="D858" s="2"/>
      <c r="E858" s="2"/>
      <c r="F858" s="3"/>
      <c r="G858" s="8" t="s">
        <v>18</v>
      </c>
      <c r="H858" s="8"/>
      <c r="I858" s="9">
        <v>10</v>
      </c>
      <c r="J858" s="9"/>
    </row>
    <row r="859" spans="1:10" ht="13.5" customHeight="1">
      <c r="A859" s="198" t="s">
        <v>19</v>
      </c>
      <c r="B859" s="199"/>
      <c r="C859" s="200"/>
      <c r="D859" s="13" t="s">
        <v>20</v>
      </c>
      <c r="E859" s="14" t="s">
        <v>21</v>
      </c>
      <c r="F859" s="15"/>
      <c r="G859" s="16" t="s">
        <v>20</v>
      </c>
      <c r="H859" s="201" t="s">
        <v>22</v>
      </c>
      <c r="I859" s="202"/>
      <c r="J859" s="203"/>
    </row>
    <row r="860" spans="1:10" ht="13.5" customHeight="1">
      <c r="A860" s="17" t="s">
        <v>23</v>
      </c>
      <c r="B860" s="1"/>
      <c r="C860" s="1"/>
      <c r="D860" s="2">
        <v>20000</v>
      </c>
      <c r="E860" s="17" t="s">
        <v>24</v>
      </c>
      <c r="F860" s="1"/>
      <c r="G860" s="2" t="s">
        <v>25</v>
      </c>
      <c r="H860" s="18" t="s">
        <v>26</v>
      </c>
      <c r="I860" s="23"/>
      <c r="J860" s="24"/>
    </row>
    <row r="861" spans="1:10" ht="13.5" customHeight="1">
      <c r="A861" s="17" t="s">
        <v>247</v>
      </c>
      <c r="B861" s="209"/>
      <c r="C861" s="209"/>
      <c r="D861" s="2" t="s">
        <v>25</v>
      </c>
      <c r="E861" s="17" t="s">
        <v>58</v>
      </c>
      <c r="F861" s="1"/>
      <c r="G861" s="2" t="s">
        <v>25</v>
      </c>
      <c r="H861" s="18" t="s">
        <v>29</v>
      </c>
      <c r="I861" s="23"/>
      <c r="J861" s="24"/>
    </row>
    <row r="862" spans="1:10" ht="13.5" customHeight="1">
      <c r="A862" s="17" t="s">
        <v>30</v>
      </c>
      <c r="B862" s="1"/>
      <c r="C862" s="1"/>
      <c r="D862" s="2">
        <v>433</v>
      </c>
      <c r="E862" s="17" t="s">
        <v>40</v>
      </c>
      <c r="F862" s="1"/>
      <c r="G862" s="2" t="s">
        <v>25</v>
      </c>
      <c r="H862" s="18" t="s">
        <v>32</v>
      </c>
      <c r="I862" s="23"/>
      <c r="J862" s="24"/>
    </row>
    <row r="863" spans="1:10" ht="13.5" customHeight="1">
      <c r="A863" s="17" t="s">
        <v>34</v>
      </c>
      <c r="B863" s="1"/>
      <c r="C863" s="1"/>
      <c r="D863" s="2" t="s">
        <v>25</v>
      </c>
      <c r="E863" s="17" t="s">
        <v>35</v>
      </c>
      <c r="F863" s="1"/>
      <c r="G863" s="2">
        <v>13333</v>
      </c>
      <c r="H863" s="18"/>
      <c r="I863" s="6"/>
      <c r="J863" s="19"/>
    </row>
    <row r="864" spans="1:10" ht="13.5" customHeight="1">
      <c r="A864" s="17" t="s">
        <v>321</v>
      </c>
      <c r="B864" s="1"/>
      <c r="C864" s="1"/>
      <c r="D864" s="2" t="s">
        <v>25</v>
      </c>
      <c r="E864" s="17" t="s">
        <v>37</v>
      </c>
      <c r="F864" s="1"/>
      <c r="G864" s="2" t="s">
        <v>25</v>
      </c>
      <c r="H864" s="18"/>
      <c r="I864" s="6"/>
      <c r="J864" s="26"/>
    </row>
    <row r="865" spans="1:10" ht="13.5" customHeight="1">
      <c r="A865" s="17" t="s">
        <v>663</v>
      </c>
      <c r="B865" s="1"/>
      <c r="C865" s="1"/>
      <c r="D865" s="2" t="s">
        <v>25</v>
      </c>
      <c r="E865" s="17" t="s">
        <v>39</v>
      </c>
      <c r="F865" s="1"/>
      <c r="G865" s="2">
        <v>100</v>
      </c>
      <c r="H865" s="18"/>
      <c r="I865" s="6"/>
      <c r="J865" s="26"/>
    </row>
    <row r="866" spans="1:10" ht="13.5" customHeight="1">
      <c r="A866" s="18" t="s">
        <v>40</v>
      </c>
      <c r="B866" s="6"/>
      <c r="C866" s="6"/>
      <c r="D866" s="2" t="s">
        <v>25</v>
      </c>
      <c r="E866" s="17" t="s">
        <v>333</v>
      </c>
      <c r="F866" s="1"/>
      <c r="G866" s="2" t="s">
        <v>25</v>
      </c>
      <c r="H866" s="18"/>
      <c r="I866" s="6"/>
      <c r="J866" s="19"/>
    </row>
    <row r="867" spans="1:10" ht="13.5" customHeight="1">
      <c r="A867" s="204" t="s">
        <v>63</v>
      </c>
      <c r="B867" s="205"/>
      <c r="C867" s="206"/>
      <c r="D867" s="229">
        <f>SUM(D860:D866)</f>
        <v>20433</v>
      </c>
      <c r="E867" s="1" t="s">
        <v>78</v>
      </c>
      <c r="F867" s="1"/>
      <c r="G867" s="2" t="s">
        <v>25</v>
      </c>
      <c r="H867" s="18"/>
      <c r="I867" s="6"/>
      <c r="J867" s="19"/>
    </row>
    <row r="868" spans="1:10" ht="13.5" customHeight="1">
      <c r="A868" s="207"/>
      <c r="B868" s="197"/>
      <c r="C868" s="208"/>
      <c r="D868" s="230"/>
      <c r="E868" s="21" t="s">
        <v>21</v>
      </c>
      <c r="F868" s="22"/>
      <c r="G868" s="13">
        <f>SUM(G860:G867)</f>
        <v>13433</v>
      </c>
      <c r="H868" s="21" t="s">
        <v>44</v>
      </c>
      <c r="I868" s="22"/>
      <c r="J868" s="13">
        <f>D867-G868</f>
        <v>7000</v>
      </c>
    </row>
    <row r="869" spans="1:10" ht="13.5" customHeight="1">
      <c r="A869" s="3" t="s">
        <v>45</v>
      </c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3.5" customHeight="1">
      <c r="A870" s="3"/>
      <c r="B870" s="3" t="s">
        <v>47</v>
      </c>
      <c r="C870" s="3"/>
      <c r="D870" s="3"/>
      <c r="E870" s="3" t="s">
        <v>48</v>
      </c>
      <c r="F870" s="3"/>
      <c r="G870" s="3"/>
      <c r="H870" s="3" t="s">
        <v>49</v>
      </c>
      <c r="I870" s="3"/>
      <c r="J870" s="3"/>
    </row>
    <row r="871" spans="1:10" ht="13.5" customHeight="1">
      <c r="A871" s="184" t="s">
        <v>0</v>
      </c>
      <c r="B871" s="185"/>
      <c r="C871" s="185"/>
      <c r="D871" s="185"/>
      <c r="E871" s="185"/>
      <c r="F871" s="185"/>
      <c r="G871" s="185"/>
      <c r="H871" s="185"/>
      <c r="I871" s="185"/>
      <c r="J871" s="186"/>
    </row>
    <row r="872" spans="1:10" ht="13.5" customHeight="1">
      <c r="A872" s="187" t="s">
        <v>1</v>
      </c>
      <c r="B872" s="188"/>
      <c r="C872" s="188"/>
      <c r="D872" s="188"/>
      <c r="E872" s="188"/>
      <c r="F872" s="188"/>
      <c r="G872" s="188"/>
      <c r="H872" s="188"/>
      <c r="I872" s="188"/>
      <c r="J872" s="189"/>
    </row>
    <row r="873" spans="1:10" ht="13.5" customHeight="1">
      <c r="A873" s="1" t="s">
        <v>2</v>
      </c>
      <c r="B873" s="1"/>
      <c r="C873" s="194" t="s">
        <v>666</v>
      </c>
      <c r="D873" s="194"/>
      <c r="E873" s="2"/>
      <c r="F873" s="3"/>
      <c r="G873" s="1" t="s">
        <v>4</v>
      </c>
      <c r="H873" s="191" t="s">
        <v>215</v>
      </c>
      <c r="I873" s="191"/>
      <c r="J873" s="191"/>
    </row>
    <row r="874" spans="1:10" ht="13.5" customHeight="1">
      <c r="A874" s="1" t="s">
        <v>6</v>
      </c>
      <c r="B874" s="1"/>
      <c r="C874" s="192" t="s">
        <v>667</v>
      </c>
      <c r="D874" s="192"/>
      <c r="E874" s="2"/>
      <c r="F874" s="3"/>
      <c r="G874" s="1" t="s">
        <v>8</v>
      </c>
      <c r="H874" s="193" t="s">
        <v>9</v>
      </c>
      <c r="I874" s="193"/>
      <c r="J874" s="193"/>
    </row>
    <row r="875" spans="1:10" ht="13.5" customHeight="1">
      <c r="A875" s="6" t="s">
        <v>10</v>
      </c>
      <c r="B875" s="6"/>
      <c r="C875" s="194" t="s">
        <v>668</v>
      </c>
      <c r="D875" s="194"/>
      <c r="E875" s="2"/>
      <c r="F875" s="3"/>
      <c r="G875" s="1" t="s">
        <v>12</v>
      </c>
      <c r="H875" s="195" t="s">
        <v>13</v>
      </c>
      <c r="I875" s="195"/>
      <c r="J875" s="195"/>
    </row>
    <row r="876" spans="1:10" ht="13.5" customHeight="1">
      <c r="A876" s="2" t="s">
        <v>14</v>
      </c>
      <c r="B876" s="2"/>
      <c r="C876" s="2" t="s">
        <v>15</v>
      </c>
      <c r="D876" s="2"/>
      <c r="E876" s="2"/>
      <c r="F876" s="3"/>
      <c r="G876" s="1" t="s">
        <v>16</v>
      </c>
      <c r="H876" s="196" t="s">
        <v>55</v>
      </c>
      <c r="I876" s="196"/>
      <c r="J876" s="196"/>
    </row>
    <row r="877" spans="1:10" ht="13.5" customHeight="1">
      <c r="A877" s="2">
        <v>30</v>
      </c>
      <c r="B877" s="2"/>
      <c r="C877" s="2">
        <f>A877-H877</f>
        <v>0</v>
      </c>
      <c r="D877" s="2"/>
      <c r="E877" s="2"/>
      <c r="F877" s="3"/>
      <c r="G877" s="8" t="s">
        <v>18</v>
      </c>
      <c r="H877" s="282">
        <v>30</v>
      </c>
      <c r="I877" s="282"/>
      <c r="J877" s="282"/>
    </row>
    <row r="878" spans="1:10" ht="13.5" customHeight="1">
      <c r="A878" s="198" t="s">
        <v>19</v>
      </c>
      <c r="B878" s="199"/>
      <c r="C878" s="200"/>
      <c r="D878" s="13" t="s">
        <v>20</v>
      </c>
      <c r="E878" s="14" t="s">
        <v>21</v>
      </c>
      <c r="F878" s="15"/>
      <c r="G878" s="16" t="s">
        <v>20</v>
      </c>
      <c r="H878" s="201" t="s">
        <v>22</v>
      </c>
      <c r="I878" s="202"/>
      <c r="J878" s="203"/>
    </row>
    <row r="879" spans="1:10" ht="13.5" customHeight="1">
      <c r="A879" s="17" t="s">
        <v>23</v>
      </c>
      <c r="B879" s="1"/>
      <c r="C879" s="1"/>
      <c r="D879" s="2">
        <v>20000</v>
      </c>
      <c r="E879" s="17" t="s">
        <v>24</v>
      </c>
      <c r="F879" s="1"/>
      <c r="G879" s="2" t="s">
        <v>25</v>
      </c>
      <c r="H879" s="18" t="s">
        <v>26</v>
      </c>
      <c r="I879" s="23"/>
      <c r="J879" s="24"/>
    </row>
    <row r="880" spans="1:10" ht="13.5" customHeight="1">
      <c r="A880" s="17" t="s">
        <v>247</v>
      </c>
      <c r="B880" s="283" t="s">
        <v>669</v>
      </c>
      <c r="C880" s="283"/>
      <c r="D880" s="2">
        <v>7333</v>
      </c>
      <c r="E880" s="17" t="s">
        <v>28</v>
      </c>
      <c r="F880" s="1"/>
      <c r="G880" s="2" t="s">
        <v>25</v>
      </c>
      <c r="H880" s="18" t="s">
        <v>29</v>
      </c>
      <c r="I880" s="23"/>
      <c r="J880" s="24"/>
    </row>
    <row r="881" spans="1:10" ht="13.5" customHeight="1">
      <c r="A881" s="17" t="s">
        <v>30</v>
      </c>
      <c r="B881" s="1"/>
      <c r="C881" s="1"/>
      <c r="D881" s="2" t="s">
        <v>25</v>
      </c>
      <c r="E881" s="17" t="s">
        <v>141</v>
      </c>
      <c r="F881" s="1"/>
      <c r="G881" s="2">
        <v>800</v>
      </c>
      <c r="H881" s="18" t="s">
        <v>32</v>
      </c>
      <c r="I881" s="23"/>
      <c r="J881" s="24"/>
    </row>
    <row r="882" spans="1:10" ht="13.5" customHeight="1">
      <c r="A882" s="17" t="s">
        <v>34</v>
      </c>
      <c r="B882" s="1"/>
      <c r="C882" s="1"/>
      <c r="D882" s="2" t="s">
        <v>25</v>
      </c>
      <c r="E882" s="17" t="s">
        <v>35</v>
      </c>
      <c r="F882" s="1"/>
      <c r="G882" s="2" t="s">
        <v>25</v>
      </c>
      <c r="H882" s="18"/>
      <c r="I882" s="6"/>
      <c r="J882" s="19"/>
    </row>
    <row r="883" spans="1:10" ht="13.5" customHeight="1">
      <c r="A883" s="17" t="s">
        <v>345</v>
      </c>
      <c r="B883" s="1"/>
      <c r="C883" s="1"/>
      <c r="D883" s="2">
        <v>5000</v>
      </c>
      <c r="E883" s="17" t="s">
        <v>61</v>
      </c>
      <c r="F883" s="1"/>
      <c r="G883" s="2" t="s">
        <v>25</v>
      </c>
      <c r="H883" s="148" t="s">
        <v>670</v>
      </c>
      <c r="I883" s="149"/>
      <c r="J883" s="150"/>
    </row>
    <row r="884" spans="1:10" ht="13.5" customHeight="1">
      <c r="A884" s="17" t="s">
        <v>136</v>
      </c>
      <c r="B884" s="1"/>
      <c r="C884" s="1"/>
      <c r="D884" s="2" t="s">
        <v>25</v>
      </c>
      <c r="E884" s="17" t="s">
        <v>39</v>
      </c>
      <c r="F884" s="1"/>
      <c r="G884" s="2">
        <v>100</v>
      </c>
      <c r="H884" s="42"/>
      <c r="I884" s="36"/>
      <c r="J884" s="43"/>
    </row>
    <row r="885" spans="1:10" ht="13.5" customHeight="1">
      <c r="A885" s="18" t="s">
        <v>40</v>
      </c>
      <c r="B885" s="6"/>
      <c r="C885" s="6"/>
      <c r="D885" s="2" t="s">
        <v>25</v>
      </c>
      <c r="E885" s="17" t="s">
        <v>62</v>
      </c>
      <c r="F885" s="1"/>
      <c r="G885" s="2" t="s">
        <v>25</v>
      </c>
      <c r="H885" s="18"/>
      <c r="I885" s="6"/>
      <c r="J885" s="19"/>
    </row>
    <row r="886" spans="1:10" ht="13.5" customHeight="1">
      <c r="A886" s="204" t="s">
        <v>63</v>
      </c>
      <c r="B886" s="205"/>
      <c r="C886" s="206"/>
      <c r="D886" s="229">
        <f>SUM(D879:D885)</f>
        <v>32333</v>
      </c>
      <c r="E886" s="1" t="s">
        <v>43</v>
      </c>
      <c r="F886" s="1"/>
      <c r="G886" s="2" t="s">
        <v>25</v>
      </c>
      <c r="H886" s="18"/>
      <c r="I886" s="6"/>
      <c r="J886" s="19"/>
    </row>
    <row r="887" spans="1:10" ht="13.5" customHeight="1">
      <c r="A887" s="207"/>
      <c r="B887" s="197"/>
      <c r="C887" s="208"/>
      <c r="D887" s="230"/>
      <c r="E887" s="21" t="s">
        <v>21</v>
      </c>
      <c r="F887" s="22"/>
      <c r="G887" s="13">
        <f>SUM(G879:G886)</f>
        <v>900</v>
      </c>
      <c r="H887" s="21" t="s">
        <v>44</v>
      </c>
      <c r="I887" s="22"/>
      <c r="J887" s="13">
        <f>D886-G887</f>
        <v>31433</v>
      </c>
    </row>
    <row r="888" spans="1:10" ht="13.5" customHeight="1">
      <c r="A888" s="3" t="s">
        <v>45</v>
      </c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3.5" customHeight="1">
      <c r="A890" s="3"/>
      <c r="B890" s="3" t="s">
        <v>47</v>
      </c>
      <c r="C890" s="3"/>
      <c r="D890" s="3"/>
      <c r="E890" s="3" t="s">
        <v>48</v>
      </c>
      <c r="F890" s="3"/>
      <c r="G890" s="3"/>
      <c r="H890" s="3" t="s">
        <v>49</v>
      </c>
      <c r="I890" s="3"/>
      <c r="J890" s="3"/>
    </row>
    <row r="891" spans="1:10" ht="13.5" customHeight="1">
      <c r="A891" s="184" t="s">
        <v>0</v>
      </c>
      <c r="B891" s="185"/>
      <c r="C891" s="185"/>
      <c r="D891" s="185"/>
      <c r="E891" s="185"/>
      <c r="F891" s="185"/>
      <c r="G891" s="185"/>
      <c r="H891" s="185"/>
      <c r="I891" s="185"/>
      <c r="J891" s="186"/>
    </row>
    <row r="892" spans="1:10" ht="13.5" customHeight="1">
      <c r="A892" s="187" t="s">
        <v>1</v>
      </c>
      <c r="B892" s="188"/>
      <c r="C892" s="188"/>
      <c r="D892" s="188"/>
      <c r="E892" s="188"/>
      <c r="F892" s="188"/>
      <c r="G892" s="188"/>
      <c r="H892" s="188"/>
      <c r="I892" s="188"/>
      <c r="J892" s="189"/>
    </row>
    <row r="893" spans="1:10" ht="13.5" customHeight="1">
      <c r="A893" s="1" t="s">
        <v>2</v>
      </c>
      <c r="B893" s="1"/>
      <c r="C893" s="190" t="s">
        <v>418</v>
      </c>
      <c r="D893" s="190"/>
      <c r="E893" s="2"/>
      <c r="F893" s="3"/>
      <c r="G893" s="1" t="s">
        <v>4</v>
      </c>
      <c r="H893" s="191" t="s">
        <v>215</v>
      </c>
      <c r="I893" s="191"/>
      <c r="J893" s="191"/>
    </row>
    <row r="894" spans="1:10" ht="13.5" customHeight="1">
      <c r="A894" s="1" t="s">
        <v>6</v>
      </c>
      <c r="B894" s="1"/>
      <c r="C894" s="192" t="s">
        <v>424</v>
      </c>
      <c r="D894" s="192"/>
      <c r="E894" s="2"/>
      <c r="F894" s="3"/>
      <c r="G894" s="1" t="s">
        <v>8</v>
      </c>
      <c r="H894" s="193" t="s">
        <v>9</v>
      </c>
      <c r="I894" s="193"/>
      <c r="J894" s="193"/>
    </row>
    <row r="895" spans="1:10" ht="13.5" customHeight="1">
      <c r="A895" s="6" t="s">
        <v>10</v>
      </c>
      <c r="B895" s="6"/>
      <c r="C895" s="6" t="s">
        <v>636</v>
      </c>
      <c r="D895" s="6"/>
      <c r="E895" s="2"/>
      <c r="F895" s="3"/>
      <c r="G895" s="1" t="s">
        <v>12</v>
      </c>
      <c r="H895" s="195" t="s">
        <v>13</v>
      </c>
      <c r="I895" s="195"/>
      <c r="J895" s="195"/>
    </row>
    <row r="896" spans="1:10" ht="13.5" customHeight="1">
      <c r="A896" s="2" t="s">
        <v>14</v>
      </c>
      <c r="B896" s="2"/>
      <c r="C896" s="2" t="s">
        <v>15</v>
      </c>
      <c r="D896" s="2"/>
      <c r="E896" s="2"/>
      <c r="F896" s="3"/>
      <c r="G896" s="1" t="s">
        <v>16</v>
      </c>
      <c r="H896" s="196" t="s">
        <v>55</v>
      </c>
      <c r="I896" s="196"/>
      <c r="J896" s="196"/>
    </row>
    <row r="897" spans="1:10" ht="13.5" customHeight="1">
      <c r="A897" s="2">
        <v>30</v>
      </c>
      <c r="B897" s="2"/>
      <c r="C897" s="2">
        <f>A897-H897</f>
        <v>6</v>
      </c>
      <c r="D897" s="2"/>
      <c r="E897" s="2"/>
      <c r="F897" s="3"/>
      <c r="G897" s="8" t="s">
        <v>18</v>
      </c>
      <c r="H897" s="197">
        <v>24</v>
      </c>
      <c r="I897" s="197"/>
      <c r="J897" s="197"/>
    </row>
    <row r="898" spans="1:10" ht="13.5" customHeight="1">
      <c r="A898" s="198" t="s">
        <v>19</v>
      </c>
      <c r="B898" s="199"/>
      <c r="C898" s="200"/>
      <c r="D898" s="13" t="s">
        <v>20</v>
      </c>
      <c r="E898" s="14" t="s">
        <v>21</v>
      </c>
      <c r="F898" s="15"/>
      <c r="G898" s="16" t="s">
        <v>20</v>
      </c>
      <c r="H898" s="201" t="s">
        <v>22</v>
      </c>
      <c r="I898" s="202"/>
      <c r="J898" s="203"/>
    </row>
    <row r="899" spans="1:10" ht="13.5" customHeight="1">
      <c r="A899" s="17" t="s">
        <v>23</v>
      </c>
      <c r="B899" s="1"/>
      <c r="C899" s="1"/>
      <c r="D899" s="2">
        <v>18000</v>
      </c>
      <c r="E899" s="17" t="s">
        <v>24</v>
      </c>
      <c r="F899" s="1"/>
      <c r="G899" s="2" t="s">
        <v>25</v>
      </c>
      <c r="H899" s="18" t="s">
        <v>26</v>
      </c>
      <c r="I899" s="23"/>
      <c r="J899" s="24"/>
    </row>
    <row r="900" spans="1:10" ht="13.5" customHeight="1">
      <c r="A900" s="17" t="s">
        <v>57</v>
      </c>
      <c r="B900" s="209" t="s">
        <v>320</v>
      </c>
      <c r="C900" s="209"/>
      <c r="D900" s="2">
        <v>1200</v>
      </c>
      <c r="E900" s="17" t="s">
        <v>420</v>
      </c>
      <c r="F900" s="1"/>
      <c r="G900" s="2" t="s">
        <v>25</v>
      </c>
      <c r="H900" s="18" t="s">
        <v>29</v>
      </c>
      <c r="I900" s="23"/>
      <c r="J900" s="24"/>
    </row>
    <row r="901" spans="1:10" ht="13.5" customHeight="1">
      <c r="A901" s="17" t="s">
        <v>30</v>
      </c>
      <c r="B901" s="1"/>
      <c r="C901" s="1"/>
      <c r="D901" s="2">
        <v>2300</v>
      </c>
      <c r="E901" s="17" t="s">
        <v>141</v>
      </c>
      <c r="F901" s="1"/>
      <c r="G901" s="2">
        <v>800</v>
      </c>
      <c r="H901" s="18" t="s">
        <v>32</v>
      </c>
      <c r="I901" s="23"/>
      <c r="J901" s="24"/>
    </row>
    <row r="902" spans="1:10" ht="13.5" customHeight="1">
      <c r="A902" s="17" t="s">
        <v>34</v>
      </c>
      <c r="B902" s="1"/>
      <c r="C902" s="1"/>
      <c r="D902" s="2" t="s">
        <v>25</v>
      </c>
      <c r="E902" s="17" t="s">
        <v>71</v>
      </c>
      <c r="F902" s="1"/>
      <c r="G902" s="2">
        <v>3600</v>
      </c>
      <c r="H902" s="42"/>
      <c r="I902" s="36"/>
      <c r="J902" s="19"/>
    </row>
    <row r="903" spans="1:10" ht="13.5" customHeight="1">
      <c r="A903" s="17" t="s">
        <v>78</v>
      </c>
      <c r="B903" s="1"/>
      <c r="C903" s="1"/>
      <c r="D903" s="2" t="s">
        <v>25</v>
      </c>
      <c r="E903" s="17" t="s">
        <v>37</v>
      </c>
      <c r="F903" s="1"/>
      <c r="G903" s="2" t="s">
        <v>25</v>
      </c>
      <c r="H903" s="42"/>
      <c r="I903" s="36"/>
      <c r="J903" s="43"/>
    </row>
    <row r="904" spans="1:10" ht="13.5" customHeight="1">
      <c r="A904" s="17" t="s">
        <v>136</v>
      </c>
      <c r="B904" s="1"/>
      <c r="C904" s="1"/>
      <c r="D904" s="2" t="s">
        <v>25</v>
      </c>
      <c r="E904" s="17" t="s">
        <v>39</v>
      </c>
      <c r="F904" s="1"/>
      <c r="G904" s="2">
        <v>100</v>
      </c>
      <c r="H904" s="42" t="s">
        <v>670</v>
      </c>
      <c r="J904" s="43"/>
    </row>
    <row r="905" spans="1:10" ht="13.5" customHeight="1">
      <c r="A905" s="18" t="s">
        <v>40</v>
      </c>
      <c r="B905" s="6"/>
      <c r="C905" s="6"/>
      <c r="D905" s="2" t="s">
        <v>25</v>
      </c>
      <c r="E905" s="17" t="s">
        <v>62</v>
      </c>
      <c r="F905" s="1"/>
      <c r="G905" s="2" t="s">
        <v>25</v>
      </c>
      <c r="H905" s="42"/>
      <c r="I905" s="36"/>
      <c r="J905" s="43"/>
    </row>
    <row r="906" spans="1:10" ht="13.5" customHeight="1">
      <c r="A906" s="204" t="s">
        <v>63</v>
      </c>
      <c r="B906" s="205"/>
      <c r="C906" s="206"/>
      <c r="D906" s="229">
        <f>SUM(D899:D905)</f>
        <v>21500</v>
      </c>
      <c r="E906" s="1" t="s">
        <v>43</v>
      </c>
      <c r="F906" s="1"/>
      <c r="G906" s="2" t="s">
        <v>25</v>
      </c>
      <c r="H906" s="18"/>
      <c r="I906" s="6"/>
      <c r="J906" s="19"/>
    </row>
    <row r="907" spans="1:10" ht="13.5" customHeight="1">
      <c r="A907" s="207"/>
      <c r="B907" s="197"/>
      <c r="C907" s="208"/>
      <c r="D907" s="230"/>
      <c r="E907" s="21" t="s">
        <v>21</v>
      </c>
      <c r="F907" s="22"/>
      <c r="G907" s="13">
        <f>SUM(G899:G906)</f>
        <v>4500</v>
      </c>
      <c r="H907" s="21" t="s">
        <v>44</v>
      </c>
      <c r="I907" s="22"/>
      <c r="J907" s="13">
        <f>D906-G907</f>
        <v>17000</v>
      </c>
    </row>
    <row r="908" spans="1:10" ht="13.5" customHeight="1">
      <c r="A908" s="3" t="s">
        <v>45</v>
      </c>
      <c r="B908" s="3"/>
      <c r="C908" s="3"/>
      <c r="D908" s="3"/>
      <c r="E908" s="3"/>
      <c r="F908" s="3"/>
      <c r="G908" s="2"/>
      <c r="H908" s="1"/>
      <c r="I908" s="1"/>
      <c r="J908" s="2"/>
    </row>
    <row r="909" spans="1:10" ht="13.5" customHeight="1">
      <c r="A909" s="3"/>
      <c r="B909" s="3"/>
      <c r="C909" s="3"/>
      <c r="D909" s="3"/>
      <c r="E909" s="3"/>
      <c r="F909" s="3"/>
      <c r="G909" s="2"/>
      <c r="H909" s="1"/>
      <c r="I909" s="1"/>
      <c r="J909" s="2"/>
    </row>
    <row r="910" spans="1:10" ht="13.5" customHeight="1">
      <c r="A910" s="3"/>
      <c r="B910" s="3" t="s">
        <v>47</v>
      </c>
      <c r="C910" s="3"/>
      <c r="D910" s="3"/>
      <c r="E910" s="3" t="s">
        <v>48</v>
      </c>
      <c r="F910" s="3"/>
      <c r="G910" s="3"/>
      <c r="H910" s="3" t="s">
        <v>49</v>
      </c>
      <c r="I910" s="3"/>
      <c r="J910" s="2"/>
    </row>
    <row r="911" spans="1:10" ht="13.5" customHeight="1">
      <c r="A911" s="184" t="s">
        <v>0</v>
      </c>
      <c r="B911" s="185"/>
      <c r="C911" s="185"/>
      <c r="D911" s="185"/>
      <c r="E911" s="185"/>
      <c r="F911" s="185"/>
      <c r="G911" s="185"/>
      <c r="H911" s="185"/>
      <c r="I911" s="185"/>
      <c r="J911" s="186"/>
    </row>
    <row r="912" spans="1:10" ht="13.5" customHeight="1">
      <c r="A912" s="187" t="s">
        <v>1</v>
      </c>
      <c r="B912" s="188"/>
      <c r="C912" s="188"/>
      <c r="D912" s="188"/>
      <c r="E912" s="188"/>
      <c r="F912" s="188"/>
      <c r="G912" s="188"/>
      <c r="H912" s="188"/>
      <c r="I912" s="188"/>
      <c r="J912" s="189"/>
    </row>
    <row r="913" spans="1:10" ht="13.5" customHeight="1">
      <c r="A913" s="1" t="s">
        <v>2</v>
      </c>
      <c r="B913" s="1"/>
      <c r="C913" s="190" t="s">
        <v>418</v>
      </c>
      <c r="D913" s="190"/>
      <c r="E913" s="2"/>
      <c r="F913" s="3"/>
      <c r="G913" s="1" t="s">
        <v>4</v>
      </c>
      <c r="H913" s="191" t="s">
        <v>215</v>
      </c>
      <c r="I913" s="191"/>
      <c r="J913" s="191"/>
    </row>
    <row r="914" spans="1:10" ht="13.5" customHeight="1">
      <c r="A914" s="1" t="s">
        <v>6</v>
      </c>
      <c r="B914" s="1"/>
      <c r="C914" s="192" t="s">
        <v>671</v>
      </c>
      <c r="D914" s="192"/>
      <c r="E914" s="2"/>
      <c r="F914" s="3"/>
      <c r="G914" s="1" t="s">
        <v>8</v>
      </c>
      <c r="H914" s="193" t="s">
        <v>9</v>
      </c>
      <c r="I914" s="193"/>
      <c r="J914" s="193"/>
    </row>
    <row r="915" spans="1:10" ht="13.5" customHeight="1">
      <c r="A915" s="6" t="s">
        <v>10</v>
      </c>
      <c r="B915" s="6"/>
      <c r="C915" s="6" t="s">
        <v>563</v>
      </c>
      <c r="D915" s="6"/>
      <c r="E915" s="2"/>
      <c r="F915" s="3"/>
      <c r="G915" s="1" t="s">
        <v>12</v>
      </c>
      <c r="H915" s="195" t="s">
        <v>13</v>
      </c>
      <c r="I915" s="195"/>
      <c r="J915" s="195"/>
    </row>
    <row r="916" spans="1:10" ht="13.5" customHeight="1">
      <c r="A916" s="2" t="s">
        <v>14</v>
      </c>
      <c r="B916" s="2"/>
      <c r="C916" s="2" t="s">
        <v>15</v>
      </c>
      <c r="D916" s="2"/>
      <c r="E916" s="2"/>
      <c r="F916" s="3"/>
      <c r="G916" s="1" t="s">
        <v>16</v>
      </c>
      <c r="H916" s="196" t="s">
        <v>55</v>
      </c>
      <c r="I916" s="196"/>
      <c r="J916" s="196"/>
    </row>
    <row r="917" spans="1:10" ht="13.5" customHeight="1">
      <c r="A917" s="2">
        <v>30</v>
      </c>
      <c r="B917" s="2"/>
      <c r="C917" s="2">
        <f>A917-H917</f>
        <v>4</v>
      </c>
      <c r="D917" s="2"/>
      <c r="E917" s="2"/>
      <c r="F917" s="3"/>
      <c r="G917" s="8" t="s">
        <v>18</v>
      </c>
      <c r="H917" s="197">
        <v>26</v>
      </c>
      <c r="I917" s="197"/>
      <c r="J917" s="197"/>
    </row>
    <row r="918" spans="1:10" ht="13.5" customHeight="1">
      <c r="A918" s="198" t="s">
        <v>19</v>
      </c>
      <c r="B918" s="199"/>
      <c r="C918" s="200"/>
      <c r="D918" s="13" t="s">
        <v>20</v>
      </c>
      <c r="E918" s="14" t="s">
        <v>21</v>
      </c>
      <c r="F918" s="15"/>
      <c r="G918" s="16" t="s">
        <v>20</v>
      </c>
      <c r="H918" s="201" t="s">
        <v>22</v>
      </c>
      <c r="I918" s="202"/>
      <c r="J918" s="203"/>
    </row>
    <row r="919" spans="1:10" ht="13.5" customHeight="1">
      <c r="A919" s="17" t="s">
        <v>23</v>
      </c>
      <c r="B919" s="1"/>
      <c r="C919" s="1"/>
      <c r="D919" s="2">
        <v>18000</v>
      </c>
      <c r="E919" s="17" t="s">
        <v>24</v>
      </c>
      <c r="F919" s="1"/>
      <c r="G919" s="2" t="s">
        <v>25</v>
      </c>
      <c r="H919" s="18" t="s">
        <v>26</v>
      </c>
      <c r="I919" s="23"/>
      <c r="J919" s="24"/>
    </row>
    <row r="920" spans="1:10" ht="13.5" customHeight="1">
      <c r="A920" s="17" t="s">
        <v>57</v>
      </c>
      <c r="B920" s="209" t="s">
        <v>672</v>
      </c>
      <c r="C920" s="209"/>
      <c r="D920" s="2">
        <v>1350</v>
      </c>
      <c r="E920" s="17" t="s">
        <v>420</v>
      </c>
      <c r="F920" s="1"/>
      <c r="G920" s="2" t="s">
        <v>25</v>
      </c>
      <c r="H920" s="18" t="s">
        <v>29</v>
      </c>
      <c r="I920" s="23"/>
      <c r="J920" s="24"/>
    </row>
    <row r="921" spans="1:10" ht="13.5" customHeight="1">
      <c r="A921" s="17" t="s">
        <v>30</v>
      </c>
      <c r="B921" s="1"/>
      <c r="C921" s="1"/>
      <c r="D921" s="2" t="s">
        <v>25</v>
      </c>
      <c r="E921" s="17" t="s">
        <v>141</v>
      </c>
      <c r="F921" s="1"/>
      <c r="G921" s="2" t="s">
        <v>25</v>
      </c>
      <c r="H921" s="18" t="s">
        <v>32</v>
      </c>
      <c r="I921" s="23"/>
      <c r="J921" s="24"/>
    </row>
    <row r="922" spans="1:10" ht="13.5" customHeight="1">
      <c r="A922" s="17" t="s">
        <v>34</v>
      </c>
      <c r="B922" s="1"/>
      <c r="C922" s="1"/>
      <c r="D922" s="2" t="s">
        <v>25</v>
      </c>
      <c r="E922" s="17" t="s">
        <v>71</v>
      </c>
      <c r="F922" s="1"/>
      <c r="G922" s="2">
        <v>2400</v>
      </c>
      <c r="H922" s="42"/>
      <c r="I922" s="36"/>
      <c r="J922" s="19"/>
    </row>
    <row r="923" spans="1:10" ht="13.5" customHeight="1">
      <c r="A923" s="17" t="s">
        <v>78</v>
      </c>
      <c r="B923" s="1"/>
      <c r="C923" s="1"/>
      <c r="D923" s="2" t="s">
        <v>25</v>
      </c>
      <c r="E923" s="17" t="s">
        <v>37</v>
      </c>
      <c r="F923" s="1"/>
      <c r="G923" s="2" t="s">
        <v>25</v>
      </c>
      <c r="H923" s="42"/>
      <c r="I923" s="36"/>
      <c r="J923" s="43"/>
    </row>
    <row r="924" spans="1:10" ht="13.5" customHeight="1">
      <c r="A924" s="17" t="s">
        <v>136</v>
      </c>
      <c r="B924" s="1"/>
      <c r="C924" s="1"/>
      <c r="D924" s="2" t="s">
        <v>25</v>
      </c>
      <c r="E924" s="17" t="s">
        <v>39</v>
      </c>
      <c r="F924" s="1"/>
      <c r="G924" s="2">
        <v>100</v>
      </c>
      <c r="H924" s="42" t="s">
        <v>673</v>
      </c>
      <c r="J924" s="43"/>
    </row>
    <row r="925" spans="1:10" ht="13.5" customHeight="1">
      <c r="A925" s="18" t="s">
        <v>40</v>
      </c>
      <c r="B925" s="6"/>
      <c r="C925" s="6"/>
      <c r="D925" s="2" t="s">
        <v>25</v>
      </c>
      <c r="E925" s="17" t="s">
        <v>62</v>
      </c>
      <c r="F925" s="1"/>
      <c r="G925" s="2" t="s">
        <v>25</v>
      </c>
      <c r="H925" s="42"/>
      <c r="I925" s="36"/>
      <c r="J925" s="43"/>
    </row>
    <row r="926" spans="1:10" ht="13.5" customHeight="1">
      <c r="A926" s="204" t="s">
        <v>63</v>
      </c>
      <c r="B926" s="205"/>
      <c r="C926" s="206"/>
      <c r="D926" s="229">
        <f>SUM(D919:D925)</f>
        <v>19350</v>
      </c>
      <c r="E926" s="1" t="s">
        <v>43</v>
      </c>
      <c r="F926" s="1"/>
      <c r="G926" s="2" t="s">
        <v>25</v>
      </c>
      <c r="H926" s="18"/>
      <c r="I926" s="6"/>
      <c r="J926" s="19"/>
    </row>
    <row r="927" spans="1:10" ht="13.5" customHeight="1">
      <c r="A927" s="207"/>
      <c r="B927" s="197"/>
      <c r="C927" s="208"/>
      <c r="D927" s="230"/>
      <c r="E927" s="21" t="s">
        <v>21</v>
      </c>
      <c r="F927" s="22"/>
      <c r="G927" s="13">
        <f>SUM(G919:G926)</f>
        <v>2500</v>
      </c>
      <c r="H927" s="21" t="s">
        <v>44</v>
      </c>
      <c r="I927" s="22"/>
      <c r="J927" s="13">
        <f>D926-G927</f>
        <v>16850</v>
      </c>
    </row>
    <row r="928" spans="1:10" ht="13.5" customHeight="1">
      <c r="A928" s="3" t="s">
        <v>45</v>
      </c>
      <c r="B928" s="3"/>
      <c r="C928" s="3"/>
      <c r="D928" s="3"/>
      <c r="E928" s="3"/>
      <c r="F928" s="3"/>
      <c r="G928" s="2"/>
      <c r="H928" s="1"/>
      <c r="I928" s="1"/>
      <c r="J928" s="2"/>
    </row>
    <row r="929" spans="1:10" ht="13.5" customHeight="1">
      <c r="A929" s="3"/>
      <c r="B929" s="3"/>
      <c r="C929" s="3"/>
      <c r="D929" s="3"/>
      <c r="E929" s="3"/>
      <c r="F929" s="3"/>
      <c r="G929" s="2"/>
      <c r="H929" s="1"/>
      <c r="I929" s="1"/>
      <c r="J929" s="2"/>
    </row>
    <row r="930" spans="1:10" ht="13.5" customHeight="1">
      <c r="A930" s="3"/>
      <c r="B930" s="3" t="s">
        <v>47</v>
      </c>
      <c r="C930" s="3"/>
      <c r="D930" s="3"/>
      <c r="E930" s="3" t="s">
        <v>48</v>
      </c>
      <c r="F930" s="3"/>
      <c r="G930" s="3"/>
      <c r="H930" s="3" t="s">
        <v>49</v>
      </c>
      <c r="I930" s="3"/>
      <c r="J930" s="2"/>
    </row>
    <row r="931" spans="1:10" ht="13.5" customHeight="1">
      <c r="A931" s="184" t="s">
        <v>0</v>
      </c>
      <c r="B931" s="185"/>
      <c r="C931" s="185"/>
      <c r="D931" s="185"/>
      <c r="E931" s="185"/>
      <c r="F931" s="185"/>
      <c r="G931" s="185"/>
      <c r="H931" s="185"/>
      <c r="I931" s="185"/>
      <c r="J931" s="186"/>
    </row>
    <row r="932" spans="1:10" ht="13.5" customHeight="1">
      <c r="A932" s="187" t="s">
        <v>1</v>
      </c>
      <c r="B932" s="188"/>
      <c r="C932" s="188"/>
      <c r="D932" s="188"/>
      <c r="E932" s="188"/>
      <c r="F932" s="188"/>
      <c r="G932" s="188"/>
      <c r="H932" s="188"/>
      <c r="I932" s="188"/>
      <c r="J932" s="189"/>
    </row>
    <row r="933" spans="1:10" ht="13.5" customHeight="1">
      <c r="A933" s="1" t="s">
        <v>2</v>
      </c>
      <c r="B933" s="1"/>
      <c r="C933" s="209" t="s">
        <v>674</v>
      </c>
      <c r="D933" s="209"/>
      <c r="E933" s="2"/>
      <c r="F933" s="3"/>
      <c r="G933" s="1" t="s">
        <v>4</v>
      </c>
      <c r="H933" s="193" t="s">
        <v>518</v>
      </c>
      <c r="I933" s="193"/>
      <c r="J933" s="193"/>
    </row>
    <row r="934" spans="1:10" ht="13.5" customHeight="1">
      <c r="A934" s="1" t="s">
        <v>6</v>
      </c>
      <c r="B934" s="1"/>
      <c r="C934" s="25" t="s">
        <v>675</v>
      </c>
      <c r="D934" s="25"/>
      <c r="E934" s="2"/>
      <c r="F934" s="3"/>
      <c r="G934" s="1" t="s">
        <v>8</v>
      </c>
      <c r="H934" s="193" t="s">
        <v>9</v>
      </c>
      <c r="I934" s="193"/>
      <c r="J934" s="193"/>
    </row>
    <row r="935" spans="1:10" ht="13.5" customHeight="1">
      <c r="A935" s="6" t="s">
        <v>10</v>
      </c>
      <c r="B935" s="6"/>
      <c r="C935" s="209" t="s">
        <v>676</v>
      </c>
      <c r="D935" s="209"/>
      <c r="E935" s="2"/>
      <c r="F935" s="3"/>
      <c r="G935" s="1" t="s">
        <v>12</v>
      </c>
      <c r="H935" s="195" t="s">
        <v>13</v>
      </c>
      <c r="I935" s="195"/>
      <c r="J935" s="195"/>
    </row>
    <row r="936" spans="1:10" ht="13.5" customHeight="1">
      <c r="A936" s="6" t="s">
        <v>14</v>
      </c>
      <c r="B936" s="6"/>
      <c r="C936" s="2" t="s">
        <v>15</v>
      </c>
      <c r="D936" s="2"/>
      <c r="E936" s="36"/>
      <c r="F936" s="3"/>
      <c r="G936" s="1" t="s">
        <v>16</v>
      </c>
      <c r="H936" s="196" t="s">
        <v>76</v>
      </c>
      <c r="I936" s="196"/>
      <c r="J936" s="196"/>
    </row>
    <row r="937" spans="1:10" ht="13.5" customHeight="1">
      <c r="A937" s="6">
        <v>30</v>
      </c>
      <c r="B937" s="6"/>
      <c r="C937" s="2">
        <f>A937-I937</f>
        <v>0</v>
      </c>
      <c r="D937" s="2"/>
      <c r="E937" s="2"/>
      <c r="F937" s="3"/>
      <c r="G937" s="8" t="s">
        <v>18</v>
      </c>
      <c r="H937" s="8"/>
      <c r="I937" s="9">
        <v>30</v>
      </c>
      <c r="J937" s="9"/>
    </row>
    <row r="938" spans="1:10" ht="13.5" customHeight="1">
      <c r="A938" s="198" t="s">
        <v>19</v>
      </c>
      <c r="B938" s="199"/>
      <c r="C938" s="200"/>
      <c r="D938" s="13" t="s">
        <v>20</v>
      </c>
      <c r="E938" s="14" t="s">
        <v>21</v>
      </c>
      <c r="F938" s="15"/>
      <c r="G938" s="16" t="s">
        <v>20</v>
      </c>
      <c r="H938" s="201"/>
      <c r="I938" s="202"/>
      <c r="J938" s="203"/>
    </row>
    <row r="939" spans="1:10" ht="13.5" customHeight="1">
      <c r="A939" s="17" t="s">
        <v>23</v>
      </c>
      <c r="B939" s="1"/>
      <c r="C939" s="1"/>
      <c r="D939" s="2">
        <v>13300</v>
      </c>
      <c r="E939" s="17" t="s">
        <v>28</v>
      </c>
      <c r="F939" s="1"/>
      <c r="G939" s="2" t="s">
        <v>25</v>
      </c>
      <c r="H939" s="18" t="s">
        <v>26</v>
      </c>
      <c r="I939" s="23"/>
      <c r="J939" s="24"/>
    </row>
    <row r="940" spans="1:10" ht="13.5" customHeight="1">
      <c r="A940" s="17" t="s">
        <v>77</v>
      </c>
      <c r="B940" s="209" t="s">
        <v>677</v>
      </c>
      <c r="C940" s="209"/>
      <c r="D940" s="2">
        <v>6317</v>
      </c>
      <c r="E940" s="17" t="s">
        <v>141</v>
      </c>
      <c r="F940" s="1"/>
      <c r="G940" s="2" t="s">
        <v>25</v>
      </c>
      <c r="H940" s="18" t="s">
        <v>29</v>
      </c>
      <c r="I940" s="23"/>
      <c r="J940" s="24"/>
    </row>
    <row r="941" spans="1:10" ht="13.5" customHeight="1">
      <c r="A941" s="17" t="s">
        <v>30</v>
      </c>
      <c r="B941" s="1"/>
      <c r="C941" s="1"/>
      <c r="D941" s="2" t="s">
        <v>25</v>
      </c>
      <c r="E941" s="17" t="s">
        <v>376</v>
      </c>
      <c r="F941" s="1"/>
      <c r="G941" s="2" t="s">
        <v>25</v>
      </c>
      <c r="H941" s="18" t="s">
        <v>32</v>
      </c>
      <c r="I941" s="23"/>
      <c r="J941" s="24"/>
    </row>
    <row r="942" spans="1:10" ht="13.5" customHeight="1">
      <c r="A942" s="17" t="s">
        <v>345</v>
      </c>
      <c r="B942" s="1"/>
      <c r="C942" s="1"/>
      <c r="D942" s="2" t="s">
        <v>25</v>
      </c>
      <c r="E942" s="17" t="s">
        <v>35</v>
      </c>
      <c r="F942" s="1"/>
      <c r="G942" s="2" t="s">
        <v>25</v>
      </c>
      <c r="H942" s="18"/>
      <c r="I942" s="6"/>
      <c r="J942" s="19"/>
    </row>
    <row r="943" spans="1:10" ht="13.5" customHeight="1">
      <c r="A943" s="17" t="s">
        <v>147</v>
      </c>
      <c r="B943" s="1"/>
      <c r="C943" s="1"/>
      <c r="D943" s="2" t="s">
        <v>25</v>
      </c>
      <c r="E943" s="17" t="s">
        <v>61</v>
      </c>
      <c r="F943" s="1"/>
      <c r="G943" s="2" t="s">
        <v>25</v>
      </c>
      <c r="H943" s="18" t="s">
        <v>225</v>
      </c>
      <c r="I943" s="6"/>
      <c r="J943" s="26"/>
    </row>
    <row r="944" spans="1:10" ht="13.5" customHeight="1">
      <c r="A944" s="17" t="s">
        <v>78</v>
      </c>
      <c r="B944" s="1"/>
      <c r="C944" s="1"/>
      <c r="D944" s="2" t="s">
        <v>25</v>
      </c>
      <c r="E944" s="17" t="s">
        <v>39</v>
      </c>
      <c r="F944" s="1"/>
      <c r="G944" s="2">
        <v>100</v>
      </c>
      <c r="H944" s="18"/>
      <c r="I944" s="6"/>
      <c r="J944" s="26"/>
    </row>
    <row r="945" spans="1:10" ht="13.5" customHeight="1">
      <c r="A945" s="18" t="s">
        <v>40</v>
      </c>
      <c r="B945" s="6"/>
      <c r="C945" s="6"/>
      <c r="D945" s="2" t="s">
        <v>25</v>
      </c>
      <c r="E945" s="17" t="s">
        <v>333</v>
      </c>
      <c r="F945" s="1"/>
      <c r="G945" s="2" t="s">
        <v>25</v>
      </c>
      <c r="H945" s="18"/>
      <c r="I945" s="6"/>
      <c r="J945" s="19"/>
    </row>
    <row r="946" spans="1:10" ht="13.5" customHeight="1">
      <c r="A946" s="204" t="s">
        <v>63</v>
      </c>
      <c r="B946" s="205"/>
      <c r="C946" s="206"/>
      <c r="D946" s="229">
        <f>SUM(D939:D945)</f>
        <v>19617</v>
      </c>
      <c r="E946" s="1" t="s">
        <v>78</v>
      </c>
      <c r="F946" s="1"/>
      <c r="G946" s="2" t="s">
        <v>25</v>
      </c>
      <c r="H946" s="18"/>
      <c r="I946" s="6"/>
      <c r="J946" s="19"/>
    </row>
    <row r="947" spans="1:10" ht="13.5" customHeight="1">
      <c r="A947" s="207"/>
      <c r="B947" s="197"/>
      <c r="C947" s="208"/>
      <c r="D947" s="230"/>
      <c r="E947" s="21" t="s">
        <v>21</v>
      </c>
      <c r="F947" s="22"/>
      <c r="G947" s="13">
        <f>SUM(G939:G946)</f>
        <v>100</v>
      </c>
      <c r="H947" s="21" t="s">
        <v>44</v>
      </c>
      <c r="I947" s="22"/>
      <c r="J947" s="13">
        <f>D946-G947</f>
        <v>19517</v>
      </c>
    </row>
    <row r="948" spans="1:10" ht="13.5" customHeight="1">
      <c r="A948" s="3" t="s">
        <v>45</v>
      </c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3.5" customHeight="1"/>
    <row r="950" spans="1:10" ht="13.5" customHeight="1">
      <c r="B950" s="3" t="s">
        <v>47</v>
      </c>
      <c r="C950" s="3"/>
      <c r="D950" s="3"/>
      <c r="E950" s="3" t="s">
        <v>48</v>
      </c>
      <c r="F950" s="3"/>
      <c r="G950" s="3"/>
      <c r="H950" s="3" t="s">
        <v>49</v>
      </c>
      <c r="I950" s="3"/>
      <c r="J950" s="3"/>
    </row>
    <row r="951" spans="1:10" ht="13.5" customHeight="1">
      <c r="A951" s="184" t="s">
        <v>0</v>
      </c>
      <c r="B951" s="185"/>
      <c r="C951" s="185"/>
      <c r="D951" s="185"/>
      <c r="E951" s="185"/>
      <c r="F951" s="185"/>
      <c r="G951" s="185"/>
      <c r="H951" s="185"/>
      <c r="I951" s="185"/>
      <c r="J951" s="186"/>
    </row>
    <row r="952" spans="1:10" ht="13.5" customHeight="1">
      <c r="A952" s="187" t="s">
        <v>1</v>
      </c>
      <c r="B952" s="188"/>
      <c r="C952" s="188"/>
      <c r="D952" s="188"/>
      <c r="E952" s="188"/>
      <c r="F952" s="188"/>
      <c r="G952" s="188"/>
      <c r="H952" s="188"/>
      <c r="I952" s="188"/>
      <c r="J952" s="189"/>
    </row>
    <row r="953" spans="1:10" ht="13.5" customHeight="1">
      <c r="A953" s="1" t="s">
        <v>2</v>
      </c>
      <c r="B953" s="1"/>
      <c r="C953" s="209" t="s">
        <v>674</v>
      </c>
      <c r="D953" s="209"/>
      <c r="E953" s="2"/>
      <c r="F953" s="3"/>
      <c r="G953" s="1" t="s">
        <v>4</v>
      </c>
      <c r="H953" s="193" t="s">
        <v>518</v>
      </c>
      <c r="I953" s="193"/>
      <c r="J953" s="193"/>
    </row>
    <row r="954" spans="1:10" ht="13.5" customHeight="1">
      <c r="A954" s="1" t="s">
        <v>6</v>
      </c>
      <c r="B954" s="1"/>
      <c r="C954" s="25" t="s">
        <v>678</v>
      </c>
      <c r="D954" s="25"/>
      <c r="E954" s="2"/>
      <c r="F954" s="3"/>
      <c r="G954" s="1" t="s">
        <v>8</v>
      </c>
      <c r="H954" s="193" t="s">
        <v>9</v>
      </c>
      <c r="I954" s="193"/>
      <c r="J954" s="193"/>
    </row>
    <row r="955" spans="1:10" ht="13.5" customHeight="1">
      <c r="A955" s="6" t="s">
        <v>10</v>
      </c>
      <c r="B955" s="6"/>
      <c r="C955" s="209" t="s">
        <v>676</v>
      </c>
      <c r="D955" s="209"/>
      <c r="E955" s="2"/>
      <c r="F955" s="3"/>
      <c r="G955" s="1" t="s">
        <v>12</v>
      </c>
      <c r="H955" s="195" t="s">
        <v>13</v>
      </c>
      <c r="I955" s="195"/>
      <c r="J955" s="195"/>
    </row>
    <row r="956" spans="1:10" ht="13.5" customHeight="1">
      <c r="A956" s="6" t="s">
        <v>14</v>
      </c>
      <c r="B956" s="6"/>
      <c r="C956" s="2" t="s">
        <v>15</v>
      </c>
      <c r="D956" s="2"/>
      <c r="E956" s="36"/>
      <c r="F956" s="3"/>
      <c r="G956" s="1" t="s">
        <v>16</v>
      </c>
      <c r="H956" s="196" t="s">
        <v>679</v>
      </c>
      <c r="I956" s="196"/>
      <c r="J956" s="196"/>
    </row>
    <row r="957" spans="1:10" ht="13.5" customHeight="1">
      <c r="A957" s="6">
        <v>30</v>
      </c>
      <c r="B957" s="6"/>
      <c r="C957" s="2">
        <f>A957-I957</f>
        <v>12</v>
      </c>
      <c r="D957" s="2"/>
      <c r="E957" s="2"/>
      <c r="F957" s="3"/>
      <c r="G957" s="8" t="s">
        <v>18</v>
      </c>
      <c r="H957" s="8"/>
      <c r="I957" s="9">
        <v>18</v>
      </c>
      <c r="J957" s="9"/>
    </row>
    <row r="958" spans="1:10" ht="13.5" customHeight="1">
      <c r="A958" s="198" t="s">
        <v>19</v>
      </c>
      <c r="B958" s="199"/>
      <c r="C958" s="200"/>
      <c r="D958" s="13" t="s">
        <v>20</v>
      </c>
      <c r="E958" s="14" t="s">
        <v>21</v>
      </c>
      <c r="F958" s="15"/>
      <c r="G958" s="16" t="s">
        <v>20</v>
      </c>
      <c r="H958" s="201"/>
      <c r="I958" s="202"/>
      <c r="J958" s="203"/>
    </row>
    <row r="959" spans="1:10" ht="13.5" customHeight="1">
      <c r="A959" s="17" t="s">
        <v>23</v>
      </c>
      <c r="B959" s="1"/>
      <c r="C959" s="1"/>
      <c r="D959" s="2">
        <v>12000</v>
      </c>
      <c r="E959" s="17" t="s">
        <v>28</v>
      </c>
      <c r="F959" s="1"/>
      <c r="G959" s="2" t="s">
        <v>25</v>
      </c>
      <c r="H959" s="18" t="s">
        <v>26</v>
      </c>
      <c r="I959" s="23"/>
      <c r="J959" s="24"/>
    </row>
    <row r="960" spans="1:10" ht="13.5" customHeight="1">
      <c r="A960" s="17" t="s">
        <v>77</v>
      </c>
      <c r="B960" s="209"/>
      <c r="C960" s="209"/>
      <c r="D960" s="2" t="s">
        <v>25</v>
      </c>
      <c r="E960" s="17" t="s">
        <v>141</v>
      </c>
      <c r="F960" s="1"/>
      <c r="G960" s="2" t="s">
        <v>25</v>
      </c>
      <c r="H960" s="18" t="s">
        <v>29</v>
      </c>
      <c r="I960" s="23"/>
      <c r="J960" s="24"/>
    </row>
    <row r="961" spans="1:10" ht="13.5" customHeight="1">
      <c r="A961" s="17" t="s">
        <v>30</v>
      </c>
      <c r="B961" s="1"/>
      <c r="C961" s="1"/>
      <c r="D961" s="2">
        <v>900</v>
      </c>
      <c r="E961" s="17" t="s">
        <v>376</v>
      </c>
      <c r="F961" s="1"/>
      <c r="G961" s="2" t="s">
        <v>25</v>
      </c>
      <c r="H961" s="18" t="s">
        <v>32</v>
      </c>
      <c r="I961" s="23"/>
      <c r="J961" s="24"/>
    </row>
    <row r="962" spans="1:10" ht="13.5" customHeight="1">
      <c r="A962" s="17" t="s">
        <v>345</v>
      </c>
      <c r="B962" s="1"/>
      <c r="C962" s="1"/>
      <c r="D962" s="2" t="s">
        <v>25</v>
      </c>
      <c r="E962" s="17" t="s">
        <v>35</v>
      </c>
      <c r="F962" s="1"/>
      <c r="G962" s="2">
        <v>4800</v>
      </c>
      <c r="H962" s="18"/>
      <c r="I962" s="6"/>
      <c r="J962" s="19"/>
    </row>
    <row r="963" spans="1:10" ht="13.5" customHeight="1">
      <c r="A963" s="17" t="s">
        <v>147</v>
      </c>
      <c r="B963" s="1"/>
      <c r="C963" s="1"/>
      <c r="D963" s="2" t="s">
        <v>25</v>
      </c>
      <c r="E963" s="17" t="s">
        <v>61</v>
      </c>
      <c r="F963" s="1"/>
      <c r="G963" s="2" t="s">
        <v>25</v>
      </c>
      <c r="H963" s="18"/>
      <c r="I963" s="6"/>
      <c r="J963" s="26"/>
    </row>
    <row r="964" spans="1:10" ht="13.5" customHeight="1">
      <c r="A964" s="17" t="s">
        <v>78</v>
      </c>
      <c r="B964" s="1"/>
      <c r="C964" s="1"/>
      <c r="D964" s="2" t="s">
        <v>25</v>
      </c>
      <c r="E964" s="17" t="s">
        <v>39</v>
      </c>
      <c r="F964" s="1"/>
      <c r="G964" s="2">
        <v>100</v>
      </c>
      <c r="H964" s="18"/>
      <c r="I964" s="6"/>
      <c r="J964" s="26"/>
    </row>
    <row r="965" spans="1:10" ht="13.5" customHeight="1">
      <c r="A965" s="18" t="s">
        <v>40</v>
      </c>
      <c r="B965" s="6"/>
      <c r="C965" s="6"/>
      <c r="D965" s="2" t="s">
        <v>25</v>
      </c>
      <c r="E965" s="17" t="s">
        <v>333</v>
      </c>
      <c r="F965" s="1"/>
      <c r="G965" s="2" t="s">
        <v>25</v>
      </c>
      <c r="H965" s="18"/>
      <c r="I965" s="6"/>
      <c r="J965" s="19"/>
    </row>
    <row r="966" spans="1:10" ht="13.5" customHeight="1">
      <c r="A966" s="204" t="s">
        <v>63</v>
      </c>
      <c r="B966" s="205"/>
      <c r="C966" s="206"/>
      <c r="D966" s="229">
        <f>SUM(D959:D965)</f>
        <v>12900</v>
      </c>
      <c r="E966" s="1" t="s">
        <v>78</v>
      </c>
      <c r="F966" s="1"/>
      <c r="G966" s="2" t="s">
        <v>25</v>
      </c>
      <c r="H966" s="18"/>
      <c r="I966" s="6"/>
      <c r="J966" s="19"/>
    </row>
    <row r="967" spans="1:10" ht="13.5" customHeight="1">
      <c r="A967" s="207"/>
      <c r="B967" s="197"/>
      <c r="C967" s="208"/>
      <c r="D967" s="230"/>
      <c r="E967" s="21" t="s">
        <v>21</v>
      </c>
      <c r="F967" s="22"/>
      <c r="G967" s="13">
        <f>SUM(G959:G966)</f>
        <v>4900</v>
      </c>
      <c r="H967" s="21" t="s">
        <v>44</v>
      </c>
      <c r="I967" s="22"/>
      <c r="J967" s="13">
        <f>D966-G967</f>
        <v>8000</v>
      </c>
    </row>
    <row r="968" spans="1:10" ht="13.5" customHeight="1">
      <c r="A968" s="3" t="s">
        <v>45</v>
      </c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3.5" customHeight="1"/>
    <row r="970" spans="1:10" ht="13.5" customHeight="1">
      <c r="B970" s="3" t="s">
        <v>47</v>
      </c>
      <c r="C970" s="3"/>
      <c r="D970" s="3"/>
      <c r="E970" s="3" t="s">
        <v>48</v>
      </c>
      <c r="F970" s="3"/>
      <c r="G970" s="3"/>
      <c r="H970" s="3" t="s">
        <v>49</v>
      </c>
      <c r="I970" s="3"/>
      <c r="J970" s="3"/>
    </row>
    <row r="971" spans="1:10" ht="13.5" customHeight="1">
      <c r="A971" s="184" t="s">
        <v>0</v>
      </c>
      <c r="B971" s="185"/>
      <c r="C971" s="185"/>
      <c r="D971" s="185"/>
      <c r="E971" s="185"/>
      <c r="F971" s="185"/>
      <c r="G971" s="185"/>
      <c r="H971" s="185"/>
      <c r="I971" s="185"/>
      <c r="J971" s="186"/>
    </row>
    <row r="972" spans="1:10" ht="13.5" customHeight="1">
      <c r="A972" s="187" t="s">
        <v>1</v>
      </c>
      <c r="B972" s="188"/>
      <c r="C972" s="188"/>
      <c r="D972" s="188"/>
      <c r="E972" s="188"/>
      <c r="F972" s="188"/>
      <c r="G972" s="188"/>
      <c r="H972" s="188"/>
      <c r="I972" s="188"/>
      <c r="J972" s="189"/>
    </row>
    <row r="973" spans="1:10" ht="13.5" customHeight="1">
      <c r="A973" s="1" t="s">
        <v>2</v>
      </c>
      <c r="B973" s="1"/>
      <c r="C973" s="209" t="s">
        <v>674</v>
      </c>
      <c r="D973" s="209"/>
      <c r="E973" s="2"/>
      <c r="F973" s="3"/>
      <c r="G973" s="1" t="s">
        <v>4</v>
      </c>
      <c r="H973" s="193" t="s">
        <v>518</v>
      </c>
      <c r="I973" s="193"/>
      <c r="J973" s="193"/>
    </row>
    <row r="974" spans="1:10" ht="13.5" customHeight="1">
      <c r="A974" s="1" t="s">
        <v>6</v>
      </c>
      <c r="B974" s="1"/>
      <c r="C974" s="25" t="s">
        <v>552</v>
      </c>
      <c r="D974" s="25"/>
      <c r="E974" s="2"/>
      <c r="F974" s="3"/>
      <c r="G974" s="1" t="s">
        <v>8</v>
      </c>
      <c r="H974" s="193" t="s">
        <v>9</v>
      </c>
      <c r="I974" s="193"/>
      <c r="J974" s="193"/>
    </row>
    <row r="975" spans="1:10" ht="13.5" customHeight="1">
      <c r="A975" s="6" t="s">
        <v>10</v>
      </c>
      <c r="B975" s="6"/>
      <c r="C975" s="209" t="s">
        <v>571</v>
      </c>
      <c r="D975" s="209"/>
      <c r="E975" s="2"/>
      <c r="F975" s="3"/>
      <c r="G975" s="1" t="s">
        <v>12</v>
      </c>
      <c r="H975" s="195" t="s">
        <v>13</v>
      </c>
      <c r="I975" s="195"/>
      <c r="J975" s="195"/>
    </row>
    <row r="976" spans="1:10" ht="13.5" customHeight="1">
      <c r="A976" s="6" t="s">
        <v>14</v>
      </c>
      <c r="B976" s="6"/>
      <c r="C976" s="2" t="s">
        <v>15</v>
      </c>
      <c r="D976" s="2"/>
      <c r="E976" s="36"/>
      <c r="F976" s="3"/>
      <c r="G976" s="1" t="s">
        <v>16</v>
      </c>
      <c r="H976" s="196" t="s">
        <v>55</v>
      </c>
      <c r="I976" s="196"/>
      <c r="J976" s="196"/>
    </row>
    <row r="977" spans="1:10" ht="13.5" customHeight="1">
      <c r="A977" s="6">
        <v>30</v>
      </c>
      <c r="B977" s="6"/>
      <c r="C977" s="2">
        <f>A977-I977</f>
        <v>0</v>
      </c>
      <c r="D977" s="2"/>
      <c r="E977" s="2"/>
      <c r="F977" s="3"/>
      <c r="G977" s="8" t="s">
        <v>18</v>
      </c>
      <c r="H977" s="8"/>
      <c r="I977" s="9">
        <v>30</v>
      </c>
      <c r="J977" s="9"/>
    </row>
    <row r="978" spans="1:10" ht="13.5" customHeight="1">
      <c r="A978" s="198" t="s">
        <v>19</v>
      </c>
      <c r="B978" s="199"/>
      <c r="C978" s="200"/>
      <c r="D978" s="13" t="s">
        <v>20</v>
      </c>
      <c r="E978" s="14" t="s">
        <v>21</v>
      </c>
      <c r="F978" s="15"/>
      <c r="G978" s="16" t="s">
        <v>20</v>
      </c>
      <c r="H978" s="201"/>
      <c r="I978" s="202"/>
      <c r="J978" s="203"/>
    </row>
    <row r="979" spans="1:10" ht="13.5" customHeight="1">
      <c r="A979" s="17" t="s">
        <v>23</v>
      </c>
      <c r="B979" s="1"/>
      <c r="C979" s="1"/>
      <c r="D979" s="2">
        <v>20000</v>
      </c>
      <c r="E979" s="17" t="s">
        <v>28</v>
      </c>
      <c r="F979" s="1"/>
      <c r="G979" s="2" t="s">
        <v>25</v>
      </c>
      <c r="H979" s="18" t="s">
        <v>26</v>
      </c>
      <c r="I979" s="23"/>
      <c r="J979" s="24"/>
    </row>
    <row r="980" spans="1:10" ht="13.5" customHeight="1">
      <c r="A980" s="17" t="s">
        <v>77</v>
      </c>
      <c r="B980" s="209"/>
      <c r="C980" s="209"/>
      <c r="D980" s="2" t="s">
        <v>25</v>
      </c>
      <c r="E980" s="17" t="s">
        <v>141</v>
      </c>
      <c r="F980" s="1"/>
      <c r="G980" s="2" t="s">
        <v>25</v>
      </c>
      <c r="H980" s="18" t="s">
        <v>29</v>
      </c>
      <c r="I980" s="23"/>
      <c r="J980" s="24"/>
    </row>
    <row r="981" spans="1:10" ht="13.5" customHeight="1">
      <c r="A981" s="17" t="s">
        <v>30</v>
      </c>
      <c r="B981" s="1"/>
      <c r="C981" s="1"/>
      <c r="D981" s="2">
        <v>600</v>
      </c>
      <c r="E981" s="17" t="s">
        <v>376</v>
      </c>
      <c r="F981" s="1"/>
      <c r="G981" s="2" t="s">
        <v>25</v>
      </c>
      <c r="H981" s="18" t="s">
        <v>32</v>
      </c>
      <c r="I981" s="23"/>
      <c r="J981" s="24"/>
    </row>
    <row r="982" spans="1:10" ht="13.5" customHeight="1">
      <c r="A982" s="17" t="s">
        <v>345</v>
      </c>
      <c r="B982" s="1"/>
      <c r="C982" s="1"/>
      <c r="D982" s="2" t="s">
        <v>25</v>
      </c>
      <c r="E982" s="17" t="s">
        <v>35</v>
      </c>
      <c r="F982" s="1"/>
      <c r="G982" s="2" t="s">
        <v>25</v>
      </c>
      <c r="H982" s="18"/>
      <c r="I982" s="6"/>
      <c r="J982" s="19"/>
    </row>
    <row r="983" spans="1:10" ht="13.5" customHeight="1">
      <c r="A983" s="17" t="s">
        <v>147</v>
      </c>
      <c r="B983" s="1"/>
      <c r="C983" s="1"/>
      <c r="D983" s="2" t="s">
        <v>25</v>
      </c>
      <c r="E983" s="17" t="s">
        <v>61</v>
      </c>
      <c r="F983" s="1"/>
      <c r="G983" s="2" t="s">
        <v>25</v>
      </c>
      <c r="H983" s="18"/>
      <c r="I983" s="6"/>
      <c r="J983" s="26"/>
    </row>
    <row r="984" spans="1:10" ht="13.5" customHeight="1">
      <c r="A984" s="17" t="s">
        <v>78</v>
      </c>
      <c r="B984" s="1"/>
      <c r="C984" s="1"/>
      <c r="D984" s="2" t="s">
        <v>25</v>
      </c>
      <c r="E984" s="17" t="s">
        <v>39</v>
      </c>
      <c r="F984" s="1"/>
      <c r="G984" s="2">
        <v>100</v>
      </c>
      <c r="H984" s="18"/>
      <c r="I984" s="6"/>
      <c r="J984" s="26"/>
    </row>
    <row r="985" spans="1:10" ht="13.5" customHeight="1">
      <c r="A985" s="18" t="s">
        <v>40</v>
      </c>
      <c r="B985" s="6"/>
      <c r="C985" s="6"/>
      <c r="D985" s="2" t="s">
        <v>25</v>
      </c>
      <c r="E985" s="17" t="s">
        <v>333</v>
      </c>
      <c r="F985" s="1"/>
      <c r="G985" s="2" t="s">
        <v>25</v>
      </c>
      <c r="H985" s="18"/>
      <c r="I985" s="6"/>
      <c r="J985" s="19"/>
    </row>
    <row r="986" spans="1:10" ht="13.5" customHeight="1">
      <c r="A986" s="204" t="s">
        <v>63</v>
      </c>
      <c r="B986" s="205"/>
      <c r="C986" s="206"/>
      <c r="D986" s="229">
        <f>SUM(D979:D985)</f>
        <v>20600</v>
      </c>
      <c r="E986" s="1" t="s">
        <v>78</v>
      </c>
      <c r="F986" s="1"/>
      <c r="G986" s="2" t="s">
        <v>25</v>
      </c>
      <c r="H986" s="18"/>
      <c r="I986" s="6"/>
      <c r="J986" s="19"/>
    </row>
    <row r="987" spans="1:10" ht="13.5" customHeight="1">
      <c r="A987" s="207"/>
      <c r="B987" s="197"/>
      <c r="C987" s="208"/>
      <c r="D987" s="230"/>
      <c r="E987" s="21" t="s">
        <v>21</v>
      </c>
      <c r="F987" s="22"/>
      <c r="G987" s="13">
        <f>SUM(G979:G986)</f>
        <v>100</v>
      </c>
      <c r="H987" s="21" t="s">
        <v>44</v>
      </c>
      <c r="I987" s="22"/>
      <c r="J987" s="13">
        <f>D986-G987</f>
        <v>20500</v>
      </c>
    </row>
    <row r="988" spans="1:10" ht="13.5" customHeight="1">
      <c r="A988" s="3" t="s">
        <v>45</v>
      </c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3.5" customHeight="1"/>
    <row r="990" spans="1:10" ht="13.5" customHeight="1">
      <c r="B990" s="3" t="s">
        <v>47</v>
      </c>
      <c r="C990" s="3"/>
      <c r="D990" s="3"/>
      <c r="E990" s="3" t="s">
        <v>48</v>
      </c>
      <c r="F990" s="3"/>
      <c r="G990" s="3"/>
      <c r="H990" s="3" t="s">
        <v>49</v>
      </c>
      <c r="I990" s="3"/>
      <c r="J990" s="3"/>
    </row>
    <row r="991" spans="1:10" ht="13.5" customHeight="1">
      <c r="A991" s="184" t="s">
        <v>0</v>
      </c>
      <c r="B991" s="185"/>
      <c r="C991" s="185"/>
      <c r="D991" s="185"/>
      <c r="E991" s="185"/>
      <c r="F991" s="185"/>
      <c r="G991" s="185"/>
      <c r="H991" s="185"/>
      <c r="I991" s="185"/>
      <c r="J991" s="186"/>
    </row>
    <row r="992" spans="1:10" ht="13.5" customHeight="1">
      <c r="A992" s="187" t="s">
        <v>1</v>
      </c>
      <c r="B992" s="188"/>
      <c r="C992" s="188"/>
      <c r="D992" s="188"/>
      <c r="E992" s="188"/>
      <c r="F992" s="188"/>
      <c r="G992" s="188"/>
      <c r="H992" s="188"/>
      <c r="I992" s="188"/>
      <c r="J992" s="189"/>
    </row>
    <row r="993" spans="1:10" ht="13.5" customHeight="1">
      <c r="A993" s="1" t="s">
        <v>2</v>
      </c>
      <c r="B993" s="1"/>
      <c r="C993" s="209" t="s">
        <v>680</v>
      </c>
      <c r="D993" s="209"/>
      <c r="E993" s="2"/>
      <c r="F993" s="3"/>
      <c r="G993" s="1" t="s">
        <v>4</v>
      </c>
      <c r="H993" s="193" t="s">
        <v>518</v>
      </c>
      <c r="I993" s="193"/>
      <c r="J993" s="193"/>
    </row>
    <row r="994" spans="1:10" ht="13.5" customHeight="1">
      <c r="A994" s="1" t="s">
        <v>6</v>
      </c>
      <c r="B994" s="1"/>
      <c r="C994" s="196" t="s">
        <v>681</v>
      </c>
      <c r="D994" s="196"/>
      <c r="E994" s="2"/>
      <c r="F994" s="3"/>
      <c r="G994" s="1" t="s">
        <v>8</v>
      </c>
      <c r="H994" s="193" t="s">
        <v>9</v>
      </c>
      <c r="I994" s="193"/>
      <c r="J994" s="193"/>
    </row>
    <row r="995" spans="1:10" ht="13.5" customHeight="1">
      <c r="A995" s="6" t="s">
        <v>10</v>
      </c>
      <c r="B995" s="6"/>
      <c r="C995" s="209" t="s">
        <v>571</v>
      </c>
      <c r="D995" s="209"/>
      <c r="E995" s="2"/>
      <c r="F995" s="3"/>
      <c r="G995" s="1" t="s">
        <v>12</v>
      </c>
      <c r="H995" s="195" t="s">
        <v>13</v>
      </c>
      <c r="I995" s="195"/>
      <c r="J995" s="195"/>
    </row>
    <row r="996" spans="1:10" ht="13.5" customHeight="1">
      <c r="A996" s="6" t="s">
        <v>14</v>
      </c>
      <c r="B996" s="6"/>
      <c r="C996" s="2" t="s">
        <v>15</v>
      </c>
      <c r="D996" s="2"/>
      <c r="E996" s="36"/>
      <c r="F996" s="3"/>
      <c r="G996" s="1" t="s">
        <v>16</v>
      </c>
      <c r="H996" s="196" t="s">
        <v>55</v>
      </c>
      <c r="I996" s="196"/>
      <c r="J996" s="196"/>
    </row>
    <row r="997" spans="1:10" ht="13.5" customHeight="1">
      <c r="A997" s="6">
        <v>30</v>
      </c>
      <c r="B997" s="6"/>
      <c r="C997" s="2">
        <f>A997-I997</f>
        <v>0</v>
      </c>
      <c r="D997" s="2"/>
      <c r="E997" s="2"/>
      <c r="F997" s="3"/>
      <c r="G997" s="8" t="s">
        <v>18</v>
      </c>
      <c r="H997" s="8"/>
      <c r="I997" s="9">
        <v>30</v>
      </c>
      <c r="J997" s="9"/>
    </row>
    <row r="998" spans="1:10" ht="13.5" customHeight="1">
      <c r="A998" s="198" t="s">
        <v>19</v>
      </c>
      <c r="B998" s="199"/>
      <c r="C998" s="200"/>
      <c r="D998" s="13" t="s">
        <v>20</v>
      </c>
      <c r="E998" s="14" t="s">
        <v>21</v>
      </c>
      <c r="F998" s="15"/>
      <c r="G998" s="16" t="s">
        <v>20</v>
      </c>
      <c r="H998" s="201"/>
      <c r="I998" s="202"/>
      <c r="J998" s="203"/>
    </row>
    <row r="999" spans="1:10" ht="13.5" customHeight="1">
      <c r="A999" s="17" t="s">
        <v>23</v>
      </c>
      <c r="B999" s="1"/>
      <c r="C999" s="1"/>
      <c r="D999" s="2">
        <v>20000</v>
      </c>
      <c r="E999" s="17" t="s">
        <v>24</v>
      </c>
      <c r="F999" s="1"/>
      <c r="G999" s="2" t="s">
        <v>25</v>
      </c>
      <c r="H999" s="18" t="s">
        <v>26</v>
      </c>
      <c r="I999" s="23"/>
      <c r="J999" s="24"/>
    </row>
    <row r="1000" spans="1:10" ht="13.5" customHeight="1">
      <c r="A1000" s="17" t="s">
        <v>77</v>
      </c>
      <c r="B1000" s="209" t="s">
        <v>120</v>
      </c>
      <c r="C1000" s="209"/>
      <c r="D1000" s="2">
        <v>667</v>
      </c>
      <c r="E1000" s="17" t="s">
        <v>141</v>
      </c>
      <c r="F1000" s="1"/>
      <c r="G1000" s="2" t="s">
        <v>25</v>
      </c>
      <c r="H1000" s="18" t="s">
        <v>29</v>
      </c>
      <c r="I1000" s="23"/>
      <c r="J1000" s="24"/>
    </row>
    <row r="1001" spans="1:10" ht="13.5" customHeight="1">
      <c r="A1001" s="17" t="s">
        <v>30</v>
      </c>
      <c r="B1001" s="1"/>
      <c r="C1001" s="1"/>
      <c r="D1001" s="2">
        <v>933</v>
      </c>
      <c r="E1001" s="17" t="s">
        <v>58</v>
      </c>
      <c r="F1001" s="1"/>
      <c r="G1001" s="2" t="s">
        <v>25</v>
      </c>
      <c r="H1001" s="18" t="s">
        <v>32</v>
      </c>
      <c r="I1001" s="23"/>
      <c r="J1001" s="24"/>
    </row>
    <row r="1002" spans="1:10" ht="13.5" customHeight="1">
      <c r="A1002" s="17" t="s">
        <v>147</v>
      </c>
      <c r="B1002" s="1"/>
      <c r="C1002" s="1"/>
      <c r="D1002" s="2" t="s">
        <v>25</v>
      </c>
      <c r="E1002" s="17" t="s">
        <v>35</v>
      </c>
      <c r="F1002" s="1"/>
      <c r="G1002" s="2" t="s">
        <v>25</v>
      </c>
      <c r="H1002" s="18"/>
      <c r="I1002" s="6"/>
      <c r="J1002" s="19"/>
    </row>
    <row r="1003" spans="1:10" ht="13.5" customHeight="1">
      <c r="A1003" s="17" t="s">
        <v>72</v>
      </c>
      <c r="B1003" s="1"/>
      <c r="C1003" s="1"/>
      <c r="D1003" s="2" t="s">
        <v>25</v>
      </c>
      <c r="E1003" s="17" t="s">
        <v>37</v>
      </c>
      <c r="F1003" s="1"/>
      <c r="G1003" s="2" t="s">
        <v>25</v>
      </c>
      <c r="H1003" s="18" t="s">
        <v>682</v>
      </c>
      <c r="I1003" s="6"/>
      <c r="J1003" s="26"/>
    </row>
    <row r="1004" spans="1:10" ht="13.5" customHeight="1">
      <c r="A1004" s="17" t="s">
        <v>78</v>
      </c>
      <c r="B1004" s="1"/>
      <c r="C1004" s="1"/>
      <c r="D1004" s="2" t="s">
        <v>25</v>
      </c>
      <c r="E1004" s="17" t="s">
        <v>39</v>
      </c>
      <c r="F1004" s="1"/>
      <c r="G1004" s="2">
        <v>100</v>
      </c>
      <c r="H1004" s="18"/>
      <c r="I1004" s="6"/>
      <c r="J1004" s="26"/>
    </row>
    <row r="1005" spans="1:10" ht="13.5" customHeight="1">
      <c r="A1005" s="18" t="s">
        <v>40</v>
      </c>
      <c r="B1005" s="6"/>
      <c r="C1005" s="6"/>
      <c r="D1005" s="2" t="s">
        <v>25</v>
      </c>
      <c r="E1005" s="17" t="s">
        <v>62</v>
      </c>
      <c r="F1005" s="2"/>
      <c r="G1005" s="2" t="s">
        <v>25</v>
      </c>
      <c r="H1005" s="18"/>
      <c r="I1005" s="6"/>
      <c r="J1005" s="19"/>
    </row>
    <row r="1006" spans="1:10" ht="13.5" customHeight="1">
      <c r="A1006" s="204" t="s">
        <v>63</v>
      </c>
      <c r="B1006" s="205"/>
      <c r="C1006" s="206"/>
      <c r="D1006" s="229">
        <f>SUM(D999:D1005)</f>
        <v>21600</v>
      </c>
      <c r="E1006" s="1" t="s">
        <v>78</v>
      </c>
      <c r="F1006" s="1"/>
      <c r="G1006" s="2" t="s">
        <v>25</v>
      </c>
      <c r="H1006" s="18"/>
      <c r="I1006" s="6"/>
      <c r="J1006" s="19"/>
    </row>
    <row r="1007" spans="1:10" ht="13.5" customHeight="1">
      <c r="A1007" s="207"/>
      <c r="B1007" s="197"/>
      <c r="C1007" s="208"/>
      <c r="D1007" s="230"/>
      <c r="E1007" s="21" t="s">
        <v>21</v>
      </c>
      <c r="F1007" s="22"/>
      <c r="G1007" s="13">
        <f>SUM(G999:G1006)</f>
        <v>100</v>
      </c>
      <c r="H1007" s="21" t="s">
        <v>44</v>
      </c>
      <c r="I1007" s="22"/>
      <c r="J1007" s="13">
        <f>D1006-G1007</f>
        <v>21500</v>
      </c>
    </row>
    <row r="1008" spans="1:10" ht="13.5" customHeight="1">
      <c r="A1008" s="3" t="s">
        <v>45</v>
      </c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ht="13.5" customHeight="1"/>
    <row r="1010" spans="1:10" ht="13.5" customHeight="1">
      <c r="B1010" s="3" t="s">
        <v>47</v>
      </c>
      <c r="C1010" s="3"/>
      <c r="D1010" s="3"/>
      <c r="E1010" s="3" t="s">
        <v>48</v>
      </c>
      <c r="F1010" s="3"/>
      <c r="G1010" s="3"/>
      <c r="H1010" s="3" t="s">
        <v>49</v>
      </c>
      <c r="I1010" s="3"/>
      <c r="J1010" s="3"/>
    </row>
    <row r="1011" spans="1:10" ht="13.5" customHeight="1">
      <c r="A1011" s="184" t="s">
        <v>0</v>
      </c>
      <c r="B1011" s="185"/>
      <c r="C1011" s="185"/>
      <c r="D1011" s="185"/>
      <c r="E1011" s="185"/>
      <c r="F1011" s="185"/>
      <c r="G1011" s="185"/>
      <c r="H1011" s="185"/>
      <c r="I1011" s="185"/>
      <c r="J1011" s="186"/>
    </row>
    <row r="1012" spans="1:10" ht="13.5" customHeight="1">
      <c r="A1012" s="187" t="s">
        <v>1</v>
      </c>
      <c r="B1012" s="188"/>
      <c r="C1012" s="188"/>
      <c r="D1012" s="188"/>
      <c r="E1012" s="188"/>
      <c r="F1012" s="188"/>
      <c r="G1012" s="188"/>
      <c r="H1012" s="188"/>
      <c r="I1012" s="188"/>
      <c r="J1012" s="189"/>
    </row>
    <row r="1013" spans="1:10" ht="13.5" customHeight="1">
      <c r="A1013" s="1" t="s">
        <v>2</v>
      </c>
      <c r="B1013" s="1"/>
      <c r="C1013" s="209" t="s">
        <v>561</v>
      </c>
      <c r="D1013" s="209"/>
      <c r="E1013" s="2"/>
      <c r="F1013" s="3"/>
      <c r="G1013" s="1" t="s">
        <v>4</v>
      </c>
      <c r="H1013" s="284" t="s">
        <v>227</v>
      </c>
      <c r="I1013" s="284"/>
      <c r="J1013" s="284"/>
    </row>
    <row r="1014" spans="1:10" ht="13.5" customHeight="1">
      <c r="A1014" s="1" t="s">
        <v>6</v>
      </c>
      <c r="B1014" s="1"/>
      <c r="C1014" s="196" t="s">
        <v>683</v>
      </c>
      <c r="D1014" s="196"/>
      <c r="E1014" s="7"/>
      <c r="F1014" s="3"/>
      <c r="G1014" s="1" t="s">
        <v>8</v>
      </c>
      <c r="H1014" s="193" t="s">
        <v>9</v>
      </c>
      <c r="I1014" s="193"/>
      <c r="J1014" s="193"/>
    </row>
    <row r="1015" spans="1:10" ht="13.5" customHeight="1">
      <c r="A1015" s="6" t="s">
        <v>10</v>
      </c>
      <c r="B1015" s="6"/>
      <c r="C1015" s="278" t="s">
        <v>571</v>
      </c>
      <c r="D1015" s="209"/>
      <c r="E1015" s="2"/>
      <c r="F1015" s="3"/>
      <c r="G1015" s="1" t="s">
        <v>12</v>
      </c>
      <c r="H1015" s="195" t="s">
        <v>13</v>
      </c>
      <c r="I1015" s="195"/>
      <c r="J1015" s="195"/>
    </row>
    <row r="1016" spans="1:10" ht="13.5" customHeight="1">
      <c r="A1016" s="6" t="s">
        <v>14</v>
      </c>
      <c r="B1016" s="6"/>
      <c r="C1016" s="2" t="s">
        <v>15</v>
      </c>
      <c r="D1016" s="2"/>
      <c r="E1016" s="2"/>
      <c r="F1016" s="3"/>
      <c r="G1016" s="1" t="s">
        <v>16</v>
      </c>
      <c r="H1016" s="196" t="s">
        <v>55</v>
      </c>
      <c r="I1016" s="196"/>
      <c r="J1016" s="196"/>
    </row>
    <row r="1017" spans="1:10" ht="13.5" customHeight="1">
      <c r="A1017" s="6">
        <v>30</v>
      </c>
      <c r="B1017" s="6"/>
      <c r="C1017" s="2">
        <f>A1017-I1017</f>
        <v>0</v>
      </c>
      <c r="D1017" s="2"/>
      <c r="E1017" s="2"/>
      <c r="F1017" s="3"/>
      <c r="G1017" s="8" t="s">
        <v>18</v>
      </c>
      <c r="H1017" s="8"/>
      <c r="I1017" s="9">
        <v>30</v>
      </c>
      <c r="J1017" s="9"/>
    </row>
    <row r="1018" spans="1:10" ht="13.5" customHeight="1">
      <c r="A1018" s="198" t="s">
        <v>19</v>
      </c>
      <c r="B1018" s="199"/>
      <c r="C1018" s="200"/>
      <c r="D1018" s="13" t="s">
        <v>20</v>
      </c>
      <c r="E1018" s="14" t="s">
        <v>21</v>
      </c>
      <c r="F1018" s="15"/>
      <c r="G1018" s="16" t="s">
        <v>20</v>
      </c>
      <c r="H1018" s="201" t="s">
        <v>22</v>
      </c>
      <c r="I1018" s="202"/>
      <c r="J1018" s="203"/>
    </row>
    <row r="1019" spans="1:10" ht="13.5" customHeight="1">
      <c r="A1019" s="17" t="s">
        <v>23</v>
      </c>
      <c r="B1019" s="1"/>
      <c r="C1019" s="1"/>
      <c r="D1019" s="2">
        <v>20000</v>
      </c>
      <c r="E1019" s="17" t="s">
        <v>24</v>
      </c>
      <c r="F1019" s="1"/>
      <c r="G1019" s="2" t="s">
        <v>25</v>
      </c>
      <c r="H1019" s="18" t="s">
        <v>26</v>
      </c>
      <c r="I1019" s="23"/>
      <c r="J1019" s="24"/>
    </row>
    <row r="1020" spans="1:10" ht="13.5" customHeight="1">
      <c r="A1020" s="17" t="s">
        <v>77</v>
      </c>
      <c r="B1020" s="228" t="s">
        <v>355</v>
      </c>
      <c r="C1020" s="228"/>
      <c r="D1020" s="2">
        <v>2667</v>
      </c>
      <c r="E1020" s="17" t="s">
        <v>28</v>
      </c>
      <c r="F1020" s="1"/>
      <c r="G1020" s="2" t="s">
        <v>25</v>
      </c>
      <c r="H1020" s="18" t="s">
        <v>29</v>
      </c>
      <c r="I1020" s="23"/>
      <c r="J1020" s="24"/>
    </row>
    <row r="1021" spans="1:10" ht="13.5" customHeight="1">
      <c r="A1021" s="17" t="s">
        <v>30</v>
      </c>
      <c r="B1021" s="1"/>
      <c r="C1021" s="1"/>
      <c r="D1021" s="2">
        <v>2433</v>
      </c>
      <c r="E1021" s="17" t="s">
        <v>376</v>
      </c>
      <c r="F1021" s="1"/>
      <c r="G1021" s="2" t="s">
        <v>25</v>
      </c>
      <c r="H1021" s="18" t="s">
        <v>32</v>
      </c>
      <c r="I1021" s="23"/>
      <c r="J1021" s="24"/>
    </row>
    <row r="1022" spans="1:10" ht="13.5" customHeight="1">
      <c r="A1022" s="17" t="s">
        <v>581</v>
      </c>
      <c r="B1022" s="1"/>
      <c r="C1022" s="1"/>
      <c r="D1022" s="2" t="s">
        <v>25</v>
      </c>
      <c r="E1022" s="17" t="s">
        <v>71</v>
      </c>
      <c r="F1022" s="1"/>
      <c r="G1022" s="2" t="s">
        <v>25</v>
      </c>
      <c r="H1022" s="18"/>
      <c r="I1022" s="6"/>
      <c r="J1022" s="19"/>
    </row>
    <row r="1023" spans="1:10" ht="13.5" customHeight="1">
      <c r="A1023" s="17" t="s">
        <v>78</v>
      </c>
      <c r="B1023" s="1"/>
      <c r="C1023" s="1"/>
      <c r="D1023" s="2" t="s">
        <v>25</v>
      </c>
      <c r="E1023" s="17" t="s">
        <v>61</v>
      </c>
      <c r="F1023" s="1"/>
      <c r="G1023" s="2" t="s">
        <v>25</v>
      </c>
      <c r="H1023" s="18" t="s">
        <v>684</v>
      </c>
      <c r="I1023" s="6"/>
      <c r="J1023" s="26"/>
    </row>
    <row r="1024" spans="1:10" ht="13.5" customHeight="1">
      <c r="A1024" s="17" t="s">
        <v>136</v>
      </c>
      <c r="B1024" s="1"/>
      <c r="C1024" s="1"/>
      <c r="D1024" s="2" t="s">
        <v>25</v>
      </c>
      <c r="E1024" s="17" t="s">
        <v>39</v>
      </c>
      <c r="F1024" s="1"/>
      <c r="G1024" s="2">
        <v>100</v>
      </c>
      <c r="H1024" s="18" t="s">
        <v>685</v>
      </c>
      <c r="I1024" s="6"/>
      <c r="J1024" s="26"/>
    </row>
    <row r="1025" spans="1:10" ht="13.5" customHeight="1">
      <c r="A1025" s="18" t="s">
        <v>40</v>
      </c>
      <c r="B1025" s="6"/>
      <c r="C1025" s="6"/>
      <c r="D1025" s="2" t="s">
        <v>25</v>
      </c>
      <c r="E1025" s="17" t="s">
        <v>78</v>
      </c>
      <c r="F1025" s="1"/>
      <c r="G1025" s="2" t="s">
        <v>25</v>
      </c>
      <c r="H1025" s="18"/>
      <c r="I1025" s="6"/>
      <c r="J1025" s="26"/>
    </row>
    <row r="1026" spans="1:10" ht="13.5" customHeight="1">
      <c r="A1026" s="204" t="s">
        <v>63</v>
      </c>
      <c r="B1026" s="205"/>
      <c r="C1026" s="206"/>
      <c r="D1026" s="229">
        <f>SUM(D1019:D1025)</f>
        <v>25100</v>
      </c>
      <c r="E1026" s="1" t="s">
        <v>43</v>
      </c>
      <c r="F1026" s="1"/>
      <c r="G1026" s="2" t="s">
        <v>25</v>
      </c>
      <c r="H1026" s="18"/>
      <c r="I1026" s="6"/>
      <c r="J1026" s="19"/>
    </row>
    <row r="1027" spans="1:10" ht="13.5" customHeight="1">
      <c r="A1027" s="207"/>
      <c r="B1027" s="197"/>
      <c r="C1027" s="208"/>
      <c r="D1027" s="230"/>
      <c r="E1027" s="21" t="s">
        <v>21</v>
      </c>
      <c r="F1027" s="22"/>
      <c r="G1027" s="13">
        <f>SUM(G1019:G1026)</f>
        <v>100</v>
      </c>
      <c r="H1027" s="21" t="s">
        <v>44</v>
      </c>
      <c r="I1027" s="22"/>
      <c r="J1027" s="13">
        <f>D1026-G1027</f>
        <v>25000</v>
      </c>
    </row>
    <row r="1028" spans="1:10" ht="13.5" customHeight="1">
      <c r="A1028" s="3" t="s">
        <v>45</v>
      </c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ht="13.5" customHeight="1">
      <c r="A1030" s="3"/>
      <c r="B1030" s="3" t="s">
        <v>47</v>
      </c>
      <c r="C1030" s="3"/>
      <c r="D1030" s="3"/>
      <c r="E1030" s="3" t="s">
        <v>48</v>
      </c>
      <c r="F1030" s="3"/>
      <c r="G1030" s="3"/>
      <c r="H1030" s="3" t="s">
        <v>49</v>
      </c>
      <c r="I1030" s="3"/>
      <c r="J1030" s="3"/>
    </row>
    <row r="1031" spans="1:10" ht="13.5" customHeight="1">
      <c r="A1031" s="184" t="s">
        <v>0</v>
      </c>
      <c r="B1031" s="185"/>
      <c r="C1031" s="185"/>
      <c r="D1031" s="185"/>
      <c r="E1031" s="185"/>
      <c r="F1031" s="185"/>
      <c r="G1031" s="185"/>
      <c r="H1031" s="185"/>
      <c r="I1031" s="185"/>
      <c r="J1031" s="186"/>
    </row>
    <row r="1032" spans="1:10" ht="13.5" customHeight="1">
      <c r="A1032" s="187" t="s">
        <v>1</v>
      </c>
      <c r="B1032" s="188"/>
      <c r="C1032" s="188"/>
      <c r="D1032" s="188"/>
      <c r="E1032" s="188"/>
      <c r="F1032" s="188"/>
      <c r="G1032" s="188"/>
      <c r="H1032" s="188"/>
      <c r="I1032" s="188"/>
      <c r="J1032" s="189"/>
    </row>
    <row r="1033" spans="1:10" ht="13.5" customHeight="1">
      <c r="A1033" s="1" t="s">
        <v>2</v>
      </c>
      <c r="B1033" s="1"/>
      <c r="C1033" s="209" t="s">
        <v>561</v>
      </c>
      <c r="D1033" s="209"/>
      <c r="E1033" s="2"/>
      <c r="F1033" s="3"/>
      <c r="G1033" s="1" t="s">
        <v>4</v>
      </c>
      <c r="H1033" s="209" t="s">
        <v>227</v>
      </c>
      <c r="I1033" s="209"/>
      <c r="J1033" s="209"/>
    </row>
    <row r="1034" spans="1:10" ht="13.5" customHeight="1">
      <c r="A1034" s="1" t="s">
        <v>6</v>
      </c>
      <c r="B1034" s="1"/>
      <c r="C1034" s="196" t="s">
        <v>686</v>
      </c>
      <c r="D1034" s="196"/>
      <c r="E1034" s="7"/>
      <c r="F1034" s="3"/>
      <c r="G1034" s="1" t="s">
        <v>8</v>
      </c>
      <c r="H1034" s="193" t="s">
        <v>9</v>
      </c>
      <c r="I1034" s="193"/>
      <c r="J1034" s="193"/>
    </row>
    <row r="1035" spans="1:10" ht="13.5" customHeight="1">
      <c r="A1035" s="6" t="s">
        <v>10</v>
      </c>
      <c r="B1035" s="6"/>
      <c r="C1035" s="278" t="s">
        <v>580</v>
      </c>
      <c r="D1035" s="209"/>
      <c r="E1035" s="2"/>
      <c r="F1035" s="3"/>
      <c r="G1035" s="1" t="s">
        <v>12</v>
      </c>
      <c r="H1035" s="195" t="s">
        <v>13</v>
      </c>
      <c r="I1035" s="195"/>
      <c r="J1035" s="195"/>
    </row>
    <row r="1036" spans="1:10" ht="13.5" customHeight="1">
      <c r="A1036" s="6" t="s">
        <v>14</v>
      </c>
      <c r="B1036" s="6"/>
      <c r="C1036" s="2" t="s">
        <v>15</v>
      </c>
      <c r="D1036" s="2"/>
      <c r="E1036" s="2"/>
      <c r="F1036" s="3"/>
      <c r="G1036" s="1" t="s">
        <v>16</v>
      </c>
      <c r="H1036" s="196" t="s">
        <v>140</v>
      </c>
      <c r="I1036" s="196"/>
      <c r="J1036" s="196"/>
    </row>
    <row r="1037" spans="1:10" ht="13.5" customHeight="1">
      <c r="A1037" s="6">
        <v>30</v>
      </c>
      <c r="B1037" s="6"/>
      <c r="C1037" s="2">
        <f>A1037-I1037</f>
        <v>0</v>
      </c>
      <c r="D1037" s="2"/>
      <c r="E1037" s="2"/>
      <c r="F1037" s="3"/>
      <c r="G1037" s="8" t="s">
        <v>18</v>
      </c>
      <c r="H1037" s="8"/>
      <c r="I1037" s="9">
        <v>30</v>
      </c>
      <c r="J1037" s="9"/>
    </row>
    <row r="1038" spans="1:10" ht="13.5" customHeight="1">
      <c r="A1038" s="198" t="s">
        <v>19</v>
      </c>
      <c r="B1038" s="199"/>
      <c r="C1038" s="200"/>
      <c r="D1038" s="13" t="s">
        <v>20</v>
      </c>
      <c r="E1038" s="14" t="s">
        <v>21</v>
      </c>
      <c r="F1038" s="15"/>
      <c r="G1038" s="16" t="s">
        <v>20</v>
      </c>
      <c r="H1038" s="201" t="s">
        <v>22</v>
      </c>
      <c r="I1038" s="202"/>
      <c r="J1038" s="203"/>
    </row>
    <row r="1039" spans="1:10" ht="13.5" customHeight="1">
      <c r="A1039" s="17" t="s">
        <v>23</v>
      </c>
      <c r="B1039" s="1"/>
      <c r="C1039" s="1"/>
      <c r="D1039" s="2">
        <v>25000</v>
      </c>
      <c r="E1039" s="17" t="s">
        <v>585</v>
      </c>
      <c r="F1039" s="1"/>
      <c r="G1039" s="2" t="s">
        <v>25</v>
      </c>
      <c r="H1039" s="18" t="s">
        <v>26</v>
      </c>
      <c r="I1039" s="23"/>
      <c r="J1039" s="24"/>
    </row>
    <row r="1040" spans="1:10" ht="13.5" customHeight="1">
      <c r="A1040" s="17" t="s">
        <v>77</v>
      </c>
      <c r="B1040" s="228" t="s">
        <v>196</v>
      </c>
      <c r="C1040" s="228"/>
      <c r="D1040" s="2">
        <v>2500</v>
      </c>
      <c r="E1040" s="17" t="s">
        <v>28</v>
      </c>
      <c r="F1040" s="1"/>
      <c r="G1040" s="2" t="s">
        <v>25</v>
      </c>
      <c r="H1040" s="18" t="s">
        <v>29</v>
      </c>
      <c r="I1040" s="23"/>
      <c r="J1040" s="24"/>
    </row>
    <row r="1041" spans="1:10" ht="13.5" customHeight="1">
      <c r="A1041" s="17" t="s">
        <v>30</v>
      </c>
      <c r="B1041" s="1"/>
      <c r="C1041" s="1"/>
      <c r="D1041" s="2">
        <v>1267</v>
      </c>
      <c r="E1041" s="17" t="s">
        <v>58</v>
      </c>
      <c r="F1041" s="1"/>
      <c r="G1041" s="2" t="s">
        <v>25</v>
      </c>
      <c r="H1041" s="18" t="s">
        <v>32</v>
      </c>
      <c r="I1041" s="23"/>
      <c r="J1041" s="24"/>
    </row>
    <row r="1042" spans="1:10" ht="13.5" customHeight="1">
      <c r="A1042" s="17" t="s">
        <v>581</v>
      </c>
      <c r="B1042" s="1"/>
      <c r="C1042" s="1"/>
      <c r="D1042" s="2" t="s">
        <v>25</v>
      </c>
      <c r="E1042" s="17" t="s">
        <v>71</v>
      </c>
      <c r="F1042" s="1"/>
      <c r="G1042" s="2" t="s">
        <v>25</v>
      </c>
      <c r="H1042" s="18"/>
      <c r="I1042" s="6"/>
      <c r="J1042" s="19"/>
    </row>
    <row r="1043" spans="1:10" ht="13.5" customHeight="1">
      <c r="A1043" s="17" t="s">
        <v>586</v>
      </c>
      <c r="B1043" s="1"/>
      <c r="C1043" s="1"/>
      <c r="D1043" s="2" t="s">
        <v>25</v>
      </c>
      <c r="E1043" s="17" t="s">
        <v>1108</v>
      </c>
      <c r="F1043" s="1"/>
      <c r="G1043" s="2">
        <v>1667</v>
      </c>
      <c r="H1043" s="18" t="s">
        <v>583</v>
      </c>
      <c r="I1043" s="6"/>
      <c r="J1043" s="26"/>
    </row>
    <row r="1044" spans="1:10" ht="13.5" customHeight="1">
      <c r="A1044" s="17" t="s">
        <v>136</v>
      </c>
      <c r="B1044" s="1"/>
      <c r="C1044" s="1"/>
      <c r="D1044" s="2" t="s">
        <v>25</v>
      </c>
      <c r="E1044" s="17" t="s">
        <v>39</v>
      </c>
      <c r="F1044" s="1"/>
      <c r="G1044" s="2">
        <v>100</v>
      </c>
      <c r="H1044" s="18" t="s">
        <v>687</v>
      </c>
      <c r="I1044" s="6"/>
      <c r="J1044" s="26"/>
    </row>
    <row r="1045" spans="1:10" ht="13.5" customHeight="1">
      <c r="A1045" s="18" t="s">
        <v>40</v>
      </c>
      <c r="B1045" s="6"/>
      <c r="C1045" s="6"/>
      <c r="D1045" s="2" t="s">
        <v>25</v>
      </c>
      <c r="E1045" s="17" t="s">
        <v>78</v>
      </c>
      <c r="F1045" s="1"/>
      <c r="G1045" s="2" t="s">
        <v>25</v>
      </c>
      <c r="H1045" s="18" t="s">
        <v>688</v>
      </c>
      <c r="I1045" s="6"/>
      <c r="J1045" s="26"/>
    </row>
    <row r="1046" spans="1:10" ht="13.5" customHeight="1">
      <c r="A1046" s="204" t="s">
        <v>63</v>
      </c>
      <c r="B1046" s="205"/>
      <c r="C1046" s="206"/>
      <c r="D1046" s="229">
        <f>SUM(D1039:D1045)</f>
        <v>28767</v>
      </c>
      <c r="E1046" s="1" t="s">
        <v>43</v>
      </c>
      <c r="F1046" s="1"/>
      <c r="G1046" s="2" t="s">
        <v>25</v>
      </c>
      <c r="H1046" s="18"/>
      <c r="I1046" s="6"/>
      <c r="J1046" s="19"/>
    </row>
    <row r="1047" spans="1:10" ht="13.5" customHeight="1">
      <c r="A1047" s="207"/>
      <c r="B1047" s="197"/>
      <c r="C1047" s="208"/>
      <c r="D1047" s="230"/>
      <c r="E1047" s="21" t="s">
        <v>21</v>
      </c>
      <c r="F1047" s="22"/>
      <c r="G1047" s="13">
        <f>SUM(G1039:G1046)</f>
        <v>1767</v>
      </c>
      <c r="H1047" s="21" t="s">
        <v>44</v>
      </c>
      <c r="I1047" s="22"/>
      <c r="J1047" s="13">
        <f>D1046-G1047</f>
        <v>27000</v>
      </c>
    </row>
    <row r="1048" spans="1:10" ht="13.5" customHeight="1">
      <c r="A1048" s="3" t="s">
        <v>45</v>
      </c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ht="13.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ht="13.5" customHeight="1">
      <c r="A1050" s="3"/>
      <c r="B1050" s="3" t="s">
        <v>47</v>
      </c>
      <c r="C1050" s="3"/>
      <c r="D1050" s="3"/>
      <c r="E1050" s="3" t="s">
        <v>48</v>
      </c>
      <c r="F1050" s="3"/>
      <c r="G1050" s="3"/>
      <c r="H1050" s="3" t="s">
        <v>49</v>
      </c>
      <c r="I1050" s="3"/>
      <c r="J1050" s="3"/>
    </row>
    <row r="1051" spans="1:10" ht="13.5" customHeight="1">
      <c r="A1051" s="184" t="s">
        <v>0</v>
      </c>
      <c r="B1051" s="185"/>
      <c r="C1051" s="185"/>
      <c r="D1051" s="185"/>
      <c r="E1051" s="185"/>
      <c r="F1051" s="185"/>
      <c r="G1051" s="185"/>
      <c r="H1051" s="185"/>
      <c r="I1051" s="185"/>
      <c r="J1051" s="186"/>
    </row>
    <row r="1052" spans="1:10" ht="13.5" customHeight="1">
      <c r="A1052" s="187" t="s">
        <v>1</v>
      </c>
      <c r="B1052" s="188"/>
      <c r="C1052" s="188"/>
      <c r="D1052" s="188"/>
      <c r="E1052" s="188"/>
      <c r="F1052" s="188"/>
      <c r="G1052" s="188"/>
      <c r="H1052" s="188"/>
      <c r="I1052" s="188"/>
      <c r="J1052" s="189"/>
    </row>
    <row r="1053" spans="1:10" ht="13.5" customHeight="1">
      <c r="A1053" s="1" t="s">
        <v>2</v>
      </c>
      <c r="B1053" s="1"/>
      <c r="C1053" s="191" t="s">
        <v>569</v>
      </c>
      <c r="D1053" s="191"/>
      <c r="E1053" s="2"/>
      <c r="F1053" s="3"/>
      <c r="G1053" s="1" t="s">
        <v>4</v>
      </c>
      <c r="H1053" s="284" t="s">
        <v>227</v>
      </c>
      <c r="I1053" s="284"/>
      <c r="J1053" s="284"/>
    </row>
    <row r="1054" spans="1:10" ht="13.5" customHeight="1">
      <c r="A1054" s="1" t="s">
        <v>6</v>
      </c>
      <c r="B1054" s="1"/>
      <c r="C1054" s="196" t="s">
        <v>485</v>
      </c>
      <c r="D1054" s="196"/>
      <c r="E1054" s="2"/>
      <c r="F1054" s="3"/>
      <c r="G1054" s="1" t="s">
        <v>8</v>
      </c>
      <c r="H1054" s="193" t="s">
        <v>9</v>
      </c>
      <c r="I1054" s="193"/>
      <c r="J1054" s="193"/>
    </row>
    <row r="1055" spans="1:10" ht="13.5" customHeight="1">
      <c r="A1055" s="6" t="s">
        <v>10</v>
      </c>
      <c r="B1055" s="6"/>
      <c r="C1055" s="209" t="s">
        <v>563</v>
      </c>
      <c r="D1055" s="209"/>
      <c r="E1055" s="2"/>
      <c r="F1055" s="3"/>
      <c r="G1055" s="1" t="s">
        <v>12</v>
      </c>
      <c r="H1055" s="195" t="s">
        <v>13</v>
      </c>
      <c r="I1055" s="195"/>
      <c r="J1055" s="195"/>
    </row>
    <row r="1056" spans="1:10" ht="13.5" customHeight="1">
      <c r="A1056" s="2" t="s">
        <v>14</v>
      </c>
      <c r="B1056" s="2"/>
      <c r="C1056" s="2" t="s">
        <v>15</v>
      </c>
      <c r="D1056" s="2"/>
      <c r="E1056" s="2"/>
      <c r="F1056" s="3"/>
      <c r="G1056" s="1" t="s">
        <v>16</v>
      </c>
      <c r="H1056" s="209" t="s">
        <v>55</v>
      </c>
      <c r="I1056" s="209"/>
      <c r="J1056" s="209"/>
    </row>
    <row r="1057" spans="1:10" ht="13.5" customHeight="1">
      <c r="A1057" s="2">
        <v>30</v>
      </c>
      <c r="B1057" s="2"/>
      <c r="C1057" s="2">
        <f>A1057-H1057</f>
        <v>0</v>
      </c>
      <c r="D1057" s="2"/>
      <c r="E1057" s="2"/>
      <c r="F1057" s="3"/>
      <c r="G1057" s="8" t="s">
        <v>18</v>
      </c>
      <c r="H1057" s="197">
        <v>30</v>
      </c>
      <c r="I1057" s="197"/>
      <c r="J1057" s="197"/>
    </row>
    <row r="1058" spans="1:10" ht="13.5" customHeight="1">
      <c r="A1058" s="198" t="s">
        <v>19</v>
      </c>
      <c r="B1058" s="199"/>
      <c r="C1058" s="200"/>
      <c r="D1058" s="13" t="s">
        <v>20</v>
      </c>
      <c r="E1058" s="14" t="s">
        <v>21</v>
      </c>
      <c r="F1058" s="15"/>
      <c r="G1058" s="16" t="s">
        <v>20</v>
      </c>
      <c r="H1058" s="201" t="s">
        <v>22</v>
      </c>
      <c r="I1058" s="202"/>
      <c r="J1058" s="203"/>
    </row>
    <row r="1059" spans="1:10" ht="13.5" customHeight="1">
      <c r="A1059" s="117" t="s">
        <v>23</v>
      </c>
      <c r="B1059" s="118"/>
      <c r="C1059" s="1"/>
      <c r="D1059" s="2">
        <v>20000</v>
      </c>
      <c r="E1059" s="17" t="s">
        <v>24</v>
      </c>
      <c r="F1059" s="1"/>
      <c r="G1059" s="2" t="s">
        <v>25</v>
      </c>
      <c r="H1059" s="18" t="s">
        <v>26</v>
      </c>
      <c r="I1059" s="23"/>
      <c r="J1059" s="24"/>
    </row>
    <row r="1060" spans="1:10" ht="13.5" customHeight="1">
      <c r="A1060" s="17" t="s">
        <v>77</v>
      </c>
      <c r="B1060" s="209" t="s">
        <v>393</v>
      </c>
      <c r="C1060" s="209"/>
      <c r="D1060" s="2">
        <v>3333</v>
      </c>
      <c r="E1060" s="17" t="s">
        <v>58</v>
      </c>
      <c r="F1060" s="1"/>
      <c r="G1060" s="2" t="s">
        <v>25</v>
      </c>
      <c r="H1060" s="18" t="s">
        <v>29</v>
      </c>
      <c r="I1060" s="23"/>
      <c r="J1060" s="24"/>
    </row>
    <row r="1061" spans="1:10" ht="13.5" customHeight="1">
      <c r="A1061" s="17" t="s">
        <v>30</v>
      </c>
      <c r="B1061" s="1"/>
      <c r="C1061" s="1"/>
      <c r="D1061" s="2">
        <v>1267</v>
      </c>
      <c r="E1061" s="17" t="s">
        <v>146</v>
      </c>
      <c r="F1061" s="1"/>
      <c r="G1061" s="2" t="s">
        <v>25</v>
      </c>
      <c r="H1061" s="18" t="s">
        <v>32</v>
      </c>
      <c r="I1061" s="23"/>
      <c r="J1061" s="24"/>
    </row>
    <row r="1062" spans="1:10" ht="13.5" customHeight="1">
      <c r="A1062" s="17" t="s">
        <v>147</v>
      </c>
      <c r="B1062" s="1"/>
      <c r="C1062" s="1"/>
      <c r="D1062" s="2" t="s">
        <v>25</v>
      </c>
      <c r="E1062" s="17" t="s">
        <v>35</v>
      </c>
      <c r="F1062" s="1"/>
      <c r="G1062" s="2" t="s">
        <v>25</v>
      </c>
      <c r="H1062" s="18"/>
      <c r="I1062" s="6"/>
      <c r="J1062" s="19"/>
    </row>
    <row r="1063" spans="1:10" ht="13.5" customHeight="1">
      <c r="A1063" s="17" t="s">
        <v>72</v>
      </c>
      <c r="B1063" s="1"/>
      <c r="C1063" s="1"/>
      <c r="D1063" s="2" t="s">
        <v>25</v>
      </c>
      <c r="E1063" s="17" t="s">
        <v>61</v>
      </c>
      <c r="F1063" s="1"/>
      <c r="G1063" s="2" t="s">
        <v>25</v>
      </c>
      <c r="H1063" s="18" t="s">
        <v>689</v>
      </c>
      <c r="I1063" s="6"/>
      <c r="J1063" s="19"/>
    </row>
    <row r="1064" spans="1:10" ht="13.5" customHeight="1">
      <c r="A1064" s="17" t="s">
        <v>136</v>
      </c>
      <c r="B1064" s="1"/>
      <c r="C1064" s="1"/>
      <c r="D1064" s="2" t="s">
        <v>25</v>
      </c>
      <c r="E1064" s="17" t="s">
        <v>39</v>
      </c>
      <c r="F1064" s="1"/>
      <c r="G1064" s="2">
        <v>100</v>
      </c>
      <c r="H1064" s="18" t="s">
        <v>690</v>
      </c>
      <c r="I1064" s="6"/>
      <c r="J1064" s="19"/>
    </row>
    <row r="1065" spans="1:10" ht="13.5" customHeight="1">
      <c r="A1065" s="18" t="s">
        <v>40</v>
      </c>
      <c r="B1065" s="6"/>
      <c r="C1065" s="6"/>
      <c r="D1065" s="2" t="s">
        <v>25</v>
      </c>
      <c r="E1065" s="17" t="s">
        <v>41</v>
      </c>
      <c r="F1065" s="1"/>
      <c r="G1065" s="2" t="s">
        <v>25</v>
      </c>
      <c r="H1065" s="18" t="s">
        <v>691</v>
      </c>
      <c r="I1065" s="6"/>
      <c r="J1065" s="19"/>
    </row>
    <row r="1066" spans="1:10" ht="13.5" customHeight="1">
      <c r="A1066" s="204" t="s">
        <v>63</v>
      </c>
      <c r="B1066" s="205"/>
      <c r="C1066" s="206"/>
      <c r="D1066" s="229">
        <f>SUM(D1059:D1065)</f>
        <v>24600</v>
      </c>
      <c r="E1066" s="1" t="s">
        <v>43</v>
      </c>
      <c r="F1066" s="1"/>
      <c r="G1066" s="2" t="s">
        <v>25</v>
      </c>
      <c r="H1066" s="18"/>
      <c r="I1066" s="6"/>
      <c r="J1066" s="19"/>
    </row>
    <row r="1067" spans="1:10" ht="13.5" customHeight="1">
      <c r="A1067" s="207"/>
      <c r="B1067" s="197"/>
      <c r="C1067" s="208"/>
      <c r="D1067" s="230"/>
      <c r="E1067" s="21" t="s">
        <v>21</v>
      </c>
      <c r="F1067" s="22"/>
      <c r="G1067" s="13">
        <f>SUM(G1059:G1066)</f>
        <v>100</v>
      </c>
      <c r="H1067" s="21" t="s">
        <v>44</v>
      </c>
      <c r="I1067" s="22"/>
      <c r="J1067" s="13">
        <f>D1066-G1067</f>
        <v>24500</v>
      </c>
    </row>
    <row r="1068" spans="1:10" ht="13.5" customHeight="1">
      <c r="A1068" s="3" t="s">
        <v>45</v>
      </c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ht="13.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ht="13.5" customHeight="1">
      <c r="A1070" s="184" t="s">
        <v>0</v>
      </c>
      <c r="B1070" s="185"/>
      <c r="C1070" s="185"/>
      <c r="D1070" s="185"/>
      <c r="E1070" s="185"/>
      <c r="F1070" s="185"/>
      <c r="G1070" s="185"/>
      <c r="H1070" s="185"/>
      <c r="I1070" s="185"/>
      <c r="J1070" s="186"/>
    </row>
    <row r="1071" spans="1:10" ht="13.5" customHeight="1">
      <c r="A1071" s="187" t="s">
        <v>1</v>
      </c>
      <c r="B1071" s="188"/>
      <c r="C1071" s="188"/>
      <c r="D1071" s="188"/>
      <c r="E1071" s="188"/>
      <c r="F1071" s="188"/>
      <c r="G1071" s="188"/>
      <c r="H1071" s="188"/>
      <c r="I1071" s="188"/>
      <c r="J1071" s="189"/>
    </row>
    <row r="1072" spans="1:10" ht="13.5" customHeight="1">
      <c r="A1072" s="1" t="s">
        <v>2</v>
      </c>
      <c r="B1072" s="1"/>
      <c r="C1072" s="191" t="s">
        <v>569</v>
      </c>
      <c r="D1072" s="191"/>
      <c r="E1072" s="2"/>
      <c r="F1072" s="3"/>
      <c r="G1072" s="1" t="s">
        <v>4</v>
      </c>
      <c r="H1072" s="284" t="s">
        <v>227</v>
      </c>
      <c r="I1072" s="284"/>
      <c r="J1072" s="284"/>
    </row>
    <row r="1073" spans="1:10" ht="13.5" customHeight="1">
      <c r="A1073" s="1" t="s">
        <v>6</v>
      </c>
      <c r="B1073" s="1"/>
      <c r="C1073" s="196" t="s">
        <v>692</v>
      </c>
      <c r="D1073" s="196"/>
      <c r="E1073" s="2"/>
      <c r="F1073" s="3"/>
      <c r="G1073" s="1" t="s">
        <v>8</v>
      </c>
      <c r="H1073" s="193" t="s">
        <v>9</v>
      </c>
      <c r="I1073" s="193"/>
      <c r="J1073" s="193"/>
    </row>
    <row r="1074" spans="1:10" ht="13.5" customHeight="1">
      <c r="A1074" s="6" t="s">
        <v>10</v>
      </c>
      <c r="B1074" s="6"/>
      <c r="C1074" s="209" t="s">
        <v>571</v>
      </c>
      <c r="D1074" s="209"/>
      <c r="E1074" s="2"/>
      <c r="F1074" s="3"/>
      <c r="G1074" s="1" t="s">
        <v>12</v>
      </c>
      <c r="H1074" s="195" t="s">
        <v>13</v>
      </c>
      <c r="I1074" s="195"/>
      <c r="J1074" s="195"/>
    </row>
    <row r="1075" spans="1:10" ht="13.5" customHeight="1">
      <c r="A1075" s="2" t="s">
        <v>14</v>
      </c>
      <c r="B1075" s="2"/>
      <c r="C1075" s="2" t="s">
        <v>15</v>
      </c>
      <c r="D1075" s="2"/>
      <c r="E1075" s="2"/>
      <c r="F1075" s="3"/>
      <c r="G1075" s="1" t="s">
        <v>16</v>
      </c>
      <c r="H1075" s="209" t="s">
        <v>140</v>
      </c>
      <c r="I1075" s="209"/>
      <c r="J1075" s="209"/>
    </row>
    <row r="1076" spans="1:10" ht="13.5" customHeight="1">
      <c r="A1076" s="2">
        <v>30</v>
      </c>
      <c r="B1076" s="2"/>
      <c r="C1076" s="2">
        <f>A1076-H1076</f>
        <v>0</v>
      </c>
      <c r="D1076" s="2"/>
      <c r="E1076" s="2"/>
      <c r="F1076" s="3"/>
      <c r="G1076" s="8" t="s">
        <v>18</v>
      </c>
      <c r="H1076" s="197">
        <v>30</v>
      </c>
      <c r="I1076" s="197"/>
      <c r="J1076" s="197"/>
    </row>
    <row r="1077" spans="1:10" ht="13.5" customHeight="1">
      <c r="A1077" s="198" t="s">
        <v>19</v>
      </c>
      <c r="B1077" s="199"/>
      <c r="C1077" s="200"/>
      <c r="D1077" s="13" t="s">
        <v>20</v>
      </c>
      <c r="E1077" s="14" t="s">
        <v>21</v>
      </c>
      <c r="F1077" s="15"/>
      <c r="G1077" s="16" t="s">
        <v>20</v>
      </c>
      <c r="H1077" s="201" t="s">
        <v>22</v>
      </c>
      <c r="I1077" s="202"/>
      <c r="J1077" s="203"/>
    </row>
    <row r="1078" spans="1:10" ht="13.5" customHeight="1">
      <c r="A1078" s="117" t="s">
        <v>23</v>
      </c>
      <c r="B1078" s="118"/>
      <c r="C1078" s="1"/>
      <c r="D1078" s="2">
        <v>20000</v>
      </c>
      <c r="E1078" s="17" t="s">
        <v>24</v>
      </c>
      <c r="F1078" s="1"/>
      <c r="G1078" s="2" t="s">
        <v>25</v>
      </c>
      <c r="H1078" s="18" t="s">
        <v>26</v>
      </c>
      <c r="I1078" s="23"/>
      <c r="J1078" s="24"/>
    </row>
    <row r="1079" spans="1:10" ht="13.5" customHeight="1">
      <c r="A1079" s="17" t="s">
        <v>77</v>
      </c>
      <c r="B1079" s="209" t="s">
        <v>393</v>
      </c>
      <c r="C1079" s="209"/>
      <c r="D1079" s="2">
        <v>3333</v>
      </c>
      <c r="E1079" s="17" t="s">
        <v>58</v>
      </c>
      <c r="F1079" s="1"/>
      <c r="G1079" s="2" t="s">
        <v>25</v>
      </c>
      <c r="H1079" s="18" t="s">
        <v>29</v>
      </c>
      <c r="I1079" s="23"/>
      <c r="J1079" s="24"/>
    </row>
    <row r="1080" spans="1:10" ht="13.5" customHeight="1">
      <c r="A1080" s="17" t="s">
        <v>30</v>
      </c>
      <c r="B1080" s="1"/>
      <c r="C1080" s="1"/>
      <c r="D1080" s="2" t="s">
        <v>25</v>
      </c>
      <c r="E1080" s="17" t="s">
        <v>146</v>
      </c>
      <c r="F1080" s="1"/>
      <c r="G1080" s="2" t="s">
        <v>25</v>
      </c>
      <c r="H1080" s="18" t="s">
        <v>32</v>
      </c>
      <c r="I1080" s="23"/>
      <c r="J1080" s="24"/>
    </row>
    <row r="1081" spans="1:10" ht="13.5" customHeight="1">
      <c r="A1081" s="17" t="s">
        <v>147</v>
      </c>
      <c r="B1081" s="1"/>
      <c r="C1081" s="1"/>
      <c r="D1081" s="2" t="s">
        <v>25</v>
      </c>
      <c r="E1081" s="17" t="s">
        <v>35</v>
      </c>
      <c r="F1081" s="1"/>
      <c r="G1081" s="2" t="s">
        <v>25</v>
      </c>
      <c r="H1081" s="18"/>
      <c r="I1081" s="6"/>
      <c r="J1081" s="19"/>
    </row>
    <row r="1082" spans="1:10" ht="13.5" customHeight="1">
      <c r="A1082" s="17" t="s">
        <v>72</v>
      </c>
      <c r="B1082" s="1"/>
      <c r="C1082" s="1"/>
      <c r="D1082" s="2" t="s">
        <v>25</v>
      </c>
      <c r="E1082" s="17" t="s">
        <v>61</v>
      </c>
      <c r="F1082" s="1"/>
      <c r="G1082" s="2" t="s">
        <v>25</v>
      </c>
      <c r="H1082" s="18" t="s">
        <v>693</v>
      </c>
      <c r="I1082" s="6"/>
      <c r="J1082" s="19"/>
    </row>
    <row r="1083" spans="1:10" ht="13.5" customHeight="1">
      <c r="A1083" s="17" t="s">
        <v>136</v>
      </c>
      <c r="B1083" s="1"/>
      <c r="C1083" s="1"/>
      <c r="D1083" s="2" t="s">
        <v>25</v>
      </c>
      <c r="E1083" s="17" t="s">
        <v>39</v>
      </c>
      <c r="F1083" s="1"/>
      <c r="G1083" s="2">
        <v>100</v>
      </c>
      <c r="H1083" s="18" t="s">
        <v>694</v>
      </c>
      <c r="I1083" s="6"/>
      <c r="J1083" s="19"/>
    </row>
    <row r="1084" spans="1:10" ht="13.5" customHeight="1">
      <c r="A1084" s="18" t="s">
        <v>40</v>
      </c>
      <c r="B1084" s="6"/>
      <c r="C1084" s="6"/>
      <c r="D1084" s="2" t="s">
        <v>25</v>
      </c>
      <c r="E1084" s="17" t="s">
        <v>41</v>
      </c>
      <c r="F1084" s="1"/>
      <c r="G1084" s="2" t="s">
        <v>25</v>
      </c>
      <c r="H1084" s="18"/>
      <c r="I1084" s="6"/>
      <c r="J1084" s="19"/>
    </row>
    <row r="1085" spans="1:10" ht="13.5" customHeight="1">
      <c r="A1085" s="204" t="s">
        <v>63</v>
      </c>
      <c r="B1085" s="205"/>
      <c r="C1085" s="206"/>
      <c r="D1085" s="229">
        <f>SUM(D1078:D1084)</f>
        <v>23333</v>
      </c>
      <c r="E1085" s="1" t="s">
        <v>43</v>
      </c>
      <c r="F1085" s="1"/>
      <c r="G1085" s="2" t="s">
        <v>25</v>
      </c>
      <c r="H1085" s="18"/>
      <c r="I1085" s="6"/>
      <c r="J1085" s="19"/>
    </row>
    <row r="1086" spans="1:10" ht="13.5" customHeight="1">
      <c r="A1086" s="207"/>
      <c r="B1086" s="197"/>
      <c r="C1086" s="208"/>
      <c r="D1086" s="230"/>
      <c r="E1086" s="21" t="s">
        <v>21</v>
      </c>
      <c r="F1086" s="22"/>
      <c r="G1086" s="13">
        <f>SUM(G1078:G1085)</f>
        <v>100</v>
      </c>
      <c r="H1086" s="21" t="s">
        <v>44</v>
      </c>
      <c r="I1086" s="22"/>
      <c r="J1086" s="13">
        <v>23000</v>
      </c>
    </row>
    <row r="1087" spans="1:10" ht="13.5" customHeight="1">
      <c r="A1087" s="3" t="s">
        <v>45</v>
      </c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ht="13.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ht="13.5" customHeight="1">
      <c r="A1089" s="184" t="s">
        <v>0</v>
      </c>
      <c r="B1089" s="185"/>
      <c r="C1089" s="185"/>
      <c r="D1089" s="185"/>
      <c r="E1089" s="185"/>
      <c r="F1089" s="185"/>
      <c r="G1089" s="185"/>
      <c r="H1089" s="185"/>
      <c r="I1089" s="185"/>
      <c r="J1089" s="186"/>
    </row>
    <row r="1090" spans="1:10" ht="13.5" customHeight="1">
      <c r="A1090" s="187" t="s">
        <v>1</v>
      </c>
      <c r="B1090" s="188"/>
      <c r="C1090" s="188"/>
      <c r="D1090" s="188"/>
      <c r="E1090" s="188"/>
      <c r="F1090" s="188"/>
      <c r="G1090" s="188"/>
      <c r="H1090" s="188"/>
      <c r="I1090" s="188"/>
      <c r="J1090" s="189"/>
    </row>
    <row r="1091" spans="1:10" ht="13.5" customHeight="1">
      <c r="A1091" s="1" t="s">
        <v>2</v>
      </c>
      <c r="B1091" s="1"/>
      <c r="C1091" s="191" t="s">
        <v>569</v>
      </c>
      <c r="D1091" s="191"/>
      <c r="E1091" s="2"/>
      <c r="F1091" s="3"/>
      <c r="G1091" s="1" t="s">
        <v>4</v>
      </c>
      <c r="H1091" s="284" t="s">
        <v>227</v>
      </c>
      <c r="I1091" s="284"/>
      <c r="J1091" s="284"/>
    </row>
    <row r="1092" spans="1:10" ht="13.5" customHeight="1">
      <c r="A1092" s="1" t="s">
        <v>6</v>
      </c>
      <c r="B1092" s="1"/>
      <c r="C1092" s="196" t="s">
        <v>695</v>
      </c>
      <c r="D1092" s="196"/>
      <c r="E1092" s="2"/>
      <c r="F1092" s="3"/>
      <c r="G1092" s="1" t="s">
        <v>8</v>
      </c>
      <c r="H1092" s="193" t="s">
        <v>9</v>
      </c>
      <c r="I1092" s="193"/>
      <c r="J1092" s="193"/>
    </row>
    <row r="1093" spans="1:10" ht="13.5" customHeight="1">
      <c r="A1093" s="6" t="s">
        <v>10</v>
      </c>
      <c r="B1093" s="6"/>
      <c r="C1093" s="209" t="s">
        <v>563</v>
      </c>
      <c r="D1093" s="209"/>
      <c r="E1093" s="2"/>
      <c r="F1093" s="3"/>
      <c r="G1093" s="1" t="s">
        <v>12</v>
      </c>
      <c r="H1093" s="195" t="s">
        <v>13</v>
      </c>
      <c r="I1093" s="195"/>
      <c r="J1093" s="195"/>
    </row>
    <row r="1094" spans="1:10" ht="13.5" customHeight="1">
      <c r="A1094" s="2" t="s">
        <v>14</v>
      </c>
      <c r="B1094" s="2"/>
      <c r="C1094" s="2" t="s">
        <v>15</v>
      </c>
      <c r="D1094" s="2"/>
      <c r="E1094" s="2"/>
      <c r="F1094" s="3"/>
      <c r="G1094" s="1" t="s">
        <v>16</v>
      </c>
      <c r="H1094" s="209" t="s">
        <v>55</v>
      </c>
      <c r="I1094" s="209"/>
      <c r="J1094" s="209"/>
    </row>
    <row r="1095" spans="1:10" ht="13.5" customHeight="1">
      <c r="A1095" s="2">
        <v>30</v>
      </c>
      <c r="B1095" s="2"/>
      <c r="C1095" s="2">
        <f>A1095-H1095</f>
        <v>8</v>
      </c>
      <c r="D1095" s="2"/>
      <c r="E1095" s="2"/>
      <c r="F1095" s="3"/>
      <c r="G1095" s="8" t="s">
        <v>18</v>
      </c>
      <c r="H1095" s="197">
        <v>22</v>
      </c>
      <c r="I1095" s="197"/>
      <c r="J1095" s="197"/>
    </row>
    <row r="1096" spans="1:10" ht="13.5" customHeight="1">
      <c r="A1096" s="198" t="s">
        <v>19</v>
      </c>
      <c r="B1096" s="199"/>
      <c r="C1096" s="200"/>
      <c r="D1096" s="13" t="s">
        <v>20</v>
      </c>
      <c r="E1096" s="14" t="s">
        <v>21</v>
      </c>
      <c r="F1096" s="15"/>
      <c r="G1096" s="16" t="s">
        <v>20</v>
      </c>
      <c r="H1096" s="201" t="s">
        <v>22</v>
      </c>
      <c r="I1096" s="202"/>
      <c r="J1096" s="203"/>
    </row>
    <row r="1097" spans="1:10" ht="13.5" customHeight="1">
      <c r="A1097" s="117" t="s">
        <v>23</v>
      </c>
      <c r="B1097" s="118"/>
      <c r="C1097" s="1"/>
      <c r="D1097" s="2">
        <v>20000</v>
      </c>
      <c r="E1097" s="17" t="s">
        <v>24</v>
      </c>
      <c r="F1097" s="1"/>
      <c r="G1097" s="2" t="s">
        <v>25</v>
      </c>
      <c r="H1097" s="18" t="s">
        <v>26</v>
      </c>
      <c r="I1097" s="23"/>
      <c r="J1097" s="24"/>
    </row>
    <row r="1098" spans="1:10" ht="13.5" customHeight="1">
      <c r="A1098" s="17" t="s">
        <v>77</v>
      </c>
      <c r="B1098" s="209"/>
      <c r="C1098" s="209"/>
      <c r="D1098" s="2" t="s">
        <v>25</v>
      </c>
      <c r="E1098" s="17" t="s">
        <v>58</v>
      </c>
      <c r="F1098" s="1"/>
      <c r="G1098" s="2" t="s">
        <v>25</v>
      </c>
      <c r="H1098" s="18" t="s">
        <v>29</v>
      </c>
      <c r="I1098" s="23"/>
      <c r="J1098" s="24"/>
    </row>
    <row r="1099" spans="1:10" ht="13.5" customHeight="1">
      <c r="A1099" s="17" t="s">
        <v>30</v>
      </c>
      <c r="B1099" s="1"/>
      <c r="C1099" s="1"/>
      <c r="D1099" s="2">
        <v>433</v>
      </c>
      <c r="E1099" s="17" t="s">
        <v>146</v>
      </c>
      <c r="F1099" s="1"/>
      <c r="G1099" s="2" t="s">
        <v>25</v>
      </c>
      <c r="H1099" s="18" t="s">
        <v>32</v>
      </c>
      <c r="I1099" s="23"/>
      <c r="J1099" s="24"/>
    </row>
    <row r="1100" spans="1:10" ht="13.5" customHeight="1">
      <c r="A1100" s="17" t="s">
        <v>147</v>
      </c>
      <c r="B1100" s="1"/>
      <c r="C1100" s="1"/>
      <c r="D1100" s="2" t="s">
        <v>25</v>
      </c>
      <c r="E1100" s="17" t="s">
        <v>35</v>
      </c>
      <c r="F1100" s="1"/>
      <c r="G1100" s="2">
        <v>5333</v>
      </c>
      <c r="H1100" s="18"/>
      <c r="I1100" s="6"/>
      <c r="J1100" s="19"/>
    </row>
    <row r="1101" spans="1:10" ht="13.5" customHeight="1">
      <c r="A1101" s="17" t="s">
        <v>72</v>
      </c>
      <c r="B1101" s="1"/>
      <c r="C1101" s="1"/>
      <c r="D1101" s="2" t="s">
        <v>25</v>
      </c>
      <c r="E1101" s="17" t="s">
        <v>61</v>
      </c>
      <c r="F1101" s="1"/>
      <c r="G1101" s="2" t="s">
        <v>25</v>
      </c>
      <c r="H1101" s="18"/>
      <c r="I1101" s="6"/>
      <c r="J1101" s="19"/>
    </row>
    <row r="1102" spans="1:10" ht="13.5" customHeight="1">
      <c r="A1102" s="17" t="s">
        <v>136</v>
      </c>
      <c r="B1102" s="1"/>
      <c r="C1102" s="1"/>
      <c r="D1102" s="2" t="s">
        <v>25</v>
      </c>
      <c r="E1102" s="17" t="s">
        <v>39</v>
      </c>
      <c r="F1102" s="1"/>
      <c r="G1102" s="2">
        <v>100</v>
      </c>
      <c r="H1102" s="18"/>
      <c r="I1102" s="6"/>
      <c r="J1102" s="19"/>
    </row>
    <row r="1103" spans="1:10" ht="13.5" customHeight="1">
      <c r="A1103" s="18" t="s">
        <v>40</v>
      </c>
      <c r="B1103" s="6"/>
      <c r="C1103" s="6"/>
      <c r="D1103" s="2" t="s">
        <v>25</v>
      </c>
      <c r="E1103" s="17" t="s">
        <v>41</v>
      </c>
      <c r="F1103" s="1"/>
      <c r="G1103" s="2" t="s">
        <v>25</v>
      </c>
      <c r="H1103" s="18"/>
      <c r="I1103" s="6"/>
      <c r="J1103" s="19"/>
    </row>
    <row r="1104" spans="1:10" ht="13.5" customHeight="1">
      <c r="A1104" s="204" t="s">
        <v>63</v>
      </c>
      <c r="B1104" s="205"/>
      <c r="C1104" s="206"/>
      <c r="D1104" s="229">
        <f>SUM(D1097:D1103)</f>
        <v>20433</v>
      </c>
      <c r="E1104" s="1" t="s">
        <v>43</v>
      </c>
      <c r="F1104" s="1"/>
      <c r="G1104" s="2" t="s">
        <v>25</v>
      </c>
      <c r="H1104" s="18"/>
      <c r="I1104" s="6"/>
      <c r="J1104" s="19"/>
    </row>
    <row r="1105" spans="1:10" ht="13.5" customHeight="1">
      <c r="A1105" s="207"/>
      <c r="B1105" s="197"/>
      <c r="C1105" s="208"/>
      <c r="D1105" s="230"/>
      <c r="E1105" s="21" t="s">
        <v>21</v>
      </c>
      <c r="F1105" s="22"/>
      <c r="G1105" s="13">
        <f>SUM(G1097:G1104)</f>
        <v>5433</v>
      </c>
      <c r="H1105" s="21" t="s">
        <v>44</v>
      </c>
      <c r="I1105" s="22"/>
      <c r="J1105" s="13">
        <f>D1104-G1105</f>
        <v>15000</v>
      </c>
    </row>
    <row r="1106" spans="1:10" ht="13.5" customHeight="1">
      <c r="A1106" s="3" t="s">
        <v>45</v>
      </c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ht="13.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ht="13.5" customHeight="1">
      <c r="A1108" s="184" t="s">
        <v>0</v>
      </c>
      <c r="B1108" s="185"/>
      <c r="C1108" s="185"/>
      <c r="D1108" s="185"/>
      <c r="E1108" s="185"/>
      <c r="F1108" s="185"/>
      <c r="G1108" s="185"/>
      <c r="H1108" s="185"/>
      <c r="I1108" s="185"/>
      <c r="J1108" s="186"/>
    </row>
    <row r="1109" spans="1:10" ht="13.5" customHeight="1">
      <c r="A1109" s="187" t="s">
        <v>1</v>
      </c>
      <c r="B1109" s="188"/>
      <c r="C1109" s="188"/>
      <c r="D1109" s="188"/>
      <c r="E1109" s="188"/>
      <c r="F1109" s="188"/>
      <c r="G1109" s="188"/>
      <c r="H1109" s="188"/>
      <c r="I1109" s="188"/>
      <c r="J1109" s="189"/>
    </row>
    <row r="1110" spans="1:10" ht="13.5" customHeight="1">
      <c r="A1110" s="1" t="s">
        <v>2</v>
      </c>
      <c r="B1110" s="1"/>
      <c r="C1110" s="194" t="s">
        <v>696</v>
      </c>
      <c r="D1110" s="194"/>
      <c r="E1110" s="2"/>
      <c r="F1110" s="3"/>
      <c r="G1110" s="1" t="s">
        <v>4</v>
      </c>
      <c r="H1110" s="209" t="s">
        <v>236</v>
      </c>
      <c r="I1110" s="209"/>
      <c r="J1110" s="209"/>
    </row>
    <row r="1111" spans="1:10" ht="13.5" customHeight="1">
      <c r="A1111" s="1" t="s">
        <v>6</v>
      </c>
      <c r="B1111" s="1"/>
      <c r="C1111" s="25" t="s">
        <v>697</v>
      </c>
      <c r="D1111" s="25"/>
      <c r="E1111" s="6"/>
      <c r="F1111" s="3"/>
      <c r="G1111" s="1" t="s">
        <v>8</v>
      </c>
      <c r="H1111" s="193" t="s">
        <v>9</v>
      </c>
      <c r="I1111" s="193"/>
      <c r="J1111" s="193"/>
    </row>
    <row r="1112" spans="1:10" ht="13.5" customHeight="1">
      <c r="A1112" s="6" t="s">
        <v>10</v>
      </c>
      <c r="B1112" s="6"/>
      <c r="C1112" s="6" t="s">
        <v>563</v>
      </c>
      <c r="D1112" s="6"/>
      <c r="E1112" s="2"/>
      <c r="F1112" s="3"/>
      <c r="G1112" s="1" t="s">
        <v>12</v>
      </c>
      <c r="H1112" s="195" t="s">
        <v>13</v>
      </c>
      <c r="I1112" s="195"/>
      <c r="J1112" s="195"/>
    </row>
    <row r="1113" spans="1:10" ht="13.5" customHeight="1">
      <c r="A1113" s="2"/>
      <c r="B1113" s="2"/>
      <c r="C1113" s="2" t="s">
        <v>15</v>
      </c>
      <c r="D1113" s="2"/>
      <c r="E1113" s="2"/>
      <c r="F1113" s="3"/>
      <c r="G1113" s="1" t="s">
        <v>16</v>
      </c>
      <c r="H1113" s="196" t="s">
        <v>55</v>
      </c>
      <c r="I1113" s="196"/>
      <c r="J1113" s="196"/>
    </row>
    <row r="1114" spans="1:10" ht="13.5" customHeight="1">
      <c r="A1114" s="2">
        <v>30</v>
      </c>
      <c r="B1114" s="2"/>
      <c r="C1114" s="2">
        <f>A1114-I1114</f>
        <v>0</v>
      </c>
      <c r="D1114" s="2"/>
      <c r="E1114" s="2"/>
      <c r="F1114" s="3"/>
      <c r="G1114" s="8" t="s">
        <v>18</v>
      </c>
      <c r="H1114" s="8"/>
      <c r="I1114" s="9">
        <v>30</v>
      </c>
      <c r="J1114" s="9"/>
    </row>
    <row r="1115" spans="1:10" ht="13.5" customHeight="1">
      <c r="A1115" s="198" t="s">
        <v>19</v>
      </c>
      <c r="B1115" s="199"/>
      <c r="C1115" s="200"/>
      <c r="D1115" s="13" t="s">
        <v>20</v>
      </c>
      <c r="E1115" s="14" t="s">
        <v>21</v>
      </c>
      <c r="F1115" s="15"/>
      <c r="G1115" s="16" t="s">
        <v>20</v>
      </c>
      <c r="H1115" s="201" t="s">
        <v>22</v>
      </c>
      <c r="I1115" s="202"/>
      <c r="J1115" s="203"/>
    </row>
    <row r="1116" spans="1:10" ht="13.5" customHeight="1">
      <c r="A1116" s="17" t="s">
        <v>23</v>
      </c>
      <c r="B1116" s="1"/>
      <c r="C1116" s="1"/>
      <c r="D1116" s="56">
        <v>18000</v>
      </c>
      <c r="E1116" s="17" t="s">
        <v>24</v>
      </c>
      <c r="F1116" s="1"/>
      <c r="G1116" s="2" t="s">
        <v>25</v>
      </c>
      <c r="H1116" s="18" t="s">
        <v>26</v>
      </c>
      <c r="I1116" s="23"/>
      <c r="J1116" s="24"/>
    </row>
    <row r="1117" spans="1:10" ht="13.5" customHeight="1">
      <c r="A1117" s="17" t="s">
        <v>57</v>
      </c>
      <c r="B1117" s="209"/>
      <c r="C1117" s="209"/>
      <c r="D1117" s="2" t="s">
        <v>25</v>
      </c>
      <c r="E1117" s="17" t="s">
        <v>24</v>
      </c>
      <c r="F1117" s="1"/>
      <c r="G1117" s="2" t="s">
        <v>25</v>
      </c>
      <c r="H1117" s="18" t="s">
        <v>29</v>
      </c>
      <c r="I1117" s="23"/>
      <c r="J1117" s="24"/>
    </row>
    <row r="1118" spans="1:10" ht="13.5" customHeight="1">
      <c r="A1118" s="17" t="s">
        <v>30</v>
      </c>
      <c r="B1118" s="1"/>
      <c r="C1118" s="1"/>
      <c r="D1118" s="2">
        <v>100</v>
      </c>
      <c r="E1118" s="17" t="s">
        <v>62</v>
      </c>
      <c r="F1118" s="1"/>
      <c r="G1118" s="2" t="s">
        <v>25</v>
      </c>
      <c r="H1118" s="18" t="s">
        <v>32</v>
      </c>
      <c r="I1118" s="23"/>
      <c r="J1118" s="24"/>
    </row>
    <row r="1119" spans="1:10" ht="13.5" customHeight="1">
      <c r="A1119" s="17" t="s">
        <v>34</v>
      </c>
      <c r="B1119" s="1"/>
      <c r="C1119" s="1"/>
      <c r="D1119" s="2" t="s">
        <v>25</v>
      </c>
      <c r="E1119" s="17" t="s">
        <v>71</v>
      </c>
      <c r="F1119" s="1"/>
      <c r="G1119" s="2" t="s">
        <v>25</v>
      </c>
      <c r="H1119" s="18"/>
      <c r="I1119" s="6"/>
      <c r="J1119" s="40"/>
    </row>
    <row r="1120" spans="1:10" ht="13.5" customHeight="1">
      <c r="A1120" s="17" t="s">
        <v>36</v>
      </c>
      <c r="B1120" s="1"/>
      <c r="C1120" s="1"/>
      <c r="D1120" s="2" t="s">
        <v>25</v>
      </c>
      <c r="E1120" s="17" t="s">
        <v>61</v>
      </c>
      <c r="F1120" s="1"/>
      <c r="G1120" s="2" t="s">
        <v>25</v>
      </c>
      <c r="H1120" s="18"/>
      <c r="I1120" s="6"/>
      <c r="J1120" s="40"/>
    </row>
    <row r="1121" spans="1:10" ht="13.5" customHeight="1">
      <c r="A1121" s="17" t="s">
        <v>136</v>
      </c>
      <c r="B1121" s="1"/>
      <c r="C1121" s="1"/>
      <c r="D1121" s="2" t="s">
        <v>25</v>
      </c>
      <c r="E1121" s="17" t="s">
        <v>39</v>
      </c>
      <c r="F1121" s="1"/>
      <c r="G1121" s="2">
        <v>100</v>
      </c>
      <c r="H1121" s="18"/>
      <c r="I1121" s="6"/>
      <c r="J1121" s="40"/>
    </row>
    <row r="1122" spans="1:10" ht="13.5" customHeight="1">
      <c r="A1122" s="18" t="s">
        <v>40</v>
      </c>
      <c r="B1122" s="6"/>
      <c r="C1122" s="6"/>
      <c r="D1122" s="2" t="s">
        <v>25</v>
      </c>
      <c r="E1122" s="17" t="s">
        <v>62</v>
      </c>
      <c r="F1122" s="2"/>
      <c r="G1122" s="2" t="s">
        <v>25</v>
      </c>
      <c r="H1122" s="18"/>
      <c r="I1122" s="6"/>
      <c r="J1122" s="19"/>
    </row>
    <row r="1123" spans="1:10" ht="13.5" customHeight="1">
      <c r="A1123" s="204" t="s">
        <v>63</v>
      </c>
      <c r="B1123" s="205"/>
      <c r="C1123" s="206"/>
      <c r="D1123" s="229">
        <f>SUM(D1116:D1122)</f>
        <v>18100</v>
      </c>
      <c r="E1123" s="1" t="s">
        <v>43</v>
      </c>
      <c r="F1123" s="1"/>
      <c r="G1123" s="2" t="s">
        <v>25</v>
      </c>
      <c r="H1123" s="18"/>
      <c r="I1123" s="6"/>
      <c r="J1123" s="19"/>
    </row>
    <row r="1124" spans="1:10" ht="13.5" customHeight="1">
      <c r="A1124" s="207"/>
      <c r="B1124" s="197"/>
      <c r="C1124" s="208"/>
      <c r="D1124" s="230"/>
      <c r="E1124" s="21" t="s">
        <v>21</v>
      </c>
      <c r="F1124" s="22"/>
      <c r="G1124" s="13">
        <f>SUM(G1116:G1123)</f>
        <v>100</v>
      </c>
      <c r="H1124" s="21" t="s">
        <v>44</v>
      </c>
      <c r="I1124" s="22"/>
      <c r="J1124" s="13">
        <f>D1123-G1124</f>
        <v>18000</v>
      </c>
    </row>
    <row r="1125" spans="1:10" ht="13.5" customHeight="1">
      <c r="A1125" s="3" t="s">
        <v>45</v>
      </c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ht="13.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ht="13.5" customHeight="1">
      <c r="A1127" s="3"/>
      <c r="B1127" s="3" t="s">
        <v>47</v>
      </c>
      <c r="C1127" s="3"/>
      <c r="D1127" s="3" t="s">
        <v>73</v>
      </c>
      <c r="E1127" s="3" t="s">
        <v>48</v>
      </c>
      <c r="F1127" s="3"/>
      <c r="G1127" s="3"/>
      <c r="H1127" s="3" t="s">
        <v>49</v>
      </c>
      <c r="I1127" s="3"/>
      <c r="J1127" s="3"/>
    </row>
    <row r="1128" spans="1:10" ht="13.5" customHeight="1">
      <c r="A1128" s="184" t="s">
        <v>0</v>
      </c>
      <c r="B1128" s="185"/>
      <c r="C1128" s="185"/>
      <c r="D1128" s="185"/>
      <c r="E1128" s="185"/>
      <c r="F1128" s="185"/>
      <c r="G1128" s="185"/>
      <c r="H1128" s="185"/>
      <c r="I1128" s="185"/>
      <c r="J1128" s="186"/>
    </row>
    <row r="1129" spans="1:10" ht="13.5" customHeight="1">
      <c r="A1129" s="187" t="s">
        <v>1</v>
      </c>
      <c r="B1129" s="188"/>
      <c r="C1129" s="188"/>
      <c r="D1129" s="188"/>
      <c r="E1129" s="188"/>
      <c r="F1129" s="188"/>
      <c r="G1129" s="188"/>
      <c r="H1129" s="188"/>
      <c r="I1129" s="188"/>
      <c r="J1129" s="189"/>
    </row>
    <row r="1130" spans="1:10" ht="13.5" customHeight="1">
      <c r="A1130" s="1" t="s">
        <v>2</v>
      </c>
      <c r="B1130" s="1"/>
      <c r="C1130" s="194" t="s">
        <v>696</v>
      </c>
      <c r="D1130" s="194"/>
      <c r="E1130" s="2"/>
      <c r="F1130" s="3"/>
      <c r="G1130" s="1" t="s">
        <v>4</v>
      </c>
      <c r="H1130" s="209" t="s">
        <v>236</v>
      </c>
      <c r="I1130" s="209"/>
      <c r="J1130" s="209"/>
    </row>
    <row r="1131" spans="1:10" ht="13.5" customHeight="1">
      <c r="A1131" s="1" t="s">
        <v>6</v>
      </c>
      <c r="B1131" s="1"/>
      <c r="C1131" s="25" t="s">
        <v>698</v>
      </c>
      <c r="D1131" s="25"/>
      <c r="E1131" s="6"/>
      <c r="F1131" s="3"/>
      <c r="G1131" s="1" t="s">
        <v>8</v>
      </c>
      <c r="H1131" s="193" t="s">
        <v>9</v>
      </c>
      <c r="I1131" s="193"/>
      <c r="J1131" s="193"/>
    </row>
    <row r="1132" spans="1:10" ht="13.5" customHeight="1">
      <c r="A1132" s="6" t="s">
        <v>10</v>
      </c>
      <c r="B1132" s="6"/>
      <c r="C1132" s="6" t="s">
        <v>636</v>
      </c>
      <c r="D1132" s="6"/>
      <c r="E1132" s="2"/>
      <c r="F1132" s="3"/>
      <c r="G1132" s="1" t="s">
        <v>12</v>
      </c>
      <c r="H1132" s="195" t="s">
        <v>13</v>
      </c>
      <c r="I1132" s="195"/>
      <c r="J1132" s="195"/>
    </row>
    <row r="1133" spans="1:10" ht="13.5" customHeight="1">
      <c r="A1133" s="2"/>
      <c r="B1133" s="2"/>
      <c r="C1133" s="2" t="s">
        <v>15</v>
      </c>
      <c r="D1133" s="2"/>
      <c r="E1133" s="2"/>
      <c r="F1133" s="3"/>
      <c r="G1133" s="1" t="s">
        <v>16</v>
      </c>
      <c r="H1133" s="196" t="s">
        <v>140</v>
      </c>
      <c r="I1133" s="196"/>
      <c r="J1133" s="196"/>
    </row>
    <row r="1134" spans="1:10" ht="13.5" customHeight="1">
      <c r="A1134" s="2">
        <v>30</v>
      </c>
      <c r="B1134" s="2"/>
      <c r="C1134" s="2">
        <f>A1134-I1134</f>
        <v>0</v>
      </c>
      <c r="D1134" s="2"/>
      <c r="E1134" s="2"/>
      <c r="F1134" s="3"/>
      <c r="G1134" s="8" t="s">
        <v>18</v>
      </c>
      <c r="H1134" s="8"/>
      <c r="I1134" s="9">
        <v>30</v>
      </c>
      <c r="J1134" s="9"/>
    </row>
    <row r="1135" spans="1:10" ht="13.5" customHeight="1">
      <c r="A1135" s="198" t="s">
        <v>19</v>
      </c>
      <c r="B1135" s="199"/>
      <c r="C1135" s="200"/>
      <c r="D1135" s="13" t="s">
        <v>20</v>
      </c>
      <c r="E1135" s="14" t="s">
        <v>21</v>
      </c>
      <c r="F1135" s="15"/>
      <c r="G1135" s="16" t="s">
        <v>20</v>
      </c>
      <c r="H1135" s="201" t="s">
        <v>22</v>
      </c>
      <c r="I1135" s="202"/>
      <c r="J1135" s="203"/>
    </row>
    <row r="1136" spans="1:10" ht="13.5" customHeight="1">
      <c r="A1136" s="17" t="s">
        <v>23</v>
      </c>
      <c r="B1136" s="1"/>
      <c r="C1136" s="1"/>
      <c r="D1136" s="56">
        <v>18000</v>
      </c>
      <c r="E1136" s="17" t="s">
        <v>24</v>
      </c>
      <c r="F1136" s="1"/>
      <c r="G1136" s="2" t="s">
        <v>25</v>
      </c>
      <c r="H1136" s="18" t="s">
        <v>26</v>
      </c>
      <c r="I1136" s="23"/>
      <c r="J1136" s="24"/>
    </row>
    <row r="1137" spans="1:10" ht="13.5" customHeight="1">
      <c r="A1137" s="17" t="s">
        <v>57</v>
      </c>
      <c r="B1137" s="209"/>
      <c r="C1137" s="209"/>
      <c r="D1137" s="2" t="s">
        <v>25</v>
      </c>
      <c r="E1137" s="17" t="s">
        <v>24</v>
      </c>
      <c r="F1137" s="1"/>
      <c r="G1137" s="2" t="s">
        <v>25</v>
      </c>
      <c r="H1137" s="18" t="s">
        <v>29</v>
      </c>
      <c r="I1137" s="23"/>
      <c r="J1137" s="24"/>
    </row>
    <row r="1138" spans="1:10" ht="13.5" customHeight="1">
      <c r="A1138" s="17" t="s">
        <v>30</v>
      </c>
      <c r="B1138" s="1"/>
      <c r="C1138" s="1"/>
      <c r="D1138" s="2">
        <v>100</v>
      </c>
      <c r="E1138" s="17" t="s">
        <v>62</v>
      </c>
      <c r="F1138" s="1"/>
      <c r="G1138" s="2" t="s">
        <v>25</v>
      </c>
      <c r="H1138" s="18" t="s">
        <v>32</v>
      </c>
      <c r="I1138" s="23"/>
      <c r="J1138" s="24"/>
    </row>
    <row r="1139" spans="1:10" ht="13.5" customHeight="1">
      <c r="A1139" s="17" t="s">
        <v>34</v>
      </c>
      <c r="B1139" s="1"/>
      <c r="C1139" s="1"/>
      <c r="D1139" s="2" t="s">
        <v>25</v>
      </c>
      <c r="E1139" s="17" t="s">
        <v>71</v>
      </c>
      <c r="F1139" s="1"/>
      <c r="G1139" s="2" t="s">
        <v>25</v>
      </c>
      <c r="H1139" s="18"/>
      <c r="I1139" s="6"/>
      <c r="J1139" s="40"/>
    </row>
    <row r="1140" spans="1:10" ht="13.5" customHeight="1">
      <c r="A1140" s="17" t="s">
        <v>36</v>
      </c>
      <c r="B1140" s="1"/>
      <c r="C1140" s="1"/>
      <c r="D1140" s="2" t="s">
        <v>25</v>
      </c>
      <c r="E1140" s="17" t="s">
        <v>61</v>
      </c>
      <c r="F1140" s="1"/>
      <c r="G1140" s="2" t="s">
        <v>25</v>
      </c>
      <c r="H1140" s="18"/>
      <c r="I1140" s="6"/>
      <c r="J1140" s="40"/>
    </row>
    <row r="1141" spans="1:10" ht="13.5" customHeight="1">
      <c r="A1141" s="17" t="s">
        <v>136</v>
      </c>
      <c r="B1141" s="1"/>
      <c r="C1141" s="1"/>
      <c r="D1141" s="2" t="s">
        <v>25</v>
      </c>
      <c r="E1141" s="17" t="s">
        <v>39</v>
      </c>
      <c r="F1141" s="1"/>
      <c r="G1141" s="2">
        <v>100</v>
      </c>
      <c r="H1141" s="18"/>
      <c r="I1141" s="6"/>
      <c r="J1141" s="40"/>
    </row>
    <row r="1142" spans="1:10" ht="13.5" customHeight="1">
      <c r="A1142" s="18" t="s">
        <v>40</v>
      </c>
      <c r="B1142" s="6"/>
      <c r="C1142" s="6"/>
      <c r="D1142" s="2" t="s">
        <v>25</v>
      </c>
      <c r="E1142" s="17" t="s">
        <v>62</v>
      </c>
      <c r="F1142" s="2"/>
      <c r="G1142" s="2" t="s">
        <v>25</v>
      </c>
      <c r="H1142" s="18"/>
      <c r="I1142" s="6"/>
      <c r="J1142" s="19"/>
    </row>
    <row r="1143" spans="1:10" ht="13.5" customHeight="1">
      <c r="A1143" s="204" t="s">
        <v>63</v>
      </c>
      <c r="B1143" s="205"/>
      <c r="C1143" s="206"/>
      <c r="D1143" s="229">
        <f>SUM(D1136:D1142)</f>
        <v>18100</v>
      </c>
      <c r="E1143" s="1" t="s">
        <v>43</v>
      </c>
      <c r="F1143" s="1"/>
      <c r="G1143" s="2" t="s">
        <v>25</v>
      </c>
      <c r="H1143" s="18"/>
      <c r="I1143" s="6"/>
      <c r="J1143" s="19"/>
    </row>
    <row r="1144" spans="1:10" ht="13.5" customHeight="1">
      <c r="A1144" s="207"/>
      <c r="B1144" s="197"/>
      <c r="C1144" s="208"/>
      <c r="D1144" s="230"/>
      <c r="E1144" s="21" t="s">
        <v>21</v>
      </c>
      <c r="F1144" s="22"/>
      <c r="G1144" s="13">
        <f>SUM(G1136:G1143)</f>
        <v>100</v>
      </c>
      <c r="H1144" s="21" t="s">
        <v>44</v>
      </c>
      <c r="I1144" s="22"/>
      <c r="J1144" s="13">
        <f>D1143-G1144</f>
        <v>18000</v>
      </c>
    </row>
    <row r="1145" spans="1:10" ht="13.5" customHeight="1">
      <c r="A1145" s="3" t="s">
        <v>45</v>
      </c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ht="13.5" customHeight="1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ht="13.5" customHeight="1">
      <c r="A1147" s="3"/>
      <c r="B1147" s="3" t="s">
        <v>47</v>
      </c>
      <c r="C1147" s="3"/>
      <c r="D1147" s="3" t="s">
        <v>73</v>
      </c>
      <c r="E1147" s="3" t="s">
        <v>48</v>
      </c>
      <c r="F1147" s="3"/>
      <c r="G1147" s="3"/>
      <c r="H1147" s="3" t="s">
        <v>49</v>
      </c>
      <c r="I1147" s="3"/>
      <c r="J1147" s="3"/>
    </row>
    <row r="1148" spans="1:10" ht="13.5" customHeight="1">
      <c r="A1148" s="184" t="s">
        <v>0</v>
      </c>
      <c r="B1148" s="185"/>
      <c r="C1148" s="185"/>
      <c r="D1148" s="185"/>
      <c r="E1148" s="185"/>
      <c r="F1148" s="185"/>
      <c r="G1148" s="185"/>
      <c r="H1148" s="185"/>
      <c r="I1148" s="185"/>
      <c r="J1148" s="186"/>
    </row>
    <row r="1149" spans="1:10" ht="13.5" customHeight="1">
      <c r="A1149" s="187" t="s">
        <v>1</v>
      </c>
      <c r="B1149" s="188"/>
      <c r="C1149" s="188"/>
      <c r="D1149" s="188"/>
      <c r="E1149" s="188"/>
      <c r="F1149" s="188"/>
      <c r="G1149" s="188"/>
      <c r="H1149" s="188"/>
      <c r="I1149" s="188"/>
      <c r="J1149" s="189"/>
    </row>
    <row r="1150" spans="1:10" ht="13.5" customHeight="1">
      <c r="A1150" s="1" t="s">
        <v>2</v>
      </c>
      <c r="B1150" s="1"/>
      <c r="C1150" s="194" t="s">
        <v>696</v>
      </c>
      <c r="D1150" s="194"/>
      <c r="E1150" s="2"/>
      <c r="F1150" s="3"/>
      <c r="G1150" s="1" t="s">
        <v>4</v>
      </c>
      <c r="H1150" s="209" t="s">
        <v>236</v>
      </c>
      <c r="I1150" s="209"/>
      <c r="J1150" s="209"/>
    </row>
    <row r="1151" spans="1:10" ht="13.5" customHeight="1">
      <c r="A1151" s="1" t="s">
        <v>6</v>
      </c>
      <c r="B1151" s="1"/>
      <c r="C1151" s="25" t="s">
        <v>699</v>
      </c>
      <c r="D1151" s="25"/>
      <c r="E1151" s="6"/>
      <c r="F1151" s="3"/>
      <c r="G1151" s="1" t="s">
        <v>8</v>
      </c>
      <c r="H1151" s="193" t="s">
        <v>9</v>
      </c>
      <c r="I1151" s="193"/>
      <c r="J1151" s="193"/>
    </row>
    <row r="1152" spans="1:10" ht="13.5" customHeight="1">
      <c r="A1152" s="6" t="s">
        <v>10</v>
      </c>
      <c r="B1152" s="6"/>
      <c r="C1152" s="6" t="s">
        <v>636</v>
      </c>
      <c r="D1152" s="6"/>
      <c r="E1152" s="2"/>
      <c r="F1152" s="3"/>
      <c r="G1152" s="1" t="s">
        <v>12</v>
      </c>
      <c r="H1152" s="195" t="s">
        <v>13</v>
      </c>
      <c r="I1152" s="195"/>
      <c r="J1152" s="195"/>
    </row>
    <row r="1153" spans="1:10" ht="13.5" customHeight="1">
      <c r="A1153" s="2"/>
      <c r="B1153" s="2"/>
      <c r="C1153" s="2" t="s">
        <v>15</v>
      </c>
      <c r="D1153" s="2"/>
      <c r="E1153" s="2"/>
      <c r="F1153" s="3"/>
      <c r="G1153" s="1" t="s">
        <v>16</v>
      </c>
      <c r="H1153" s="196" t="s">
        <v>55</v>
      </c>
      <c r="I1153" s="196"/>
      <c r="J1153" s="196"/>
    </row>
    <row r="1154" spans="1:10" ht="13.5" customHeight="1">
      <c r="A1154" s="2">
        <v>30</v>
      </c>
      <c r="B1154" s="2"/>
      <c r="C1154" s="2">
        <f>A1154-I1154</f>
        <v>20</v>
      </c>
      <c r="D1154" s="2"/>
      <c r="E1154" s="2"/>
      <c r="F1154" s="3"/>
      <c r="G1154" s="8" t="s">
        <v>18</v>
      </c>
      <c r="H1154" s="8"/>
      <c r="I1154" s="9">
        <v>10</v>
      </c>
      <c r="J1154" s="9"/>
    </row>
    <row r="1155" spans="1:10" ht="13.5" customHeight="1">
      <c r="A1155" s="198" t="s">
        <v>19</v>
      </c>
      <c r="B1155" s="199"/>
      <c r="C1155" s="200"/>
      <c r="D1155" s="13" t="s">
        <v>20</v>
      </c>
      <c r="E1155" s="14" t="s">
        <v>21</v>
      </c>
      <c r="F1155" s="15"/>
      <c r="G1155" s="16" t="s">
        <v>20</v>
      </c>
      <c r="H1155" s="201" t="s">
        <v>22</v>
      </c>
      <c r="I1155" s="202"/>
      <c r="J1155" s="203"/>
    </row>
    <row r="1156" spans="1:10" ht="13.5" customHeight="1">
      <c r="A1156" s="17" t="s">
        <v>23</v>
      </c>
      <c r="B1156" s="1"/>
      <c r="C1156" s="1"/>
      <c r="D1156" s="56">
        <v>18000</v>
      </c>
      <c r="E1156" s="17" t="s">
        <v>24</v>
      </c>
      <c r="F1156" s="1"/>
      <c r="G1156" s="2" t="s">
        <v>25</v>
      </c>
      <c r="H1156" s="18" t="s">
        <v>26</v>
      </c>
      <c r="I1156" s="23"/>
      <c r="J1156" s="24"/>
    </row>
    <row r="1157" spans="1:10" ht="13.5" customHeight="1">
      <c r="A1157" s="17" t="s">
        <v>57</v>
      </c>
      <c r="B1157" s="209"/>
      <c r="C1157" s="209"/>
      <c r="D1157" s="2" t="s">
        <v>25</v>
      </c>
      <c r="E1157" s="17" t="s">
        <v>24</v>
      </c>
      <c r="F1157" s="1"/>
      <c r="G1157" s="2" t="s">
        <v>25</v>
      </c>
      <c r="H1157" s="18" t="s">
        <v>29</v>
      </c>
      <c r="I1157" s="23"/>
      <c r="J1157" s="24"/>
    </row>
    <row r="1158" spans="1:10" ht="13.5" customHeight="1">
      <c r="A1158" s="17" t="s">
        <v>30</v>
      </c>
      <c r="B1158" s="1"/>
      <c r="C1158" s="1"/>
      <c r="D1158" s="2" t="s">
        <v>25</v>
      </c>
      <c r="E1158" s="17" t="s">
        <v>62</v>
      </c>
      <c r="F1158" s="1"/>
      <c r="G1158" s="2" t="s">
        <v>25</v>
      </c>
      <c r="H1158" s="18" t="s">
        <v>32</v>
      </c>
      <c r="I1158" s="23"/>
      <c r="J1158" s="24"/>
    </row>
    <row r="1159" spans="1:10" ht="13.5" customHeight="1">
      <c r="A1159" s="17" t="s">
        <v>34</v>
      </c>
      <c r="B1159" s="1"/>
      <c r="C1159" s="1"/>
      <c r="D1159" s="2" t="s">
        <v>25</v>
      </c>
      <c r="E1159" s="17" t="s">
        <v>71</v>
      </c>
      <c r="F1159" s="1"/>
      <c r="G1159" s="2">
        <v>12000</v>
      </c>
      <c r="H1159" s="18"/>
      <c r="I1159" s="6"/>
      <c r="J1159" s="40"/>
    </row>
    <row r="1160" spans="1:10" ht="13.5" customHeight="1">
      <c r="A1160" s="17" t="s">
        <v>36</v>
      </c>
      <c r="B1160" s="1"/>
      <c r="C1160" s="1"/>
      <c r="D1160" s="2" t="s">
        <v>25</v>
      </c>
      <c r="E1160" s="17" t="s">
        <v>61</v>
      </c>
      <c r="F1160" s="1"/>
      <c r="G1160" s="2" t="s">
        <v>25</v>
      </c>
      <c r="H1160" s="18"/>
      <c r="I1160" s="6"/>
      <c r="J1160" s="40"/>
    </row>
    <row r="1161" spans="1:10" ht="13.5" customHeight="1">
      <c r="A1161" s="17" t="s">
        <v>136</v>
      </c>
      <c r="B1161" s="1"/>
      <c r="C1161" s="1"/>
      <c r="D1161" s="2" t="s">
        <v>25</v>
      </c>
      <c r="E1161" s="17" t="s">
        <v>39</v>
      </c>
      <c r="F1161" s="1"/>
      <c r="G1161" s="2">
        <v>100</v>
      </c>
      <c r="H1161" s="18"/>
      <c r="I1161" s="6"/>
      <c r="J1161" s="40"/>
    </row>
    <row r="1162" spans="1:10" ht="13.5" customHeight="1">
      <c r="A1162" s="18" t="s">
        <v>40</v>
      </c>
      <c r="B1162" s="6"/>
      <c r="C1162" s="6"/>
      <c r="D1162" s="2" t="s">
        <v>25</v>
      </c>
      <c r="E1162" s="17" t="s">
        <v>62</v>
      </c>
      <c r="F1162" s="2"/>
      <c r="G1162" s="2" t="s">
        <v>25</v>
      </c>
      <c r="H1162" s="18"/>
      <c r="I1162" s="6"/>
      <c r="J1162" s="19"/>
    </row>
    <row r="1163" spans="1:10" ht="13.5" customHeight="1">
      <c r="A1163" s="204" t="s">
        <v>63</v>
      </c>
      <c r="B1163" s="205"/>
      <c r="C1163" s="206"/>
      <c r="D1163" s="229">
        <f>SUM(D1156:D1162)</f>
        <v>18000</v>
      </c>
      <c r="E1163" s="1" t="s">
        <v>43</v>
      </c>
      <c r="F1163" s="1"/>
      <c r="G1163" s="2" t="s">
        <v>25</v>
      </c>
      <c r="H1163" s="18"/>
      <c r="I1163" s="6"/>
      <c r="J1163" s="19"/>
    </row>
    <row r="1164" spans="1:10" ht="13.5" customHeight="1">
      <c r="A1164" s="207"/>
      <c r="B1164" s="197"/>
      <c r="C1164" s="208"/>
      <c r="D1164" s="230"/>
      <c r="E1164" s="21" t="s">
        <v>21</v>
      </c>
      <c r="F1164" s="22"/>
      <c r="G1164" s="13">
        <f>SUM(G1156:G1163)</f>
        <v>12100</v>
      </c>
      <c r="H1164" s="21" t="s">
        <v>44</v>
      </c>
      <c r="I1164" s="22"/>
      <c r="J1164" s="13">
        <f>D1163-G1164</f>
        <v>5900</v>
      </c>
    </row>
    <row r="1165" spans="1:10" ht="13.5" customHeight="1">
      <c r="A1165" s="3" t="s">
        <v>45</v>
      </c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ht="13.5" customHeigh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ht="13.5" customHeight="1">
      <c r="A1167" s="3"/>
      <c r="B1167" s="3" t="s">
        <v>47</v>
      </c>
      <c r="C1167" s="3"/>
      <c r="D1167" s="3" t="s">
        <v>73</v>
      </c>
      <c r="E1167" s="3" t="s">
        <v>48</v>
      </c>
      <c r="F1167" s="3"/>
      <c r="G1167" s="3"/>
      <c r="H1167" s="3" t="s">
        <v>49</v>
      </c>
      <c r="I1167" s="3"/>
      <c r="J1167" s="3"/>
    </row>
    <row r="1168" spans="1:10" ht="13.5" customHeight="1">
      <c r="A1168" s="184" t="s">
        <v>0</v>
      </c>
      <c r="B1168" s="185"/>
      <c r="C1168" s="185"/>
      <c r="D1168" s="185"/>
      <c r="E1168" s="185"/>
      <c r="F1168" s="185"/>
      <c r="G1168" s="185"/>
      <c r="H1168" s="185"/>
      <c r="I1168" s="185"/>
      <c r="J1168" s="186"/>
    </row>
    <row r="1169" spans="1:10" ht="13.5" customHeight="1">
      <c r="A1169" s="187" t="s">
        <v>1</v>
      </c>
      <c r="B1169" s="188"/>
      <c r="C1169" s="188"/>
      <c r="D1169" s="188"/>
      <c r="E1169" s="188"/>
      <c r="F1169" s="188"/>
      <c r="G1169" s="188"/>
      <c r="H1169" s="188"/>
      <c r="I1169" s="188"/>
      <c r="J1169" s="189"/>
    </row>
    <row r="1170" spans="1:10" ht="13.5" customHeight="1">
      <c r="A1170" s="1" t="s">
        <v>2</v>
      </c>
      <c r="B1170" s="1"/>
      <c r="C1170" s="190" t="s">
        <v>650</v>
      </c>
      <c r="D1170" s="190"/>
      <c r="E1170" s="2"/>
      <c r="F1170" s="3"/>
      <c r="G1170" s="1" t="s">
        <v>4</v>
      </c>
      <c r="H1170" s="209" t="s">
        <v>240</v>
      </c>
      <c r="I1170" s="209"/>
      <c r="J1170" s="209"/>
    </row>
    <row r="1171" spans="1:10" ht="13.5" customHeight="1">
      <c r="A1171" s="1" t="s">
        <v>6</v>
      </c>
      <c r="B1171" s="1"/>
      <c r="C1171" s="25" t="s">
        <v>700</v>
      </c>
      <c r="D1171" s="25"/>
      <c r="E1171" s="2"/>
      <c r="F1171" s="3"/>
      <c r="G1171" s="1" t="s">
        <v>8</v>
      </c>
      <c r="H1171" s="193" t="s">
        <v>9</v>
      </c>
      <c r="I1171" s="193"/>
      <c r="J1171" s="193"/>
    </row>
    <row r="1172" spans="1:10" ht="13.5" customHeight="1">
      <c r="A1172" s="6" t="s">
        <v>10</v>
      </c>
      <c r="B1172" s="6"/>
      <c r="C1172" s="194" t="s">
        <v>571</v>
      </c>
      <c r="D1172" s="194"/>
      <c r="E1172" s="2"/>
      <c r="F1172" s="3"/>
      <c r="G1172" s="1" t="s">
        <v>12</v>
      </c>
      <c r="H1172" s="195" t="s">
        <v>13</v>
      </c>
      <c r="I1172" s="195"/>
      <c r="J1172" s="195"/>
    </row>
    <row r="1173" spans="1:10" ht="13.5" customHeight="1">
      <c r="A1173" s="2" t="s">
        <v>14</v>
      </c>
      <c r="B1173" s="2"/>
      <c r="C1173" s="2" t="s">
        <v>15</v>
      </c>
      <c r="D1173" s="2"/>
      <c r="E1173" s="2"/>
      <c r="F1173" s="3"/>
      <c r="G1173" s="1" t="s">
        <v>16</v>
      </c>
      <c r="H1173" s="196" t="s">
        <v>140</v>
      </c>
      <c r="I1173" s="196"/>
      <c r="J1173" s="196"/>
    </row>
    <row r="1174" spans="1:10" ht="13.5" customHeight="1">
      <c r="A1174" s="2">
        <v>30</v>
      </c>
      <c r="B1174" s="2"/>
      <c r="C1174" s="2">
        <f>A1174-H1174</f>
        <v>1</v>
      </c>
      <c r="D1174" s="2"/>
      <c r="E1174" s="2"/>
      <c r="F1174" s="3"/>
      <c r="G1174" s="8" t="s">
        <v>18</v>
      </c>
      <c r="H1174" s="197">
        <v>29</v>
      </c>
      <c r="I1174" s="197"/>
      <c r="J1174" s="197"/>
    </row>
    <row r="1175" spans="1:10" ht="13.5" customHeight="1">
      <c r="A1175" s="198" t="s">
        <v>19</v>
      </c>
      <c r="B1175" s="199"/>
      <c r="C1175" s="200"/>
      <c r="D1175" s="13" t="s">
        <v>20</v>
      </c>
      <c r="E1175" s="14" t="s">
        <v>21</v>
      </c>
      <c r="F1175" s="15"/>
      <c r="G1175" s="16" t="s">
        <v>20</v>
      </c>
      <c r="H1175" s="201" t="s">
        <v>22</v>
      </c>
      <c r="I1175" s="202"/>
      <c r="J1175" s="203"/>
    </row>
    <row r="1176" spans="1:10" ht="13.5" customHeight="1">
      <c r="A1176" s="17" t="s">
        <v>23</v>
      </c>
      <c r="B1176" s="1"/>
      <c r="C1176" s="1"/>
      <c r="D1176" s="2">
        <v>20000</v>
      </c>
      <c r="E1176" s="17" t="s">
        <v>24</v>
      </c>
      <c r="F1176" s="1"/>
      <c r="G1176" s="2" t="s">
        <v>25</v>
      </c>
      <c r="H1176" s="18" t="s">
        <v>26</v>
      </c>
      <c r="I1176" s="23"/>
      <c r="J1176" s="24"/>
    </row>
    <row r="1177" spans="1:10" ht="13.5" customHeight="1">
      <c r="A1177" s="17" t="s">
        <v>57</v>
      </c>
      <c r="B1177" s="209" t="s">
        <v>320</v>
      </c>
      <c r="C1177" s="209"/>
      <c r="D1177" s="2">
        <v>1333</v>
      </c>
      <c r="E1177" s="17" t="s">
        <v>28</v>
      </c>
      <c r="F1177" s="1"/>
      <c r="G1177" s="2" t="s">
        <v>25</v>
      </c>
      <c r="H1177" s="18" t="s">
        <v>29</v>
      </c>
      <c r="I1177" s="23"/>
      <c r="J1177" s="24"/>
    </row>
    <row r="1178" spans="1:10" ht="13.5" customHeight="1">
      <c r="A1178" s="17" t="s">
        <v>30</v>
      </c>
      <c r="B1178" s="1"/>
      <c r="C1178" s="1"/>
      <c r="D1178" s="2" t="s">
        <v>25</v>
      </c>
      <c r="E1178" s="17" t="s">
        <v>58</v>
      </c>
      <c r="F1178" s="1"/>
      <c r="G1178" s="2" t="s">
        <v>25</v>
      </c>
      <c r="H1178" s="18" t="s">
        <v>32</v>
      </c>
      <c r="I1178" s="23"/>
      <c r="J1178" s="24"/>
    </row>
    <row r="1179" spans="1:10" ht="13.5" customHeight="1">
      <c r="A1179" s="17" t="s">
        <v>34</v>
      </c>
      <c r="B1179" s="1"/>
      <c r="C1179" s="1"/>
      <c r="D1179" s="2" t="s">
        <v>25</v>
      </c>
      <c r="E1179" s="17" t="s">
        <v>71</v>
      </c>
      <c r="F1179" s="1"/>
      <c r="G1179" s="2">
        <v>667</v>
      </c>
      <c r="H1179" s="18"/>
      <c r="I1179" s="36"/>
      <c r="J1179" s="19"/>
    </row>
    <row r="1180" spans="1:10" ht="13.5" customHeight="1">
      <c r="A1180" s="17" t="s">
        <v>110</v>
      </c>
      <c r="B1180" s="1"/>
      <c r="C1180" s="1"/>
      <c r="D1180" s="2" t="s">
        <v>25</v>
      </c>
      <c r="E1180" s="17" t="s">
        <v>37</v>
      </c>
      <c r="F1180" s="1"/>
      <c r="G1180" s="2">
        <v>200</v>
      </c>
      <c r="H1180" s="18" t="s">
        <v>701</v>
      </c>
      <c r="I1180" s="6"/>
      <c r="J1180" s="39"/>
    </row>
    <row r="1181" spans="1:10" ht="13.5" customHeight="1">
      <c r="A1181" s="17" t="s">
        <v>78</v>
      </c>
      <c r="B1181" s="1"/>
      <c r="C1181" s="1"/>
      <c r="D1181" s="2" t="s">
        <v>25</v>
      </c>
      <c r="E1181" s="17" t="s">
        <v>39</v>
      </c>
      <c r="F1181" s="1"/>
      <c r="G1181" s="2">
        <v>100</v>
      </c>
      <c r="H1181" s="18"/>
      <c r="I1181" s="6"/>
      <c r="J1181" s="39"/>
    </row>
    <row r="1182" spans="1:10" ht="13.5" customHeight="1">
      <c r="A1182" s="18" t="s">
        <v>40</v>
      </c>
      <c r="B1182" s="6"/>
      <c r="C1182" s="6"/>
      <c r="D1182" s="2" t="s">
        <v>25</v>
      </c>
      <c r="E1182" s="17" t="s">
        <v>62</v>
      </c>
      <c r="F1182" s="2">
        <v>20</v>
      </c>
      <c r="G1182" s="2">
        <v>1600</v>
      </c>
      <c r="H1182" s="18"/>
      <c r="I1182" s="6"/>
      <c r="J1182" s="39"/>
    </row>
    <row r="1183" spans="1:10" ht="13.5" customHeight="1">
      <c r="A1183" s="204" t="s">
        <v>63</v>
      </c>
      <c r="B1183" s="205"/>
      <c r="C1183" s="206"/>
      <c r="D1183" s="229">
        <f>SUM(D1176:D1182)</f>
        <v>21333</v>
      </c>
      <c r="E1183" s="1" t="s">
        <v>78</v>
      </c>
      <c r="F1183" s="1"/>
      <c r="G1183" s="2" t="s">
        <v>25</v>
      </c>
      <c r="H1183" s="18"/>
      <c r="I1183" s="6"/>
      <c r="J1183" s="19"/>
    </row>
    <row r="1184" spans="1:10" ht="13.5" customHeight="1">
      <c r="A1184" s="207"/>
      <c r="B1184" s="197"/>
      <c r="C1184" s="208"/>
      <c r="D1184" s="230"/>
      <c r="E1184" s="21" t="s">
        <v>21</v>
      </c>
      <c r="F1184" s="22"/>
      <c r="G1184" s="13">
        <f>SUM(G1176:G1183)</f>
        <v>2567</v>
      </c>
      <c r="H1184" s="21" t="s">
        <v>44</v>
      </c>
      <c r="I1184" s="22"/>
      <c r="J1184" s="13">
        <f>D1183-G1184</f>
        <v>18766</v>
      </c>
    </row>
    <row r="1185" spans="1:10" ht="13.5" customHeight="1">
      <c r="A1185" s="3" t="s">
        <v>45</v>
      </c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ht="13.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ht="13.5" customHeight="1">
      <c r="A1187" s="3"/>
      <c r="B1187" s="3" t="s">
        <v>47</v>
      </c>
      <c r="C1187" s="3"/>
      <c r="D1187" s="3"/>
      <c r="E1187" s="3" t="s">
        <v>48</v>
      </c>
      <c r="F1187" s="3"/>
      <c r="G1187" s="3"/>
      <c r="H1187" s="3" t="s">
        <v>49</v>
      </c>
      <c r="I1187" s="3"/>
      <c r="J1187" s="3"/>
    </row>
    <row r="1188" spans="1:10" ht="13.5" customHeight="1">
      <c r="A1188" s="184" t="s">
        <v>0</v>
      </c>
      <c r="B1188" s="185"/>
      <c r="C1188" s="185"/>
      <c r="D1188" s="185"/>
      <c r="E1188" s="185"/>
      <c r="F1188" s="185"/>
      <c r="G1188" s="185"/>
      <c r="H1188" s="185"/>
      <c r="I1188" s="185"/>
      <c r="J1188" s="186"/>
    </row>
    <row r="1189" spans="1:10" ht="13.5" customHeight="1">
      <c r="A1189" s="187" t="s">
        <v>1</v>
      </c>
      <c r="B1189" s="188"/>
      <c r="C1189" s="188"/>
      <c r="D1189" s="188"/>
      <c r="E1189" s="188"/>
      <c r="F1189" s="188"/>
      <c r="G1189" s="188"/>
      <c r="H1189" s="188"/>
      <c r="I1189" s="188"/>
      <c r="J1189" s="189"/>
    </row>
    <row r="1190" spans="1:10" ht="13.5" customHeight="1">
      <c r="A1190" s="1" t="s">
        <v>2</v>
      </c>
      <c r="B1190" s="1"/>
      <c r="C1190" s="209" t="s">
        <v>569</v>
      </c>
      <c r="D1190" s="209"/>
      <c r="E1190" s="2"/>
      <c r="F1190" s="3"/>
      <c r="G1190" s="1" t="s">
        <v>4</v>
      </c>
      <c r="H1190" s="209" t="s">
        <v>240</v>
      </c>
      <c r="I1190" s="209"/>
      <c r="J1190" s="209"/>
    </row>
    <row r="1191" spans="1:10" ht="13.5" customHeight="1">
      <c r="A1191" s="1" t="s">
        <v>6</v>
      </c>
      <c r="B1191" s="1"/>
      <c r="C1191" s="196" t="s">
        <v>702</v>
      </c>
      <c r="D1191" s="196"/>
      <c r="E1191" s="2"/>
      <c r="F1191" s="3"/>
      <c r="G1191" s="1" t="s">
        <v>8</v>
      </c>
      <c r="H1191" s="193" t="s">
        <v>9</v>
      </c>
      <c r="I1191" s="193"/>
      <c r="J1191" s="193"/>
    </row>
    <row r="1192" spans="1:10" ht="13.5" customHeight="1">
      <c r="A1192" s="6" t="s">
        <v>10</v>
      </c>
      <c r="B1192" s="6"/>
      <c r="C1192" s="209" t="s">
        <v>563</v>
      </c>
      <c r="D1192" s="209"/>
      <c r="E1192" s="2"/>
      <c r="F1192" s="3"/>
      <c r="G1192" s="1" t="s">
        <v>12</v>
      </c>
      <c r="H1192" s="195" t="s">
        <v>13</v>
      </c>
      <c r="I1192" s="195"/>
      <c r="J1192" s="195"/>
    </row>
    <row r="1193" spans="1:10" ht="13.5" customHeight="1">
      <c r="A1193" s="2" t="s">
        <v>14</v>
      </c>
      <c r="B1193" s="2"/>
      <c r="C1193" s="2" t="s">
        <v>15</v>
      </c>
      <c r="D1193" s="2"/>
      <c r="E1193" s="2"/>
      <c r="F1193" s="3"/>
      <c r="G1193" s="1" t="s">
        <v>16</v>
      </c>
      <c r="H1193" s="209" t="s">
        <v>55</v>
      </c>
      <c r="I1193" s="209"/>
      <c r="J1193" s="209"/>
    </row>
    <row r="1194" spans="1:10" ht="13.5" customHeight="1">
      <c r="A1194" s="2">
        <v>30</v>
      </c>
      <c r="B1194" s="2"/>
      <c r="C1194" s="2">
        <f>A1194-H1194</f>
        <v>0</v>
      </c>
      <c r="D1194" s="2"/>
      <c r="E1194" s="2"/>
      <c r="F1194" s="3"/>
      <c r="G1194" s="8" t="s">
        <v>18</v>
      </c>
      <c r="H1194" s="197">
        <v>30</v>
      </c>
      <c r="I1194" s="197"/>
      <c r="J1194" s="197"/>
    </row>
    <row r="1195" spans="1:10" ht="13.5" customHeight="1">
      <c r="A1195" s="198" t="s">
        <v>19</v>
      </c>
      <c r="B1195" s="199"/>
      <c r="C1195" s="200"/>
      <c r="D1195" s="13" t="s">
        <v>20</v>
      </c>
      <c r="E1195" s="14" t="s">
        <v>21</v>
      </c>
      <c r="F1195" s="15"/>
      <c r="G1195" s="16" t="s">
        <v>20</v>
      </c>
      <c r="H1195" s="201" t="s">
        <v>22</v>
      </c>
      <c r="I1195" s="202"/>
      <c r="J1195" s="203"/>
    </row>
    <row r="1196" spans="1:10" ht="13.5" customHeight="1">
      <c r="A1196" s="117" t="s">
        <v>23</v>
      </c>
      <c r="B1196" s="118"/>
      <c r="C1196" s="1"/>
      <c r="D1196" s="2">
        <v>15000</v>
      </c>
      <c r="E1196" s="17" t="s">
        <v>24</v>
      </c>
      <c r="F1196" s="1"/>
      <c r="G1196" s="2" t="s">
        <v>25</v>
      </c>
      <c r="H1196" s="18" t="s">
        <v>26</v>
      </c>
      <c r="I1196" s="23"/>
      <c r="J1196" s="24"/>
    </row>
    <row r="1197" spans="1:10" ht="13.5" customHeight="1">
      <c r="A1197" s="17" t="s">
        <v>77</v>
      </c>
      <c r="B1197" s="209"/>
      <c r="C1197" s="209"/>
      <c r="D1197" s="2" t="s">
        <v>25</v>
      </c>
      <c r="E1197" s="17" t="s">
        <v>58</v>
      </c>
      <c r="F1197" s="1"/>
      <c r="G1197" s="2" t="s">
        <v>25</v>
      </c>
      <c r="H1197" s="18" t="s">
        <v>29</v>
      </c>
      <c r="I1197" s="23"/>
      <c r="J1197" s="24"/>
    </row>
    <row r="1198" spans="1:10" ht="13.5" customHeight="1">
      <c r="A1198" s="17" t="s">
        <v>30</v>
      </c>
      <c r="B1198" s="1"/>
      <c r="C1198" s="1"/>
      <c r="D1198" s="2">
        <v>3100</v>
      </c>
      <c r="E1198" s="17" t="s">
        <v>146</v>
      </c>
      <c r="F1198" s="1"/>
      <c r="G1198" s="2" t="s">
        <v>25</v>
      </c>
      <c r="H1198" s="18" t="s">
        <v>32</v>
      </c>
      <c r="I1198" s="23"/>
      <c r="J1198" s="24"/>
    </row>
    <row r="1199" spans="1:10" ht="13.5" customHeight="1">
      <c r="A1199" s="17" t="s">
        <v>147</v>
      </c>
      <c r="B1199" s="1"/>
      <c r="C1199" s="1"/>
      <c r="D1199" s="2" t="s">
        <v>25</v>
      </c>
      <c r="E1199" s="17" t="s">
        <v>35</v>
      </c>
      <c r="F1199" s="1"/>
      <c r="G1199" s="2" t="s">
        <v>25</v>
      </c>
      <c r="H1199" s="18"/>
      <c r="I1199" s="6"/>
      <c r="J1199" s="19"/>
    </row>
    <row r="1200" spans="1:10" ht="13.5" customHeight="1">
      <c r="A1200" s="17" t="s">
        <v>72</v>
      </c>
      <c r="B1200" s="1"/>
      <c r="C1200" s="1"/>
      <c r="D1200" s="2" t="s">
        <v>25</v>
      </c>
      <c r="E1200" s="17" t="s">
        <v>61</v>
      </c>
      <c r="F1200" s="1"/>
      <c r="G1200" s="2" t="s">
        <v>25</v>
      </c>
      <c r="H1200" s="18"/>
      <c r="I1200" s="6"/>
      <c r="J1200" s="19"/>
    </row>
    <row r="1201" spans="1:10" ht="13.5" customHeight="1">
      <c r="A1201" s="17" t="s">
        <v>136</v>
      </c>
      <c r="B1201" s="1"/>
      <c r="C1201" s="1"/>
      <c r="D1201" s="2" t="s">
        <v>25</v>
      </c>
      <c r="E1201" s="17" t="s">
        <v>39</v>
      </c>
      <c r="F1201" s="1"/>
      <c r="G1201" s="2">
        <v>100</v>
      </c>
      <c r="H1201" s="18"/>
      <c r="I1201" s="6"/>
      <c r="J1201" s="19"/>
    </row>
    <row r="1202" spans="1:10" ht="13.5" customHeight="1">
      <c r="A1202" s="18" t="s">
        <v>40</v>
      </c>
      <c r="B1202" s="6"/>
      <c r="C1202" s="6"/>
      <c r="D1202" s="2" t="s">
        <v>25</v>
      </c>
      <c r="E1202" s="17" t="s">
        <v>41</v>
      </c>
      <c r="F1202" s="1"/>
      <c r="G1202" s="2" t="s">
        <v>25</v>
      </c>
      <c r="H1202" s="18"/>
      <c r="I1202" s="6"/>
      <c r="J1202" s="19"/>
    </row>
    <row r="1203" spans="1:10" ht="13.5" customHeight="1">
      <c r="A1203" s="204" t="s">
        <v>63</v>
      </c>
      <c r="B1203" s="205"/>
      <c r="C1203" s="206"/>
      <c r="D1203" s="229">
        <f>SUM(D1196:D1202)</f>
        <v>18100</v>
      </c>
      <c r="E1203" s="1" t="s">
        <v>43</v>
      </c>
      <c r="F1203" s="1"/>
      <c r="G1203" s="2" t="s">
        <v>25</v>
      </c>
      <c r="H1203" s="18"/>
      <c r="I1203" s="6"/>
      <c r="J1203" s="19"/>
    </row>
    <row r="1204" spans="1:10" ht="13.5" customHeight="1">
      <c r="A1204" s="207"/>
      <c r="B1204" s="197"/>
      <c r="C1204" s="208"/>
      <c r="D1204" s="230"/>
      <c r="E1204" s="21" t="s">
        <v>21</v>
      </c>
      <c r="F1204" s="22"/>
      <c r="G1204" s="13">
        <f>SUM(G1196:G1203)</f>
        <v>100</v>
      </c>
      <c r="H1204" s="21" t="s">
        <v>44</v>
      </c>
      <c r="I1204" s="22"/>
      <c r="J1204" s="13">
        <f>D1203-G1204</f>
        <v>18000</v>
      </c>
    </row>
    <row r="1205" spans="1:10" ht="13.5" customHeight="1">
      <c r="A1205" s="3" t="s">
        <v>45</v>
      </c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ht="13.5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ht="13.5" customHeight="1">
      <c r="A1207" s="3"/>
      <c r="B1207" s="3" t="s">
        <v>47</v>
      </c>
      <c r="C1207" s="3"/>
      <c r="D1207" s="3"/>
      <c r="E1207" s="3" t="s">
        <v>48</v>
      </c>
      <c r="F1207" s="3"/>
      <c r="G1207" s="3"/>
      <c r="H1207" s="3" t="s">
        <v>49</v>
      </c>
      <c r="I1207" s="3"/>
      <c r="J1207" s="3"/>
    </row>
    <row r="1208" spans="1:10" ht="13.5" customHeight="1">
      <c r="A1208" s="184" t="s">
        <v>0</v>
      </c>
      <c r="B1208" s="185"/>
      <c r="C1208" s="185"/>
      <c r="D1208" s="185"/>
      <c r="E1208" s="185"/>
      <c r="F1208" s="185"/>
      <c r="G1208" s="185"/>
      <c r="H1208" s="185"/>
      <c r="I1208" s="185"/>
      <c r="J1208" s="186"/>
    </row>
    <row r="1209" spans="1:10" ht="13.5" customHeight="1">
      <c r="A1209" s="187" t="s">
        <v>1</v>
      </c>
      <c r="B1209" s="188"/>
      <c r="C1209" s="188"/>
      <c r="D1209" s="188"/>
      <c r="E1209" s="188"/>
      <c r="F1209" s="188"/>
      <c r="G1209" s="188"/>
      <c r="H1209" s="188"/>
      <c r="I1209" s="188"/>
      <c r="J1209" s="189"/>
    </row>
    <row r="1210" spans="1:10" ht="13.5" customHeight="1">
      <c r="A1210" s="1" t="s">
        <v>2</v>
      </c>
      <c r="B1210" s="1"/>
      <c r="C1210" s="209" t="s">
        <v>569</v>
      </c>
      <c r="D1210" s="209"/>
      <c r="E1210" s="2"/>
      <c r="F1210" s="3"/>
      <c r="G1210" s="1" t="s">
        <v>4</v>
      </c>
      <c r="H1210" s="209" t="s">
        <v>240</v>
      </c>
      <c r="I1210" s="209"/>
      <c r="J1210" s="209"/>
    </row>
    <row r="1211" spans="1:10" ht="13.5" customHeight="1">
      <c r="A1211" s="1" t="s">
        <v>6</v>
      </c>
      <c r="B1211" s="1"/>
      <c r="C1211" s="196" t="s">
        <v>703</v>
      </c>
      <c r="D1211" s="196"/>
      <c r="E1211" s="2"/>
      <c r="F1211" s="3"/>
      <c r="G1211" s="1" t="s">
        <v>8</v>
      </c>
      <c r="H1211" s="193" t="s">
        <v>9</v>
      </c>
      <c r="I1211" s="193"/>
      <c r="J1211" s="193"/>
    </row>
    <row r="1212" spans="1:10" ht="13.5" customHeight="1">
      <c r="A1212" s="6" t="s">
        <v>10</v>
      </c>
      <c r="B1212" s="6"/>
      <c r="C1212" s="209" t="s">
        <v>563</v>
      </c>
      <c r="D1212" s="209"/>
      <c r="E1212" s="2"/>
      <c r="F1212" s="3"/>
      <c r="G1212" s="1" t="s">
        <v>12</v>
      </c>
      <c r="H1212" s="195" t="s">
        <v>13</v>
      </c>
      <c r="I1212" s="195"/>
      <c r="J1212" s="195"/>
    </row>
    <row r="1213" spans="1:10" ht="13.5" customHeight="1">
      <c r="A1213" s="2" t="s">
        <v>14</v>
      </c>
      <c r="B1213" s="2"/>
      <c r="C1213" s="2" t="s">
        <v>15</v>
      </c>
      <c r="D1213" s="2"/>
      <c r="E1213" s="2"/>
      <c r="F1213" s="3"/>
      <c r="G1213" s="1" t="s">
        <v>16</v>
      </c>
      <c r="H1213" s="209" t="s">
        <v>55</v>
      </c>
      <c r="I1213" s="209"/>
      <c r="J1213" s="209"/>
    </row>
    <row r="1214" spans="1:10" ht="13.5" customHeight="1">
      <c r="A1214" s="2">
        <v>30</v>
      </c>
      <c r="B1214" s="2"/>
      <c r="C1214" s="2">
        <f>A1214-H1214</f>
        <v>3</v>
      </c>
      <c r="D1214" s="2"/>
      <c r="E1214" s="2"/>
      <c r="F1214" s="3"/>
      <c r="G1214" s="8" t="s">
        <v>18</v>
      </c>
      <c r="H1214" s="197">
        <v>27</v>
      </c>
      <c r="I1214" s="197"/>
      <c r="J1214" s="197"/>
    </row>
    <row r="1215" spans="1:10" ht="13.5" customHeight="1">
      <c r="A1215" s="198" t="s">
        <v>19</v>
      </c>
      <c r="B1215" s="199"/>
      <c r="C1215" s="200"/>
      <c r="D1215" s="13" t="s">
        <v>20</v>
      </c>
      <c r="E1215" s="14" t="s">
        <v>21</v>
      </c>
      <c r="F1215" s="15"/>
      <c r="G1215" s="16" t="s">
        <v>20</v>
      </c>
      <c r="H1215" s="201" t="s">
        <v>22</v>
      </c>
      <c r="I1215" s="202"/>
      <c r="J1215" s="203"/>
    </row>
    <row r="1216" spans="1:10" ht="13.5" customHeight="1">
      <c r="A1216" s="117" t="s">
        <v>23</v>
      </c>
      <c r="B1216" s="118"/>
      <c r="C1216" s="1"/>
      <c r="D1216" s="2">
        <v>20000</v>
      </c>
      <c r="E1216" s="17" t="s">
        <v>24</v>
      </c>
      <c r="F1216" s="1"/>
      <c r="G1216" s="2" t="s">
        <v>25</v>
      </c>
      <c r="H1216" s="18" t="s">
        <v>26</v>
      </c>
      <c r="I1216" s="23"/>
      <c r="J1216" s="24"/>
    </row>
    <row r="1217" spans="1:10" ht="13.5" customHeight="1">
      <c r="A1217" s="17" t="s">
        <v>77</v>
      </c>
      <c r="B1217" s="209"/>
      <c r="C1217" s="209"/>
      <c r="D1217" s="2" t="s">
        <v>25</v>
      </c>
      <c r="E1217" s="17" t="s">
        <v>58</v>
      </c>
      <c r="F1217" s="1"/>
      <c r="G1217" s="2" t="s">
        <v>25</v>
      </c>
      <c r="H1217" s="18" t="s">
        <v>29</v>
      </c>
      <c r="I1217" s="23"/>
      <c r="J1217" s="24"/>
    </row>
    <row r="1218" spans="1:10" ht="13.5" customHeight="1">
      <c r="A1218" s="17" t="s">
        <v>30</v>
      </c>
      <c r="B1218" s="1"/>
      <c r="C1218" s="1"/>
      <c r="D1218" s="2">
        <v>600</v>
      </c>
      <c r="E1218" s="17" t="s">
        <v>146</v>
      </c>
      <c r="F1218" s="1"/>
      <c r="G1218" s="2" t="s">
        <v>25</v>
      </c>
      <c r="H1218" s="18" t="s">
        <v>32</v>
      </c>
      <c r="I1218" s="23"/>
      <c r="J1218" s="24"/>
    </row>
    <row r="1219" spans="1:10" ht="13.5" customHeight="1">
      <c r="A1219" s="17" t="s">
        <v>147</v>
      </c>
      <c r="B1219" s="1"/>
      <c r="C1219" s="1"/>
      <c r="D1219" s="2" t="s">
        <v>25</v>
      </c>
      <c r="E1219" s="17" t="s">
        <v>35</v>
      </c>
      <c r="F1219" s="1"/>
      <c r="G1219" s="2">
        <v>2000</v>
      </c>
      <c r="H1219" s="18"/>
      <c r="I1219" s="6"/>
      <c r="J1219" s="19"/>
    </row>
    <row r="1220" spans="1:10" ht="13.5" customHeight="1">
      <c r="A1220" s="17" t="s">
        <v>72</v>
      </c>
      <c r="B1220" s="1"/>
      <c r="C1220" s="1"/>
      <c r="D1220" s="2" t="s">
        <v>25</v>
      </c>
      <c r="E1220" s="17" t="s">
        <v>61</v>
      </c>
      <c r="F1220" s="1"/>
      <c r="G1220" s="2" t="s">
        <v>25</v>
      </c>
      <c r="H1220" s="18"/>
      <c r="I1220" s="6"/>
      <c r="J1220" s="19"/>
    </row>
    <row r="1221" spans="1:10" ht="13.5" customHeight="1">
      <c r="A1221" s="17" t="s">
        <v>136</v>
      </c>
      <c r="B1221" s="1"/>
      <c r="C1221" s="1"/>
      <c r="D1221" s="2" t="s">
        <v>25</v>
      </c>
      <c r="E1221" s="17" t="s">
        <v>39</v>
      </c>
      <c r="F1221" s="1"/>
      <c r="G1221" s="2">
        <v>100</v>
      </c>
      <c r="H1221" s="18"/>
      <c r="I1221" s="6"/>
      <c r="J1221" s="19"/>
    </row>
    <row r="1222" spans="1:10" ht="13.5" customHeight="1">
      <c r="A1222" s="18" t="s">
        <v>40</v>
      </c>
      <c r="B1222" s="6"/>
      <c r="C1222" s="6"/>
      <c r="D1222" s="2" t="s">
        <v>25</v>
      </c>
      <c r="E1222" s="17" t="s">
        <v>41</v>
      </c>
      <c r="F1222" s="1"/>
      <c r="G1222" s="2" t="s">
        <v>25</v>
      </c>
      <c r="H1222" s="18"/>
      <c r="I1222" s="6"/>
      <c r="J1222" s="19"/>
    </row>
    <row r="1223" spans="1:10" ht="13.5" customHeight="1">
      <c r="A1223" s="204" t="s">
        <v>63</v>
      </c>
      <c r="B1223" s="205"/>
      <c r="C1223" s="206"/>
      <c r="D1223" s="229">
        <f>SUM(D1216:D1222)</f>
        <v>20600</v>
      </c>
      <c r="E1223" s="1" t="s">
        <v>43</v>
      </c>
      <c r="F1223" s="1"/>
      <c r="G1223" s="2" t="s">
        <v>25</v>
      </c>
      <c r="H1223" s="18"/>
      <c r="I1223" s="6"/>
      <c r="J1223" s="19"/>
    </row>
    <row r="1224" spans="1:10" ht="13.5" customHeight="1">
      <c r="A1224" s="207"/>
      <c r="B1224" s="197"/>
      <c r="C1224" s="208"/>
      <c r="D1224" s="230"/>
      <c r="E1224" s="21" t="s">
        <v>21</v>
      </c>
      <c r="F1224" s="22"/>
      <c r="G1224" s="13">
        <f>SUM(G1216:G1223)</f>
        <v>2100</v>
      </c>
      <c r="H1224" s="21" t="s">
        <v>44</v>
      </c>
      <c r="I1224" s="22"/>
      <c r="J1224" s="13">
        <f>D1223-G1224</f>
        <v>18500</v>
      </c>
    </row>
    <row r="1225" spans="1:10" ht="13.5" customHeight="1">
      <c r="A1225" s="3" t="s">
        <v>45</v>
      </c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ht="13.5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ht="13.5" customHeight="1">
      <c r="A1227" s="3"/>
      <c r="B1227" s="3" t="s">
        <v>47</v>
      </c>
      <c r="C1227" s="3"/>
      <c r="D1227" s="3"/>
      <c r="E1227" s="3" t="s">
        <v>48</v>
      </c>
      <c r="F1227" s="3"/>
      <c r="G1227" s="3"/>
      <c r="H1227" s="3" t="s">
        <v>49</v>
      </c>
      <c r="I1227" s="3"/>
      <c r="J1227" s="3"/>
    </row>
    <row r="1228" spans="1:10" ht="13.5" customHeight="1">
      <c r="A1228" s="184" t="s">
        <v>0</v>
      </c>
      <c r="B1228" s="185"/>
      <c r="C1228" s="185"/>
      <c r="D1228" s="185"/>
      <c r="E1228" s="185"/>
      <c r="F1228" s="185"/>
      <c r="G1228" s="185"/>
      <c r="H1228" s="185"/>
      <c r="I1228" s="185"/>
      <c r="J1228" s="186"/>
    </row>
    <row r="1229" spans="1:10" ht="13.5" customHeight="1">
      <c r="A1229" s="187" t="s">
        <v>1</v>
      </c>
      <c r="B1229" s="188"/>
      <c r="C1229" s="188"/>
      <c r="D1229" s="188"/>
      <c r="E1229" s="188"/>
      <c r="F1229" s="188"/>
      <c r="G1229" s="188"/>
      <c r="H1229" s="188"/>
      <c r="I1229" s="188"/>
      <c r="J1229" s="189"/>
    </row>
    <row r="1230" spans="1:10" ht="13.5" customHeight="1">
      <c r="A1230" s="1" t="s">
        <v>2</v>
      </c>
      <c r="B1230" s="1"/>
      <c r="C1230" s="209" t="s">
        <v>704</v>
      </c>
      <c r="D1230" s="209"/>
      <c r="E1230" s="2"/>
      <c r="F1230" s="3"/>
      <c r="G1230" s="1" t="s">
        <v>4</v>
      </c>
      <c r="H1230" s="209" t="s">
        <v>240</v>
      </c>
      <c r="I1230" s="209"/>
      <c r="J1230" s="209"/>
    </row>
    <row r="1231" spans="1:10" ht="13.5" customHeight="1">
      <c r="A1231" s="97" t="s">
        <v>6</v>
      </c>
      <c r="B1231" s="97"/>
      <c r="C1231" s="287" t="s">
        <v>705</v>
      </c>
      <c r="D1231" s="287"/>
      <c r="E1231" s="28"/>
      <c r="F1231" s="98"/>
      <c r="G1231" s="97" t="s">
        <v>8</v>
      </c>
      <c r="H1231" s="288" t="s">
        <v>9</v>
      </c>
      <c r="I1231" s="288"/>
      <c r="J1231" s="288"/>
    </row>
    <row r="1232" spans="1:10" ht="13.5" customHeight="1">
      <c r="A1232" s="100" t="s">
        <v>10</v>
      </c>
      <c r="B1232" s="100"/>
      <c r="C1232" s="289" t="s">
        <v>571</v>
      </c>
      <c r="D1232" s="289"/>
      <c r="E1232" s="28"/>
      <c r="F1232" s="98"/>
      <c r="G1232" s="97" t="s">
        <v>12</v>
      </c>
      <c r="H1232" s="195" t="s">
        <v>13</v>
      </c>
      <c r="I1232" s="195"/>
      <c r="J1232" s="195"/>
    </row>
    <row r="1233" spans="1:10" ht="13.5" customHeight="1">
      <c r="A1233" s="28" t="s">
        <v>14</v>
      </c>
      <c r="B1233" s="28"/>
      <c r="C1233" s="28" t="s">
        <v>15</v>
      </c>
      <c r="D1233" s="28"/>
      <c r="E1233" s="28"/>
      <c r="F1233" s="98"/>
      <c r="G1233" s="97" t="s">
        <v>16</v>
      </c>
      <c r="H1233" s="290" t="s">
        <v>55</v>
      </c>
      <c r="I1233" s="290"/>
      <c r="J1233" s="290"/>
    </row>
    <row r="1234" spans="1:10" ht="13.5" customHeight="1">
      <c r="A1234" s="28">
        <v>30</v>
      </c>
      <c r="B1234" s="28"/>
      <c r="C1234" s="28">
        <f>A1234-H1234</f>
        <v>0</v>
      </c>
      <c r="D1234" s="28"/>
      <c r="E1234" s="28"/>
      <c r="F1234" s="98"/>
      <c r="G1234" s="101" t="s">
        <v>18</v>
      </c>
      <c r="H1234" s="291">
        <v>30</v>
      </c>
      <c r="I1234" s="291"/>
      <c r="J1234" s="291"/>
    </row>
    <row r="1235" spans="1:10" ht="13.5" customHeight="1">
      <c r="A1235" s="292" t="s">
        <v>19</v>
      </c>
      <c r="B1235" s="293"/>
      <c r="C1235" s="294"/>
      <c r="D1235" s="102" t="s">
        <v>20</v>
      </c>
      <c r="E1235" s="103" t="s">
        <v>21</v>
      </c>
      <c r="F1235" s="104"/>
      <c r="G1235" s="105" t="s">
        <v>20</v>
      </c>
      <c r="H1235" s="295" t="s">
        <v>22</v>
      </c>
      <c r="I1235" s="296"/>
      <c r="J1235" s="297"/>
    </row>
    <row r="1236" spans="1:10" ht="13.5" customHeight="1">
      <c r="A1236" s="151" t="s">
        <v>23</v>
      </c>
      <c r="B1236" s="152"/>
      <c r="C1236" s="97"/>
      <c r="D1236" s="28">
        <v>18000</v>
      </c>
      <c r="E1236" s="106" t="s">
        <v>24</v>
      </c>
      <c r="F1236" s="97"/>
      <c r="G1236" s="28" t="s">
        <v>25</v>
      </c>
      <c r="H1236" s="18" t="s">
        <v>26</v>
      </c>
      <c r="I1236" s="23"/>
      <c r="J1236" s="24"/>
    </row>
    <row r="1237" spans="1:10" ht="13.5" customHeight="1">
      <c r="A1237" s="106" t="s">
        <v>77</v>
      </c>
      <c r="B1237" s="290"/>
      <c r="C1237" s="290"/>
      <c r="D1237" s="28" t="s">
        <v>25</v>
      </c>
      <c r="E1237" s="106" t="s">
        <v>28</v>
      </c>
      <c r="F1237" s="97"/>
      <c r="G1237" s="28" t="s">
        <v>25</v>
      </c>
      <c r="H1237" s="18" t="s">
        <v>29</v>
      </c>
      <c r="I1237" s="23"/>
      <c r="J1237" s="24"/>
    </row>
    <row r="1238" spans="1:10" ht="13.5" customHeight="1">
      <c r="A1238" s="106" t="s">
        <v>30</v>
      </c>
      <c r="B1238" s="97"/>
      <c r="C1238" s="97"/>
      <c r="D1238" s="28">
        <v>1100</v>
      </c>
      <c r="E1238" s="106" t="s">
        <v>58</v>
      </c>
      <c r="F1238" s="97"/>
      <c r="G1238" s="28" t="s">
        <v>25</v>
      </c>
      <c r="H1238" s="18" t="s">
        <v>32</v>
      </c>
      <c r="I1238" s="23"/>
      <c r="J1238" s="24"/>
    </row>
    <row r="1239" spans="1:10" ht="13.5" customHeight="1">
      <c r="A1239" s="106" t="s">
        <v>147</v>
      </c>
      <c r="B1239" s="97"/>
      <c r="C1239" s="97"/>
      <c r="D1239" s="28" t="s">
        <v>25</v>
      </c>
      <c r="E1239" s="106" t="s">
        <v>35</v>
      </c>
      <c r="F1239" s="97"/>
      <c r="G1239" s="28" t="s">
        <v>25</v>
      </c>
      <c r="H1239" s="107"/>
      <c r="I1239" s="100"/>
      <c r="J1239" s="108"/>
    </row>
    <row r="1240" spans="1:10" ht="13.5" customHeight="1">
      <c r="A1240" s="106" t="s">
        <v>27</v>
      </c>
      <c r="B1240" s="97"/>
      <c r="C1240" s="97"/>
      <c r="D1240" s="28" t="s">
        <v>25</v>
      </c>
      <c r="E1240" s="106" t="s">
        <v>61</v>
      </c>
      <c r="F1240" s="97"/>
      <c r="G1240" s="28" t="s">
        <v>25</v>
      </c>
      <c r="H1240" s="107"/>
      <c r="I1240" s="100"/>
      <c r="J1240" s="108"/>
    </row>
    <row r="1241" spans="1:10" ht="13.5" customHeight="1">
      <c r="A1241" s="106" t="s">
        <v>136</v>
      </c>
      <c r="B1241" s="97"/>
      <c r="C1241" s="97"/>
      <c r="D1241" s="28" t="s">
        <v>25</v>
      </c>
      <c r="E1241" s="106" t="s">
        <v>39</v>
      </c>
      <c r="F1241" s="97"/>
      <c r="G1241" s="28">
        <v>100</v>
      </c>
      <c r="H1241" s="107"/>
      <c r="I1241" s="100"/>
      <c r="J1241" s="108"/>
    </row>
    <row r="1242" spans="1:10" ht="13.5" customHeight="1">
      <c r="A1242" s="107" t="s">
        <v>40</v>
      </c>
      <c r="B1242" s="100"/>
      <c r="C1242" s="100"/>
      <c r="D1242" s="28" t="s">
        <v>25</v>
      </c>
      <c r="E1242" s="106" t="s">
        <v>61</v>
      </c>
      <c r="F1242" s="97"/>
      <c r="G1242" s="28" t="s">
        <v>25</v>
      </c>
      <c r="H1242" s="107"/>
      <c r="I1242" s="100"/>
      <c r="J1242" s="108"/>
    </row>
    <row r="1243" spans="1:10" ht="13.5" customHeight="1">
      <c r="A1243" s="312" t="s">
        <v>63</v>
      </c>
      <c r="B1243" s="313"/>
      <c r="C1243" s="314"/>
      <c r="D1243" s="298">
        <f>SUM(D1236:D1242)</f>
        <v>19100</v>
      </c>
      <c r="E1243" s="97" t="s">
        <v>43</v>
      </c>
      <c r="F1243" s="97"/>
      <c r="G1243" s="28" t="s">
        <v>25</v>
      </c>
      <c r="H1243" s="107"/>
      <c r="I1243" s="100"/>
      <c r="J1243" s="108"/>
    </row>
    <row r="1244" spans="1:10" ht="13.5" customHeight="1">
      <c r="A1244" s="315"/>
      <c r="B1244" s="291"/>
      <c r="C1244" s="316"/>
      <c r="D1244" s="299"/>
      <c r="E1244" s="114" t="s">
        <v>21</v>
      </c>
      <c r="F1244" s="115"/>
      <c r="G1244" s="102">
        <f>SUM(G1236:G1243)</f>
        <v>100</v>
      </c>
      <c r="H1244" s="114" t="s">
        <v>44</v>
      </c>
      <c r="I1244" s="115"/>
      <c r="J1244" s="13">
        <f>D1243-G1244</f>
        <v>19000</v>
      </c>
    </row>
    <row r="1245" spans="1:10" ht="13.5" customHeight="1">
      <c r="A1245" s="3" t="s">
        <v>45</v>
      </c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ht="13.5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ht="13.5" customHeight="1">
      <c r="A1247" s="3"/>
      <c r="B1247" s="3" t="s">
        <v>47</v>
      </c>
      <c r="C1247" s="3"/>
      <c r="D1247" s="3"/>
      <c r="E1247" s="3" t="s">
        <v>48</v>
      </c>
      <c r="F1247" s="3"/>
      <c r="G1247" s="3"/>
      <c r="H1247" s="3" t="s">
        <v>49</v>
      </c>
      <c r="I1247" s="3"/>
      <c r="J1247" s="3"/>
    </row>
    <row r="1248" spans="1:10" ht="13.5" customHeight="1">
      <c r="A1248" s="184" t="s">
        <v>0</v>
      </c>
      <c r="B1248" s="185"/>
      <c r="C1248" s="185"/>
      <c r="D1248" s="185"/>
      <c r="E1248" s="185"/>
      <c r="F1248" s="185"/>
      <c r="G1248" s="185"/>
      <c r="H1248" s="185"/>
      <c r="I1248" s="185"/>
      <c r="J1248" s="186"/>
    </row>
    <row r="1249" spans="1:10" ht="13.5" customHeight="1">
      <c r="A1249" s="187" t="s">
        <v>1</v>
      </c>
      <c r="B1249" s="188"/>
      <c r="C1249" s="188"/>
      <c r="D1249" s="188"/>
      <c r="E1249" s="188"/>
      <c r="F1249" s="188"/>
      <c r="G1249" s="188"/>
      <c r="H1249" s="188"/>
      <c r="I1249" s="188"/>
      <c r="J1249" s="189"/>
    </row>
    <row r="1250" spans="1:10" ht="13.5" customHeight="1">
      <c r="A1250" s="1" t="s">
        <v>2</v>
      </c>
      <c r="B1250" s="1"/>
      <c r="C1250" s="190"/>
      <c r="D1250" s="190"/>
      <c r="E1250" s="2"/>
      <c r="F1250" s="3"/>
      <c r="G1250" s="1" t="s">
        <v>4</v>
      </c>
      <c r="H1250" s="191" t="s">
        <v>358</v>
      </c>
      <c r="I1250" s="191"/>
      <c r="J1250" s="191"/>
    </row>
    <row r="1251" spans="1:10" ht="13.5" customHeight="1">
      <c r="A1251" s="1" t="s">
        <v>6</v>
      </c>
      <c r="B1251" s="1"/>
      <c r="C1251" s="192" t="s">
        <v>706</v>
      </c>
      <c r="D1251" s="192"/>
      <c r="E1251" s="2"/>
      <c r="F1251" s="3"/>
      <c r="G1251" s="1" t="s">
        <v>8</v>
      </c>
      <c r="H1251" s="193" t="s">
        <v>9</v>
      </c>
      <c r="I1251" s="193"/>
      <c r="J1251" s="193"/>
    </row>
    <row r="1252" spans="1:10" ht="13.5" customHeight="1">
      <c r="A1252" s="6" t="s">
        <v>10</v>
      </c>
      <c r="B1252" s="6"/>
      <c r="C1252" s="194" t="s">
        <v>563</v>
      </c>
      <c r="D1252" s="194"/>
      <c r="E1252" s="2"/>
      <c r="F1252" s="3"/>
      <c r="G1252" s="1" t="s">
        <v>12</v>
      </c>
      <c r="H1252" s="195" t="s">
        <v>13</v>
      </c>
      <c r="I1252" s="195"/>
      <c r="J1252" s="195"/>
    </row>
    <row r="1253" spans="1:10" ht="13.5" customHeight="1">
      <c r="A1253" s="2" t="s">
        <v>14</v>
      </c>
      <c r="B1253" s="2"/>
      <c r="C1253" s="2" t="s">
        <v>15</v>
      </c>
      <c r="D1253" s="2"/>
      <c r="E1253" s="2"/>
      <c r="F1253" s="3"/>
      <c r="G1253" s="1" t="s">
        <v>16</v>
      </c>
      <c r="H1253" s="196" t="s">
        <v>55</v>
      </c>
      <c r="I1253" s="196"/>
      <c r="J1253" s="196"/>
    </row>
    <row r="1254" spans="1:10" ht="13.5" customHeight="1">
      <c r="A1254" s="2">
        <v>30</v>
      </c>
      <c r="B1254" s="2"/>
      <c r="C1254" s="2">
        <f>A1254-H1254</f>
        <v>0</v>
      </c>
      <c r="D1254" s="2"/>
      <c r="E1254" s="2"/>
      <c r="F1254" s="3"/>
      <c r="G1254" s="8" t="s">
        <v>18</v>
      </c>
      <c r="H1254" s="197">
        <v>30</v>
      </c>
      <c r="I1254" s="197"/>
      <c r="J1254" s="197"/>
    </row>
    <row r="1255" spans="1:10" ht="13.5" customHeight="1">
      <c r="A1255" s="198" t="s">
        <v>19</v>
      </c>
      <c r="B1255" s="199"/>
      <c r="C1255" s="200"/>
      <c r="D1255" s="13" t="s">
        <v>20</v>
      </c>
      <c r="E1255" s="14" t="s">
        <v>21</v>
      </c>
      <c r="F1255" s="15"/>
      <c r="G1255" s="16" t="s">
        <v>20</v>
      </c>
      <c r="H1255" s="201" t="s">
        <v>22</v>
      </c>
      <c r="I1255" s="202"/>
      <c r="J1255" s="203"/>
    </row>
    <row r="1256" spans="1:10" ht="13.5" customHeight="1">
      <c r="A1256" s="17" t="s">
        <v>23</v>
      </c>
      <c r="B1256" s="1"/>
      <c r="C1256" s="1"/>
      <c r="D1256" s="2">
        <v>15000</v>
      </c>
      <c r="E1256" s="17" t="s">
        <v>24</v>
      </c>
      <c r="F1256" s="1"/>
      <c r="G1256" s="2" t="s">
        <v>25</v>
      </c>
      <c r="H1256" s="18" t="s">
        <v>26</v>
      </c>
      <c r="I1256" s="23"/>
      <c r="J1256" s="24"/>
    </row>
    <row r="1257" spans="1:10" ht="13.5" customHeight="1">
      <c r="A1257" s="17" t="s">
        <v>77</v>
      </c>
      <c r="B1257" s="209" t="s">
        <v>320</v>
      </c>
      <c r="C1257" s="209"/>
      <c r="D1257" s="2">
        <v>1000</v>
      </c>
      <c r="E1257" s="17" t="s">
        <v>58</v>
      </c>
      <c r="F1257" s="1"/>
      <c r="G1257" s="2" t="s">
        <v>25</v>
      </c>
      <c r="H1257" s="18" t="s">
        <v>29</v>
      </c>
      <c r="I1257" s="23"/>
      <c r="J1257" s="24"/>
    </row>
    <row r="1258" spans="1:10" ht="13.5" customHeight="1">
      <c r="A1258" s="17" t="s">
        <v>30</v>
      </c>
      <c r="B1258" s="1"/>
      <c r="C1258" s="1"/>
      <c r="D1258" s="2">
        <v>1600</v>
      </c>
      <c r="E1258" s="17" t="s">
        <v>141</v>
      </c>
      <c r="F1258" s="1"/>
      <c r="G1258" s="2" t="s">
        <v>25</v>
      </c>
      <c r="H1258" s="18" t="s">
        <v>32</v>
      </c>
      <c r="I1258" s="23"/>
      <c r="J1258" s="24"/>
    </row>
    <row r="1259" spans="1:10" ht="13.5" customHeight="1">
      <c r="A1259" s="17" t="s">
        <v>72</v>
      </c>
      <c r="B1259" s="1"/>
      <c r="C1259" s="1"/>
      <c r="D1259" s="2" t="s">
        <v>25</v>
      </c>
      <c r="E1259" s="17" t="s">
        <v>71</v>
      </c>
      <c r="F1259" s="1"/>
      <c r="G1259" s="2" t="s">
        <v>25</v>
      </c>
      <c r="H1259" s="18"/>
      <c r="I1259" s="36"/>
      <c r="J1259" s="19"/>
    </row>
    <row r="1260" spans="1:10" ht="13.5" customHeight="1">
      <c r="A1260" s="17" t="s">
        <v>78</v>
      </c>
      <c r="B1260" s="1"/>
      <c r="C1260" s="1"/>
      <c r="D1260" s="2" t="s">
        <v>25</v>
      </c>
      <c r="E1260" s="17" t="s">
        <v>61</v>
      </c>
      <c r="F1260" s="1"/>
      <c r="G1260" s="2" t="s">
        <v>25</v>
      </c>
      <c r="H1260" s="42" t="s">
        <v>707</v>
      </c>
      <c r="I1260" s="36"/>
      <c r="J1260" s="43"/>
    </row>
    <row r="1261" spans="1:10" ht="13.5" customHeight="1">
      <c r="A1261" s="17" t="s">
        <v>136</v>
      </c>
      <c r="B1261" s="1"/>
      <c r="C1261" s="1"/>
      <c r="D1261" s="2" t="s">
        <v>25</v>
      </c>
      <c r="E1261" s="17" t="s">
        <v>39</v>
      </c>
      <c r="F1261" s="1"/>
      <c r="G1261" s="2">
        <v>100</v>
      </c>
      <c r="H1261" s="17"/>
      <c r="J1261" s="43"/>
    </row>
    <row r="1262" spans="1:10" ht="13.5" customHeight="1">
      <c r="A1262" s="18" t="s">
        <v>40</v>
      </c>
      <c r="B1262" s="6"/>
      <c r="C1262" s="6"/>
      <c r="D1262" s="2" t="s">
        <v>25</v>
      </c>
      <c r="E1262" s="17" t="s">
        <v>62</v>
      </c>
      <c r="F1262" s="1"/>
      <c r="G1262" s="2" t="s">
        <v>25</v>
      </c>
      <c r="H1262" s="42"/>
      <c r="I1262" s="36"/>
      <c r="J1262" s="43"/>
    </row>
    <row r="1263" spans="1:10" ht="13.5" customHeight="1">
      <c r="A1263" s="204" t="s">
        <v>63</v>
      </c>
      <c r="B1263" s="205"/>
      <c r="C1263" s="206"/>
      <c r="D1263" s="229">
        <f>SUM(D1256:D1262)</f>
        <v>17600</v>
      </c>
      <c r="E1263" s="1" t="s">
        <v>43</v>
      </c>
      <c r="F1263" s="1"/>
      <c r="G1263" s="2" t="s">
        <v>25</v>
      </c>
      <c r="H1263" s="18"/>
      <c r="I1263" s="6"/>
      <c r="J1263" s="19"/>
    </row>
    <row r="1264" spans="1:10" ht="13.5" customHeight="1">
      <c r="A1264" s="207"/>
      <c r="B1264" s="197"/>
      <c r="C1264" s="208"/>
      <c r="D1264" s="230"/>
      <c r="E1264" s="21" t="s">
        <v>21</v>
      </c>
      <c r="F1264" s="22"/>
      <c r="G1264" s="13">
        <f>SUM(G1256:G1263)</f>
        <v>100</v>
      </c>
      <c r="H1264" s="21" t="s">
        <v>44</v>
      </c>
      <c r="I1264" s="22"/>
      <c r="J1264" s="13">
        <f>D1263-G1264</f>
        <v>17500</v>
      </c>
    </row>
    <row r="1265" spans="1:10" ht="13.5" customHeight="1">
      <c r="A1265" s="3" t="s">
        <v>45</v>
      </c>
      <c r="B1265" s="3"/>
      <c r="C1265" s="3"/>
      <c r="D1265" s="3"/>
      <c r="E1265" s="3"/>
      <c r="F1265" s="3"/>
      <c r="G1265" s="2"/>
      <c r="H1265" s="1"/>
      <c r="I1265" s="1"/>
      <c r="J1265" s="2"/>
    </row>
    <row r="1266" spans="1:10" ht="13.5" customHeight="1">
      <c r="A1266" s="3"/>
      <c r="B1266" s="3"/>
      <c r="C1266" s="3"/>
      <c r="D1266" s="3"/>
      <c r="E1266" s="3"/>
      <c r="F1266" s="3"/>
      <c r="G1266" s="2"/>
      <c r="H1266" s="1"/>
      <c r="I1266" s="1"/>
      <c r="J1266" s="2"/>
    </row>
    <row r="1267" spans="1:10" ht="13.5" customHeight="1">
      <c r="A1267" s="3"/>
      <c r="B1267" s="3" t="s">
        <v>47</v>
      </c>
      <c r="C1267" s="3"/>
      <c r="D1267" s="3"/>
      <c r="E1267" s="3" t="s">
        <v>48</v>
      </c>
      <c r="F1267" s="3"/>
      <c r="G1267" s="3"/>
      <c r="H1267" s="3" t="s">
        <v>49</v>
      </c>
      <c r="I1267" s="3"/>
      <c r="J1267" s="3"/>
    </row>
    <row r="1268" spans="1:10" ht="13.5" customHeight="1">
      <c r="A1268" s="184" t="s">
        <v>0</v>
      </c>
      <c r="B1268" s="185"/>
      <c r="C1268" s="185"/>
      <c r="D1268" s="185"/>
      <c r="E1268" s="185"/>
      <c r="F1268" s="185"/>
      <c r="G1268" s="185"/>
      <c r="H1268" s="185"/>
      <c r="I1268" s="185"/>
      <c r="J1268" s="186"/>
    </row>
    <row r="1269" spans="1:10" ht="13.5" customHeight="1">
      <c r="A1269" s="187" t="s">
        <v>1</v>
      </c>
      <c r="B1269" s="188"/>
      <c r="C1269" s="188"/>
      <c r="D1269" s="188"/>
      <c r="E1269" s="188"/>
      <c r="F1269" s="188"/>
      <c r="G1269" s="188"/>
      <c r="H1269" s="188"/>
      <c r="I1269" s="188"/>
      <c r="J1269" s="189"/>
    </row>
    <row r="1270" spans="1:10" ht="13.5" customHeight="1">
      <c r="A1270" s="1" t="s">
        <v>2</v>
      </c>
      <c r="B1270" s="1"/>
      <c r="C1270" s="190"/>
      <c r="D1270" s="190"/>
      <c r="E1270" s="2"/>
      <c r="F1270" s="3"/>
      <c r="G1270" s="1" t="s">
        <v>4</v>
      </c>
      <c r="H1270" s="191" t="s">
        <v>358</v>
      </c>
      <c r="I1270" s="191"/>
      <c r="J1270" s="191"/>
    </row>
    <row r="1271" spans="1:10" ht="13.5" customHeight="1">
      <c r="A1271" s="1" t="s">
        <v>6</v>
      </c>
      <c r="B1271" s="1"/>
      <c r="C1271" s="192" t="s">
        <v>708</v>
      </c>
      <c r="D1271" s="192"/>
      <c r="E1271" s="2"/>
      <c r="F1271" s="3"/>
      <c r="G1271" s="1" t="s">
        <v>8</v>
      </c>
      <c r="H1271" s="193" t="s">
        <v>9</v>
      </c>
      <c r="I1271" s="193"/>
      <c r="J1271" s="193"/>
    </row>
    <row r="1272" spans="1:10" ht="13.5" customHeight="1">
      <c r="A1272" s="6" t="s">
        <v>10</v>
      </c>
      <c r="B1272" s="6"/>
      <c r="C1272" s="194" t="s">
        <v>563</v>
      </c>
      <c r="D1272" s="194"/>
      <c r="E1272" s="2"/>
      <c r="F1272" s="3"/>
      <c r="G1272" s="1" t="s">
        <v>12</v>
      </c>
      <c r="H1272" s="195" t="s">
        <v>13</v>
      </c>
      <c r="I1272" s="195"/>
      <c r="J1272" s="195"/>
    </row>
    <row r="1273" spans="1:10" ht="13.5" customHeight="1">
      <c r="A1273" s="2" t="s">
        <v>14</v>
      </c>
      <c r="B1273" s="2"/>
      <c r="C1273" s="2" t="s">
        <v>15</v>
      </c>
      <c r="D1273" s="2"/>
      <c r="E1273" s="2"/>
      <c r="F1273" s="3"/>
      <c r="G1273" s="1" t="s">
        <v>16</v>
      </c>
      <c r="H1273" s="196" t="s">
        <v>55</v>
      </c>
      <c r="I1273" s="196"/>
      <c r="J1273" s="196"/>
    </row>
    <row r="1274" spans="1:10" ht="13.5" customHeight="1">
      <c r="A1274" s="2">
        <v>30</v>
      </c>
      <c r="B1274" s="2"/>
      <c r="C1274" s="2">
        <f>A1274-H1274</f>
        <v>10</v>
      </c>
      <c r="D1274" s="2"/>
      <c r="E1274" s="2"/>
      <c r="F1274" s="3"/>
      <c r="G1274" s="8" t="s">
        <v>18</v>
      </c>
      <c r="H1274" s="197">
        <v>20</v>
      </c>
      <c r="I1274" s="197"/>
      <c r="J1274" s="197"/>
    </row>
    <row r="1275" spans="1:10" ht="13.5" customHeight="1">
      <c r="A1275" s="198" t="s">
        <v>19</v>
      </c>
      <c r="B1275" s="199"/>
      <c r="C1275" s="200"/>
      <c r="D1275" s="13" t="s">
        <v>20</v>
      </c>
      <c r="E1275" s="14" t="s">
        <v>21</v>
      </c>
      <c r="F1275" s="15"/>
      <c r="G1275" s="16" t="s">
        <v>20</v>
      </c>
      <c r="H1275" s="201" t="s">
        <v>22</v>
      </c>
      <c r="I1275" s="202"/>
      <c r="J1275" s="203"/>
    </row>
    <row r="1276" spans="1:10" ht="13.5" customHeight="1">
      <c r="A1276" s="17" t="s">
        <v>23</v>
      </c>
      <c r="B1276" s="1"/>
      <c r="C1276" s="1"/>
      <c r="D1276" s="2">
        <v>15000</v>
      </c>
      <c r="E1276" s="17" t="s">
        <v>24</v>
      </c>
      <c r="F1276" s="1"/>
      <c r="G1276" s="2" t="s">
        <v>25</v>
      </c>
      <c r="H1276" s="18" t="s">
        <v>26</v>
      </c>
      <c r="I1276" s="23"/>
      <c r="J1276" s="24"/>
    </row>
    <row r="1277" spans="1:10" ht="13.5" customHeight="1">
      <c r="A1277" s="17" t="s">
        <v>77</v>
      </c>
      <c r="B1277" s="209" t="s">
        <v>120</v>
      </c>
      <c r="C1277" s="209"/>
      <c r="D1277" s="2">
        <v>500</v>
      </c>
      <c r="E1277" s="17" t="s">
        <v>58</v>
      </c>
      <c r="F1277" s="1"/>
      <c r="G1277" s="2" t="s">
        <v>25</v>
      </c>
      <c r="H1277" s="18" t="s">
        <v>29</v>
      </c>
      <c r="I1277" s="23"/>
      <c r="J1277" s="24"/>
    </row>
    <row r="1278" spans="1:10" ht="13.5" customHeight="1">
      <c r="A1278" s="17" t="s">
        <v>30</v>
      </c>
      <c r="B1278" s="1"/>
      <c r="C1278" s="1"/>
      <c r="D1278" s="2">
        <v>1600</v>
      </c>
      <c r="E1278" s="17" t="s">
        <v>141</v>
      </c>
      <c r="F1278" s="1"/>
      <c r="G1278" s="2" t="s">
        <v>25</v>
      </c>
      <c r="H1278" s="18" t="s">
        <v>32</v>
      </c>
      <c r="I1278" s="23"/>
      <c r="J1278" s="24"/>
    </row>
    <row r="1279" spans="1:10" ht="13.5" customHeight="1">
      <c r="A1279" s="17" t="s">
        <v>72</v>
      </c>
      <c r="B1279" s="1"/>
      <c r="C1279" s="1"/>
      <c r="D1279" s="2" t="s">
        <v>25</v>
      </c>
      <c r="E1279" s="17" t="s">
        <v>71</v>
      </c>
      <c r="F1279" s="1"/>
      <c r="G1279" s="2">
        <v>5000</v>
      </c>
      <c r="H1279" s="18"/>
      <c r="I1279" s="36"/>
      <c r="J1279" s="19"/>
    </row>
    <row r="1280" spans="1:10" ht="13.5" customHeight="1">
      <c r="A1280" s="17" t="s">
        <v>78</v>
      </c>
      <c r="B1280" s="1"/>
      <c r="C1280" s="1"/>
      <c r="D1280" s="2" t="s">
        <v>25</v>
      </c>
      <c r="E1280" s="17" t="s">
        <v>61</v>
      </c>
      <c r="F1280" s="1"/>
      <c r="G1280" s="2" t="s">
        <v>25</v>
      </c>
      <c r="H1280" s="42" t="s">
        <v>709</v>
      </c>
      <c r="I1280" s="36"/>
      <c r="J1280" s="43"/>
    </row>
    <row r="1281" spans="1:10" ht="13.5" customHeight="1">
      <c r="A1281" s="17" t="s">
        <v>136</v>
      </c>
      <c r="B1281" s="1"/>
      <c r="C1281" s="1"/>
      <c r="D1281" s="2" t="s">
        <v>25</v>
      </c>
      <c r="E1281" s="17" t="s">
        <v>39</v>
      </c>
      <c r="F1281" s="1"/>
      <c r="G1281" s="2">
        <v>100</v>
      </c>
      <c r="H1281" s="17"/>
      <c r="J1281" s="43"/>
    </row>
    <row r="1282" spans="1:10" ht="13.5" customHeight="1">
      <c r="A1282" s="18" t="s">
        <v>40</v>
      </c>
      <c r="B1282" s="6"/>
      <c r="C1282" s="6"/>
      <c r="D1282" s="2" t="s">
        <v>25</v>
      </c>
      <c r="E1282" s="17" t="s">
        <v>62</v>
      </c>
      <c r="F1282" s="1"/>
      <c r="G1282" s="2" t="s">
        <v>25</v>
      </c>
      <c r="H1282" s="42"/>
      <c r="I1282" s="36"/>
      <c r="J1282" s="43"/>
    </row>
    <row r="1283" spans="1:10" ht="13.5" customHeight="1">
      <c r="A1283" s="204" t="s">
        <v>63</v>
      </c>
      <c r="B1283" s="205"/>
      <c r="C1283" s="206"/>
      <c r="D1283" s="229">
        <f>SUM(D1276:D1282)</f>
        <v>17100</v>
      </c>
      <c r="E1283" s="1" t="s">
        <v>43</v>
      </c>
      <c r="F1283" s="1"/>
      <c r="G1283" s="2" t="s">
        <v>25</v>
      </c>
      <c r="H1283" s="18"/>
      <c r="I1283" s="6"/>
      <c r="J1283" s="19"/>
    </row>
    <row r="1284" spans="1:10" ht="13.5" customHeight="1">
      <c r="A1284" s="207"/>
      <c r="B1284" s="197"/>
      <c r="C1284" s="208"/>
      <c r="D1284" s="230"/>
      <c r="E1284" s="21" t="s">
        <v>21</v>
      </c>
      <c r="F1284" s="22"/>
      <c r="G1284" s="13">
        <f>SUM(G1276:G1283)</f>
        <v>5100</v>
      </c>
      <c r="H1284" s="21" t="s">
        <v>44</v>
      </c>
      <c r="I1284" s="22"/>
      <c r="J1284" s="13">
        <f>D1283-G1284</f>
        <v>12000</v>
      </c>
    </row>
    <row r="1285" spans="1:10" ht="13.5" customHeight="1">
      <c r="A1285" s="3" t="s">
        <v>45</v>
      </c>
      <c r="B1285" s="3"/>
      <c r="C1285" s="3"/>
      <c r="D1285" s="3"/>
      <c r="E1285" s="3"/>
      <c r="F1285" s="3"/>
      <c r="G1285" s="2"/>
      <c r="H1285" s="1"/>
      <c r="I1285" s="1"/>
      <c r="J1285" s="2"/>
    </row>
    <row r="1286" spans="1:10" ht="13.5" customHeight="1">
      <c r="A1286" s="3"/>
      <c r="B1286" s="3"/>
      <c r="C1286" s="3"/>
      <c r="D1286" s="3"/>
      <c r="E1286" s="3"/>
      <c r="F1286" s="3"/>
      <c r="G1286" s="2"/>
      <c r="H1286" s="1"/>
      <c r="I1286" s="1"/>
      <c r="J1286" s="2"/>
    </row>
    <row r="1287" spans="1:10" ht="13.5" customHeight="1">
      <c r="A1287" s="3"/>
      <c r="B1287" s="3" t="s">
        <v>47</v>
      </c>
      <c r="C1287" s="3"/>
      <c r="D1287" s="3"/>
      <c r="E1287" s="3" t="s">
        <v>48</v>
      </c>
      <c r="F1287" s="3"/>
      <c r="G1287" s="3"/>
      <c r="H1287" s="3" t="s">
        <v>49</v>
      </c>
      <c r="I1287" s="3"/>
      <c r="J1287" s="3"/>
    </row>
    <row r="1288" spans="1:10" ht="13.5" customHeight="1">
      <c r="A1288" s="184" t="s">
        <v>0</v>
      </c>
      <c r="B1288" s="185"/>
      <c r="C1288" s="185"/>
      <c r="D1288" s="185"/>
      <c r="E1288" s="185"/>
      <c r="F1288" s="185"/>
      <c r="G1288" s="185"/>
      <c r="H1288" s="185"/>
      <c r="I1288" s="185"/>
      <c r="J1288" s="186"/>
    </row>
    <row r="1289" spans="1:10" ht="13.5" customHeight="1">
      <c r="A1289" s="187" t="s">
        <v>1</v>
      </c>
      <c r="B1289" s="188"/>
      <c r="C1289" s="188"/>
      <c r="D1289" s="188"/>
      <c r="E1289" s="188"/>
      <c r="F1289" s="188"/>
      <c r="G1289" s="188"/>
      <c r="H1289" s="188"/>
      <c r="I1289" s="188"/>
      <c r="J1289" s="189"/>
    </row>
    <row r="1290" spans="1:10" ht="13.5" customHeight="1">
      <c r="A1290" s="1" t="s">
        <v>2</v>
      </c>
      <c r="B1290" s="1"/>
      <c r="C1290" s="190"/>
      <c r="D1290" s="190"/>
      <c r="E1290" s="2"/>
      <c r="F1290" s="3"/>
      <c r="G1290" s="1" t="s">
        <v>4</v>
      </c>
      <c r="H1290" s="191" t="s">
        <v>358</v>
      </c>
      <c r="I1290" s="191"/>
      <c r="J1290" s="191"/>
    </row>
    <row r="1291" spans="1:10" ht="13.5" customHeight="1">
      <c r="A1291" s="1" t="s">
        <v>6</v>
      </c>
      <c r="B1291" s="1"/>
      <c r="C1291" s="192" t="s">
        <v>710</v>
      </c>
      <c r="D1291" s="192"/>
      <c r="E1291" s="2"/>
      <c r="F1291" s="3"/>
      <c r="G1291" s="1" t="s">
        <v>8</v>
      </c>
      <c r="H1291" s="193" t="s">
        <v>9</v>
      </c>
      <c r="I1291" s="193"/>
      <c r="J1291" s="193"/>
    </row>
    <row r="1292" spans="1:10" ht="13.5" customHeight="1">
      <c r="A1292" s="6" t="s">
        <v>10</v>
      </c>
      <c r="B1292" s="6"/>
      <c r="C1292" s="194" t="s">
        <v>563</v>
      </c>
      <c r="D1292" s="194"/>
      <c r="E1292" s="2"/>
      <c r="F1292" s="3"/>
      <c r="G1292" s="1" t="s">
        <v>12</v>
      </c>
      <c r="H1292" s="195" t="s">
        <v>13</v>
      </c>
      <c r="I1292" s="195"/>
      <c r="J1292" s="195"/>
    </row>
    <row r="1293" spans="1:10" ht="13.5" customHeight="1">
      <c r="A1293" s="2" t="s">
        <v>14</v>
      </c>
      <c r="B1293" s="2"/>
      <c r="C1293" s="2" t="s">
        <v>15</v>
      </c>
      <c r="D1293" s="2"/>
      <c r="E1293" s="2"/>
      <c r="F1293" s="3"/>
      <c r="G1293" s="1" t="s">
        <v>16</v>
      </c>
      <c r="H1293" s="196" t="s">
        <v>140</v>
      </c>
      <c r="I1293" s="196"/>
      <c r="J1293" s="196"/>
    </row>
    <row r="1294" spans="1:10" ht="13.5" customHeight="1">
      <c r="A1294" s="2">
        <v>30</v>
      </c>
      <c r="B1294" s="2"/>
      <c r="C1294" s="2">
        <f>A1294-H1294</f>
        <v>0</v>
      </c>
      <c r="D1294" s="2"/>
      <c r="E1294" s="2"/>
      <c r="F1294" s="3"/>
      <c r="G1294" s="8" t="s">
        <v>18</v>
      </c>
      <c r="H1294" s="197">
        <v>30</v>
      </c>
      <c r="I1294" s="197"/>
      <c r="J1294" s="197"/>
    </row>
    <row r="1295" spans="1:10" ht="13.5" customHeight="1">
      <c r="A1295" s="198" t="s">
        <v>19</v>
      </c>
      <c r="B1295" s="199"/>
      <c r="C1295" s="200"/>
      <c r="D1295" s="13" t="s">
        <v>20</v>
      </c>
      <c r="E1295" s="14" t="s">
        <v>21</v>
      </c>
      <c r="F1295" s="15"/>
      <c r="G1295" s="16" t="s">
        <v>20</v>
      </c>
      <c r="H1295" s="201" t="s">
        <v>22</v>
      </c>
      <c r="I1295" s="202"/>
      <c r="J1295" s="203"/>
    </row>
    <row r="1296" spans="1:10" ht="13.5" customHeight="1">
      <c r="A1296" s="17" t="s">
        <v>23</v>
      </c>
      <c r="B1296" s="1"/>
      <c r="C1296" s="1"/>
      <c r="D1296" s="2">
        <v>15000</v>
      </c>
      <c r="E1296" s="17" t="s">
        <v>24</v>
      </c>
      <c r="F1296" s="1"/>
      <c r="G1296" s="2" t="s">
        <v>25</v>
      </c>
      <c r="H1296" s="18" t="s">
        <v>26</v>
      </c>
      <c r="I1296" s="23"/>
      <c r="J1296" s="24"/>
    </row>
    <row r="1297" spans="1:10" ht="13.5" customHeight="1">
      <c r="A1297" s="17" t="s">
        <v>77</v>
      </c>
      <c r="B1297" s="209" t="s">
        <v>196</v>
      </c>
      <c r="C1297" s="209"/>
      <c r="D1297" s="2">
        <v>1500</v>
      </c>
      <c r="E1297" s="17" t="s">
        <v>28</v>
      </c>
      <c r="F1297" s="1"/>
      <c r="G1297" s="2" t="s">
        <v>25</v>
      </c>
      <c r="H1297" s="18" t="s">
        <v>29</v>
      </c>
      <c r="I1297" s="23"/>
      <c r="J1297" s="24"/>
    </row>
    <row r="1298" spans="1:10" ht="13.5" customHeight="1">
      <c r="A1298" s="17" t="s">
        <v>30</v>
      </c>
      <c r="B1298" s="1"/>
      <c r="C1298" s="1"/>
      <c r="D1298" s="2">
        <v>600</v>
      </c>
      <c r="E1298" s="17" t="s">
        <v>141</v>
      </c>
      <c r="F1298" s="1"/>
      <c r="G1298" s="2" t="s">
        <v>25</v>
      </c>
      <c r="H1298" s="18" t="s">
        <v>32</v>
      </c>
      <c r="I1298" s="23"/>
      <c r="J1298" s="24"/>
    </row>
    <row r="1299" spans="1:10" ht="13.5" customHeight="1">
      <c r="A1299" s="17" t="s">
        <v>147</v>
      </c>
      <c r="B1299" s="1"/>
      <c r="C1299" s="1"/>
      <c r="D1299" s="2" t="s">
        <v>25</v>
      </c>
      <c r="E1299" s="17" t="s">
        <v>71</v>
      </c>
      <c r="F1299" s="1"/>
      <c r="G1299" s="2" t="s">
        <v>25</v>
      </c>
      <c r="H1299" s="18"/>
      <c r="I1299" s="36"/>
      <c r="J1299" s="19"/>
    </row>
    <row r="1300" spans="1:10" ht="13.5" customHeight="1">
      <c r="A1300" s="17" t="s">
        <v>78</v>
      </c>
      <c r="B1300" s="1"/>
      <c r="C1300" s="1"/>
      <c r="D1300" s="2" t="s">
        <v>25</v>
      </c>
      <c r="E1300" s="17" t="s">
        <v>61</v>
      </c>
      <c r="F1300" s="1"/>
      <c r="G1300" s="2" t="s">
        <v>25</v>
      </c>
      <c r="H1300" s="42" t="s">
        <v>711</v>
      </c>
      <c r="I1300" s="36"/>
      <c r="J1300" s="43"/>
    </row>
    <row r="1301" spans="1:10" ht="13.5" customHeight="1">
      <c r="A1301" s="17" t="s">
        <v>136</v>
      </c>
      <c r="B1301" s="1"/>
      <c r="C1301" s="1"/>
      <c r="D1301" s="2" t="s">
        <v>25</v>
      </c>
      <c r="E1301" s="17" t="s">
        <v>39</v>
      </c>
      <c r="F1301" s="1"/>
      <c r="G1301" s="2">
        <v>100</v>
      </c>
      <c r="H1301" s="17" t="s">
        <v>712</v>
      </c>
      <c r="J1301" s="43"/>
    </row>
    <row r="1302" spans="1:10" ht="13.5" customHeight="1">
      <c r="A1302" s="18" t="s">
        <v>40</v>
      </c>
      <c r="B1302" s="6"/>
      <c r="C1302" s="6"/>
      <c r="D1302" s="2" t="s">
        <v>25</v>
      </c>
      <c r="E1302" s="17" t="s">
        <v>62</v>
      </c>
      <c r="F1302" s="1"/>
      <c r="G1302" s="2" t="s">
        <v>25</v>
      </c>
      <c r="H1302" s="42"/>
      <c r="I1302" s="36"/>
      <c r="J1302" s="43"/>
    </row>
    <row r="1303" spans="1:10" ht="13.5" customHeight="1">
      <c r="A1303" s="204" t="s">
        <v>63</v>
      </c>
      <c r="B1303" s="205"/>
      <c r="C1303" s="206"/>
      <c r="D1303" s="229">
        <f>SUM(D1296:D1302)</f>
        <v>17100</v>
      </c>
      <c r="E1303" s="1" t="s">
        <v>43</v>
      </c>
      <c r="F1303" s="1"/>
      <c r="G1303" s="2" t="s">
        <v>25</v>
      </c>
      <c r="H1303" s="18"/>
      <c r="I1303" s="6"/>
      <c r="J1303" s="19"/>
    </row>
    <row r="1304" spans="1:10" ht="13.5" customHeight="1">
      <c r="A1304" s="207"/>
      <c r="B1304" s="197"/>
      <c r="C1304" s="208"/>
      <c r="D1304" s="230"/>
      <c r="E1304" s="21" t="s">
        <v>21</v>
      </c>
      <c r="F1304" s="22"/>
      <c r="G1304" s="13">
        <f>SUM(G1296:G1303)</f>
        <v>100</v>
      </c>
      <c r="H1304" s="21" t="s">
        <v>44</v>
      </c>
      <c r="I1304" s="22"/>
      <c r="J1304" s="13">
        <f>D1303-G1304</f>
        <v>17000</v>
      </c>
    </row>
    <row r="1305" spans="1:10" ht="13.5" customHeight="1">
      <c r="A1305" s="3" t="s">
        <v>45</v>
      </c>
      <c r="B1305" s="3"/>
      <c r="C1305" s="3"/>
      <c r="D1305" s="3"/>
      <c r="E1305" s="3"/>
      <c r="F1305" s="3"/>
      <c r="G1305" s="2"/>
      <c r="H1305" s="1"/>
      <c r="I1305" s="1"/>
      <c r="J1305" s="2"/>
    </row>
    <row r="1306" spans="1:10" ht="13.5" customHeight="1">
      <c r="A1306" s="3"/>
      <c r="B1306" s="3"/>
      <c r="C1306" s="3"/>
      <c r="D1306" s="3"/>
      <c r="E1306" s="3"/>
      <c r="F1306" s="3"/>
      <c r="G1306" s="2"/>
      <c r="H1306" s="1"/>
      <c r="I1306" s="1"/>
      <c r="J1306" s="2"/>
    </row>
    <row r="1307" spans="1:10" ht="13.5" customHeight="1">
      <c r="A1307" s="3"/>
      <c r="B1307" s="3" t="s">
        <v>47</v>
      </c>
      <c r="C1307" s="3"/>
      <c r="D1307" s="3"/>
      <c r="E1307" s="3" t="s">
        <v>48</v>
      </c>
      <c r="F1307" s="3"/>
      <c r="G1307" s="3"/>
      <c r="H1307" s="3" t="s">
        <v>49</v>
      </c>
      <c r="I1307" s="3"/>
      <c r="J1307" s="3"/>
    </row>
    <row r="1308" spans="1:10" ht="13.5" customHeight="1">
      <c r="A1308" s="213" t="s">
        <v>0</v>
      </c>
      <c r="B1308" s="214"/>
      <c r="C1308" s="214"/>
      <c r="D1308" s="214"/>
      <c r="E1308" s="214"/>
      <c r="F1308" s="214"/>
      <c r="G1308" s="214"/>
      <c r="H1308" s="214"/>
      <c r="I1308" s="214"/>
      <c r="J1308" s="215"/>
    </row>
    <row r="1309" spans="1:10" ht="13.5" customHeight="1">
      <c r="A1309" s="187" t="s">
        <v>1</v>
      </c>
      <c r="B1309" s="188"/>
      <c r="C1309" s="188"/>
      <c r="D1309" s="188"/>
      <c r="E1309" s="188"/>
      <c r="F1309" s="188"/>
      <c r="G1309" s="188"/>
      <c r="H1309" s="188"/>
      <c r="I1309" s="188"/>
      <c r="J1309" s="189"/>
    </row>
    <row r="1310" spans="1:10" ht="13.5" customHeight="1">
      <c r="A1310" s="134" t="s">
        <v>2</v>
      </c>
      <c r="B1310" s="134"/>
      <c r="C1310" s="218" t="s">
        <v>713</v>
      </c>
      <c r="D1310" s="218"/>
      <c r="E1310" s="135"/>
      <c r="F1310" s="136"/>
      <c r="G1310" s="134" t="s">
        <v>4</v>
      </c>
      <c r="H1310" s="240" t="s">
        <v>259</v>
      </c>
      <c r="I1310" s="241"/>
      <c r="J1310" s="242"/>
    </row>
    <row r="1311" spans="1:10" ht="13.5" customHeight="1">
      <c r="A1311" s="134" t="s">
        <v>6</v>
      </c>
      <c r="B1311" s="134"/>
      <c r="C1311" s="286" t="s">
        <v>507</v>
      </c>
      <c r="D1311" s="286"/>
      <c r="E1311" s="135"/>
      <c r="F1311" s="136"/>
      <c r="G1311" s="134" t="s">
        <v>8</v>
      </c>
      <c r="H1311" s="217" t="s">
        <v>9</v>
      </c>
      <c r="I1311" s="217"/>
      <c r="J1311" s="217"/>
    </row>
    <row r="1312" spans="1:10" ht="13.5" customHeight="1">
      <c r="A1312" s="23" t="s">
        <v>10</v>
      </c>
      <c r="B1312" s="23"/>
      <c r="C1312" s="218" t="s">
        <v>563</v>
      </c>
      <c r="D1312" s="218"/>
      <c r="E1312" s="135"/>
      <c r="F1312" s="136"/>
      <c r="G1312" s="134" t="s">
        <v>12</v>
      </c>
      <c r="H1312" s="195" t="s">
        <v>13</v>
      </c>
      <c r="I1312" s="195"/>
      <c r="J1312" s="195"/>
    </row>
    <row r="1313" spans="1:10" ht="13.5" customHeight="1">
      <c r="A1313" s="135" t="s">
        <v>14</v>
      </c>
      <c r="B1313" s="135"/>
      <c r="C1313" s="135" t="s">
        <v>15</v>
      </c>
      <c r="D1313" s="135"/>
      <c r="E1313" s="135"/>
      <c r="F1313" s="136"/>
      <c r="G1313" s="134" t="s">
        <v>16</v>
      </c>
      <c r="H1313" s="219" t="s">
        <v>263</v>
      </c>
      <c r="I1313" s="219"/>
      <c r="J1313" s="219"/>
    </row>
    <row r="1314" spans="1:10" ht="13.5" customHeight="1">
      <c r="A1314" s="135">
        <v>30</v>
      </c>
      <c r="B1314" s="135"/>
      <c r="C1314" s="135">
        <f>A1314-H1314</f>
        <v>0</v>
      </c>
      <c r="D1314" s="135"/>
      <c r="E1314" s="135"/>
      <c r="F1314" s="136"/>
      <c r="G1314" s="137" t="s">
        <v>18</v>
      </c>
      <c r="H1314" s="247">
        <v>30</v>
      </c>
      <c r="I1314" s="247"/>
      <c r="J1314" s="247"/>
    </row>
    <row r="1315" spans="1:10" ht="13.5" customHeight="1">
      <c r="A1315" s="221" t="s">
        <v>19</v>
      </c>
      <c r="B1315" s="222"/>
      <c r="C1315" s="223"/>
      <c r="D1315" s="138" t="s">
        <v>20</v>
      </c>
      <c r="E1315" s="139" t="s">
        <v>21</v>
      </c>
      <c r="F1315" s="140"/>
      <c r="G1315" s="141" t="s">
        <v>20</v>
      </c>
      <c r="H1315" s="224" t="s">
        <v>22</v>
      </c>
      <c r="I1315" s="225"/>
      <c r="J1315" s="226"/>
    </row>
    <row r="1316" spans="1:10" ht="13.5" customHeight="1">
      <c r="A1316" s="142" t="s">
        <v>23</v>
      </c>
      <c r="B1316" s="134"/>
      <c r="C1316" s="134"/>
      <c r="D1316" s="135">
        <v>18000</v>
      </c>
      <c r="E1316" s="142" t="s">
        <v>24</v>
      </c>
      <c r="F1316" s="134"/>
      <c r="G1316" s="135" t="s">
        <v>25</v>
      </c>
      <c r="H1316" s="18" t="s">
        <v>26</v>
      </c>
      <c r="I1316" s="23"/>
      <c r="J1316" s="24"/>
    </row>
    <row r="1317" spans="1:10" ht="13.5" customHeight="1">
      <c r="A1317" s="142" t="s">
        <v>57</v>
      </c>
      <c r="B1317" s="285"/>
      <c r="C1317" s="285"/>
      <c r="D1317" s="135" t="s">
        <v>25</v>
      </c>
      <c r="E1317" s="142" t="s">
        <v>28</v>
      </c>
      <c r="F1317" s="134"/>
      <c r="G1317" s="135" t="s">
        <v>25</v>
      </c>
      <c r="H1317" s="18" t="s">
        <v>29</v>
      </c>
      <c r="I1317" s="23"/>
      <c r="J1317" s="24"/>
    </row>
    <row r="1318" spans="1:10" ht="13.5" customHeight="1">
      <c r="A1318" s="142" t="s">
        <v>30</v>
      </c>
      <c r="B1318" s="134"/>
      <c r="C1318" s="134"/>
      <c r="D1318" s="135">
        <v>600</v>
      </c>
      <c r="E1318" s="142" t="s">
        <v>40</v>
      </c>
      <c r="F1318" s="134"/>
      <c r="G1318" s="135" t="s">
        <v>25</v>
      </c>
      <c r="H1318" s="18" t="s">
        <v>32</v>
      </c>
      <c r="I1318" s="23"/>
      <c r="J1318" s="24"/>
    </row>
    <row r="1319" spans="1:10" ht="13.5" customHeight="1">
      <c r="A1319" s="142" t="s">
        <v>345</v>
      </c>
      <c r="B1319" s="134"/>
      <c r="C1319" s="134"/>
      <c r="D1319" s="135" t="s">
        <v>25</v>
      </c>
      <c r="E1319" s="142" t="s">
        <v>35</v>
      </c>
      <c r="F1319" s="134"/>
      <c r="G1319" s="135" t="s">
        <v>25</v>
      </c>
      <c r="H1319" s="143"/>
      <c r="I1319" s="23"/>
      <c r="J1319" s="24"/>
    </row>
    <row r="1320" spans="1:10" ht="13.5" customHeight="1">
      <c r="A1320" s="142" t="s">
        <v>78</v>
      </c>
      <c r="B1320" s="134"/>
      <c r="C1320" s="134"/>
      <c r="D1320" s="135" t="s">
        <v>25</v>
      </c>
      <c r="E1320" s="142" t="s">
        <v>37</v>
      </c>
      <c r="F1320" s="134"/>
      <c r="G1320" s="135" t="s">
        <v>25</v>
      </c>
      <c r="H1320" s="143"/>
      <c r="I1320" s="23"/>
      <c r="J1320" s="145"/>
    </row>
    <row r="1321" spans="1:10" ht="13.5" customHeight="1">
      <c r="A1321" s="142" t="s">
        <v>136</v>
      </c>
      <c r="B1321" s="134"/>
      <c r="C1321" s="134"/>
      <c r="D1321" s="135" t="s">
        <v>25</v>
      </c>
      <c r="E1321" s="142" t="s">
        <v>39</v>
      </c>
      <c r="F1321" s="134"/>
      <c r="G1321" s="135">
        <v>100</v>
      </c>
      <c r="H1321" s="143"/>
      <c r="I1321" s="23"/>
      <c r="J1321" s="145"/>
    </row>
    <row r="1322" spans="1:10" ht="13.5" customHeight="1">
      <c r="A1322" s="143" t="s">
        <v>40</v>
      </c>
      <c r="B1322" s="23"/>
      <c r="C1322" s="23"/>
      <c r="D1322" s="135" t="s">
        <v>25</v>
      </c>
      <c r="E1322" s="142" t="s">
        <v>41</v>
      </c>
      <c r="F1322" s="134"/>
      <c r="G1322" s="135" t="s">
        <v>25</v>
      </c>
      <c r="H1322" s="143"/>
      <c r="I1322" s="23"/>
      <c r="J1322" s="24"/>
    </row>
    <row r="1323" spans="1:10" ht="13.5" customHeight="1">
      <c r="A1323" s="243" t="s">
        <v>63</v>
      </c>
      <c r="B1323" s="244"/>
      <c r="C1323" s="245"/>
      <c r="D1323" s="238">
        <f>SUM(D1316:D1322)</f>
        <v>18600</v>
      </c>
      <c r="E1323" s="134" t="s">
        <v>43</v>
      </c>
      <c r="F1323" s="134"/>
      <c r="G1323" s="135" t="s">
        <v>25</v>
      </c>
      <c r="H1323" s="143"/>
      <c r="I1323" s="23"/>
      <c r="J1323" s="24"/>
    </row>
    <row r="1324" spans="1:10" ht="13.5" customHeight="1">
      <c r="A1324" s="246"/>
      <c r="B1324" s="247"/>
      <c r="C1324" s="248"/>
      <c r="D1324" s="239"/>
      <c r="E1324" s="146" t="s">
        <v>21</v>
      </c>
      <c r="F1324" s="147"/>
      <c r="G1324" s="138">
        <f>SUM(G1316:G1323)</f>
        <v>100</v>
      </c>
      <c r="H1324" s="146" t="s">
        <v>44</v>
      </c>
      <c r="I1324" s="147"/>
      <c r="J1324" s="13">
        <f>D1323-G1324</f>
        <v>18500</v>
      </c>
    </row>
    <row r="1325" spans="1:10" ht="13.5" customHeight="1">
      <c r="A1325" s="136" t="s">
        <v>45</v>
      </c>
      <c r="B1325" s="136"/>
      <c r="C1325" s="136"/>
      <c r="D1325" s="136"/>
      <c r="E1325" s="136"/>
      <c r="F1325" s="136"/>
      <c r="G1325" s="136"/>
      <c r="H1325" s="136"/>
      <c r="I1325" s="136"/>
      <c r="J1325" s="136"/>
    </row>
    <row r="1326" spans="1:10" ht="13.5" customHeight="1">
      <c r="A1326" s="136"/>
      <c r="B1326" s="136"/>
      <c r="C1326" s="136"/>
      <c r="D1326" s="136"/>
      <c r="E1326" s="136"/>
      <c r="F1326" s="136"/>
      <c r="G1326" s="136"/>
      <c r="H1326" s="136"/>
      <c r="I1326" s="136"/>
      <c r="J1326" s="136"/>
    </row>
    <row r="1327" spans="1:10" ht="13.5" customHeight="1">
      <c r="A1327" s="136"/>
      <c r="B1327" s="136" t="s">
        <v>47</v>
      </c>
      <c r="C1327" s="136"/>
      <c r="D1327" s="136"/>
      <c r="E1327" s="136" t="s">
        <v>48</v>
      </c>
      <c r="F1327" s="136"/>
      <c r="G1327" s="136"/>
      <c r="H1327" s="136" t="s">
        <v>49</v>
      </c>
      <c r="I1327" s="136"/>
      <c r="J1327" s="136"/>
    </row>
    <row r="1328" spans="1:10" ht="13.5" customHeight="1">
      <c r="A1328" s="213" t="s">
        <v>0</v>
      </c>
      <c r="B1328" s="214"/>
      <c r="C1328" s="214"/>
      <c r="D1328" s="214"/>
      <c r="E1328" s="214"/>
      <c r="F1328" s="214"/>
      <c r="G1328" s="214"/>
      <c r="H1328" s="214"/>
      <c r="I1328" s="214"/>
      <c r="J1328" s="215"/>
    </row>
    <row r="1329" spans="1:10" ht="13.5" customHeight="1">
      <c r="A1329" s="187" t="s">
        <v>1</v>
      </c>
      <c r="B1329" s="188"/>
      <c r="C1329" s="188"/>
      <c r="D1329" s="188"/>
      <c r="E1329" s="188"/>
      <c r="F1329" s="188"/>
      <c r="G1329" s="188"/>
      <c r="H1329" s="188"/>
      <c r="I1329" s="188"/>
      <c r="J1329" s="189"/>
    </row>
    <row r="1330" spans="1:10" ht="13.5" customHeight="1">
      <c r="A1330" s="134" t="s">
        <v>2</v>
      </c>
      <c r="B1330" s="134"/>
      <c r="C1330" s="218" t="s">
        <v>713</v>
      </c>
      <c r="D1330" s="218"/>
      <c r="E1330" s="135"/>
      <c r="F1330" s="136"/>
      <c r="G1330" s="134" t="s">
        <v>4</v>
      </c>
      <c r="H1330" s="240" t="s">
        <v>259</v>
      </c>
      <c r="I1330" s="241"/>
      <c r="J1330" s="242"/>
    </row>
    <row r="1331" spans="1:10" ht="13.5" customHeight="1">
      <c r="A1331" s="134" t="s">
        <v>6</v>
      </c>
      <c r="B1331" s="134"/>
      <c r="C1331" s="286" t="s">
        <v>714</v>
      </c>
      <c r="D1331" s="286"/>
      <c r="E1331" s="135"/>
      <c r="F1331" s="136"/>
      <c r="G1331" s="134" t="s">
        <v>8</v>
      </c>
      <c r="H1331" s="217" t="s">
        <v>9</v>
      </c>
      <c r="I1331" s="217"/>
      <c r="J1331" s="217"/>
    </row>
    <row r="1332" spans="1:10" ht="13.5" customHeight="1">
      <c r="A1332" s="23" t="s">
        <v>10</v>
      </c>
      <c r="B1332" s="23"/>
      <c r="C1332" s="218" t="s">
        <v>563</v>
      </c>
      <c r="D1332" s="218"/>
      <c r="E1332" s="135"/>
      <c r="F1332" s="136"/>
      <c r="G1332" s="134" t="s">
        <v>12</v>
      </c>
      <c r="H1332" s="195" t="s">
        <v>13</v>
      </c>
      <c r="I1332" s="195"/>
      <c r="J1332" s="195"/>
    </row>
    <row r="1333" spans="1:10" ht="13.5" customHeight="1">
      <c r="A1333" s="135" t="s">
        <v>14</v>
      </c>
      <c r="B1333" s="135"/>
      <c r="C1333" s="135" t="s">
        <v>15</v>
      </c>
      <c r="D1333" s="135"/>
      <c r="E1333" s="135"/>
      <c r="F1333" s="136"/>
      <c r="G1333" s="134" t="s">
        <v>16</v>
      </c>
      <c r="H1333" s="219" t="s">
        <v>263</v>
      </c>
      <c r="I1333" s="219"/>
      <c r="J1333" s="219"/>
    </row>
    <row r="1334" spans="1:10" ht="13.5" customHeight="1">
      <c r="A1334" s="135">
        <v>30</v>
      </c>
      <c r="B1334" s="135"/>
      <c r="C1334" s="135">
        <f>A1334-H1334</f>
        <v>0</v>
      </c>
      <c r="D1334" s="135"/>
      <c r="E1334" s="135"/>
      <c r="F1334" s="136"/>
      <c r="G1334" s="137" t="s">
        <v>18</v>
      </c>
      <c r="H1334" s="247">
        <v>30</v>
      </c>
      <c r="I1334" s="247"/>
      <c r="J1334" s="247"/>
    </row>
    <row r="1335" spans="1:10" ht="13.5" customHeight="1">
      <c r="A1335" s="221" t="s">
        <v>19</v>
      </c>
      <c r="B1335" s="222"/>
      <c r="C1335" s="223"/>
      <c r="D1335" s="138" t="s">
        <v>20</v>
      </c>
      <c r="E1335" s="139" t="s">
        <v>21</v>
      </c>
      <c r="F1335" s="140"/>
      <c r="G1335" s="141" t="s">
        <v>20</v>
      </c>
      <c r="H1335" s="224" t="s">
        <v>22</v>
      </c>
      <c r="I1335" s="225"/>
      <c r="J1335" s="226"/>
    </row>
    <row r="1336" spans="1:10" ht="13.5" customHeight="1">
      <c r="A1336" s="142" t="s">
        <v>23</v>
      </c>
      <c r="B1336" s="134"/>
      <c r="C1336" s="134"/>
      <c r="D1336" s="135">
        <v>18000</v>
      </c>
      <c r="E1336" s="142" t="s">
        <v>24</v>
      </c>
      <c r="F1336" s="134"/>
      <c r="G1336" s="135" t="s">
        <v>25</v>
      </c>
      <c r="H1336" s="18" t="s">
        <v>26</v>
      </c>
      <c r="I1336" s="23"/>
      <c r="J1336" s="24"/>
    </row>
    <row r="1337" spans="1:10" ht="13.5" customHeight="1">
      <c r="A1337" s="142" t="s">
        <v>57</v>
      </c>
      <c r="B1337" s="285"/>
      <c r="C1337" s="285"/>
      <c r="D1337" s="135" t="s">
        <v>25</v>
      </c>
      <c r="E1337" s="142" t="s">
        <v>28</v>
      </c>
      <c r="F1337" s="134"/>
      <c r="G1337" s="135" t="s">
        <v>25</v>
      </c>
      <c r="H1337" s="18" t="s">
        <v>29</v>
      </c>
      <c r="I1337" s="23"/>
      <c r="J1337" s="24"/>
    </row>
    <row r="1338" spans="1:10" ht="13.5" customHeight="1">
      <c r="A1338" s="142" t="s">
        <v>30</v>
      </c>
      <c r="B1338" s="134"/>
      <c r="C1338" s="134"/>
      <c r="D1338" s="135">
        <v>600</v>
      </c>
      <c r="E1338" s="142" t="s">
        <v>40</v>
      </c>
      <c r="F1338" s="134"/>
      <c r="G1338" s="135" t="s">
        <v>25</v>
      </c>
      <c r="H1338" s="18" t="s">
        <v>32</v>
      </c>
      <c r="I1338" s="23"/>
      <c r="J1338" s="24"/>
    </row>
    <row r="1339" spans="1:10" ht="13.5" customHeight="1">
      <c r="A1339" s="142" t="s">
        <v>345</v>
      </c>
      <c r="B1339" s="134"/>
      <c r="C1339" s="134"/>
      <c r="D1339" s="135" t="s">
        <v>25</v>
      </c>
      <c r="E1339" s="142" t="s">
        <v>35</v>
      </c>
      <c r="F1339" s="134"/>
      <c r="G1339" s="135" t="s">
        <v>25</v>
      </c>
      <c r="H1339" s="143"/>
      <c r="I1339" s="23"/>
      <c r="J1339" s="24"/>
    </row>
    <row r="1340" spans="1:10" ht="13.5" customHeight="1">
      <c r="A1340" s="142" t="s">
        <v>78</v>
      </c>
      <c r="B1340" s="134"/>
      <c r="C1340" s="134"/>
      <c r="D1340" s="135" t="s">
        <v>25</v>
      </c>
      <c r="E1340" s="142" t="s">
        <v>61</v>
      </c>
      <c r="F1340" s="134"/>
      <c r="G1340" s="135" t="s">
        <v>25</v>
      </c>
      <c r="H1340" s="144"/>
      <c r="I1340" s="23"/>
      <c r="J1340" s="145"/>
    </row>
    <row r="1341" spans="1:10" ht="13.5" customHeight="1">
      <c r="A1341" s="142" t="s">
        <v>136</v>
      </c>
      <c r="B1341" s="134"/>
      <c r="C1341" s="134"/>
      <c r="D1341" s="135" t="s">
        <v>25</v>
      </c>
      <c r="E1341" s="142" t="s">
        <v>39</v>
      </c>
      <c r="F1341" s="134"/>
      <c r="G1341" s="135">
        <v>100</v>
      </c>
      <c r="H1341" s="143"/>
      <c r="I1341" s="23"/>
      <c r="J1341" s="145"/>
    </row>
    <row r="1342" spans="1:10" ht="13.5" customHeight="1">
      <c r="A1342" s="143" t="s">
        <v>40</v>
      </c>
      <c r="B1342" s="23"/>
      <c r="C1342" s="23"/>
      <c r="D1342" s="135" t="s">
        <v>25</v>
      </c>
      <c r="E1342" s="142" t="s">
        <v>41</v>
      </c>
      <c r="F1342" s="134"/>
      <c r="G1342" s="135" t="s">
        <v>25</v>
      </c>
      <c r="H1342" s="143"/>
      <c r="I1342" s="23"/>
      <c r="J1342" s="24"/>
    </row>
    <row r="1343" spans="1:10" ht="13.5" customHeight="1">
      <c r="A1343" s="243" t="s">
        <v>63</v>
      </c>
      <c r="B1343" s="244"/>
      <c r="C1343" s="245"/>
      <c r="D1343" s="238">
        <f>SUM(D1336:D1342)</f>
        <v>18600</v>
      </c>
      <c r="E1343" s="134" t="s">
        <v>43</v>
      </c>
      <c r="F1343" s="134"/>
      <c r="G1343" s="135" t="s">
        <v>25</v>
      </c>
      <c r="H1343" s="143"/>
      <c r="I1343" s="23"/>
      <c r="J1343" s="24"/>
    </row>
    <row r="1344" spans="1:10" ht="13.5" customHeight="1">
      <c r="A1344" s="246"/>
      <c r="B1344" s="247"/>
      <c r="C1344" s="248"/>
      <c r="D1344" s="239"/>
      <c r="E1344" s="146" t="s">
        <v>21</v>
      </c>
      <c r="F1344" s="147"/>
      <c r="G1344" s="138">
        <f>SUM(G1336:G1343)</f>
        <v>100</v>
      </c>
      <c r="H1344" s="146" t="s">
        <v>44</v>
      </c>
      <c r="I1344" s="147"/>
      <c r="J1344" s="13">
        <f>D1343-G1344</f>
        <v>18500</v>
      </c>
    </row>
    <row r="1345" spans="1:10" ht="13.5" customHeight="1">
      <c r="A1345" s="136" t="s">
        <v>45</v>
      </c>
      <c r="B1345" s="136"/>
      <c r="C1345" s="136"/>
      <c r="D1345" s="136"/>
      <c r="E1345" s="136"/>
      <c r="F1345" s="136"/>
      <c r="G1345" s="136"/>
      <c r="H1345" s="136"/>
      <c r="I1345" s="136"/>
      <c r="J1345" s="136"/>
    </row>
    <row r="1346" spans="1:10" ht="13.5" customHeight="1">
      <c r="A1346" s="136"/>
      <c r="B1346" s="136"/>
      <c r="C1346" s="136"/>
      <c r="D1346" s="136"/>
      <c r="E1346" s="136"/>
      <c r="F1346" s="136"/>
      <c r="G1346" s="136"/>
      <c r="H1346" s="136"/>
      <c r="I1346" s="136"/>
      <c r="J1346" s="136"/>
    </row>
    <row r="1347" spans="1:10" ht="13.5" customHeight="1">
      <c r="A1347" s="136"/>
      <c r="B1347" s="136" t="s">
        <v>47</v>
      </c>
      <c r="C1347" s="136"/>
      <c r="D1347" s="136"/>
      <c r="E1347" s="136" t="s">
        <v>48</v>
      </c>
      <c r="F1347" s="136"/>
      <c r="G1347" s="136"/>
      <c r="H1347" s="136" t="s">
        <v>49</v>
      </c>
      <c r="I1347" s="136"/>
      <c r="J1347" s="136"/>
    </row>
    <row r="1348" spans="1:10" ht="32.25" customHeight="1">
      <c r="A1348" s="249" t="s">
        <v>264</v>
      </c>
      <c r="B1348" s="250"/>
      <c r="C1348" s="250"/>
      <c r="D1348" s="250"/>
      <c r="E1348" s="251"/>
      <c r="F1348" s="249">
        <f>J1344+J1324+J1304+J1284+J1264+J1244+J1224+J1204+J1184+J1164+J1144+J1124+J1105+J1086+J1067+J1047+J1027+J1007+J987+J967+J947+J927+J907+J887++J868+J849+J830+J810+J790+J770+J750+J730+J710+J690+J670+J650+J630+J610+J590+J569+J570+J552+J533+J514+J494+J474+J454+J434+J414+J394+J374+J356+J336+J316+J296+J276+J256+J236+J216+J196+J176+J157+J137+J117+J97+J77+J57+J37+J17</f>
        <v>1492106</v>
      </c>
      <c r="G1348" s="250"/>
      <c r="H1348" s="250"/>
      <c r="I1348" s="250"/>
      <c r="J1348" s="251"/>
    </row>
    <row r="1349" spans="1:10">
      <c r="A1349" s="3"/>
      <c r="B1349" s="3"/>
      <c r="C1349" s="3"/>
      <c r="D1349" s="3"/>
      <c r="E1349" s="3"/>
      <c r="F1349" s="3"/>
      <c r="G1349" s="3"/>
      <c r="H1349" s="3"/>
      <c r="I1349" s="3"/>
    </row>
    <row r="1350" spans="1:10">
      <c r="A1350" s="3"/>
      <c r="B1350" s="3"/>
      <c r="C1350" s="3"/>
      <c r="D1350" s="3"/>
      <c r="E1350" s="3"/>
      <c r="F1350" s="3"/>
      <c r="G1350" s="3"/>
      <c r="H1350" s="3"/>
      <c r="I1350" s="3"/>
    </row>
    <row r="1351" spans="1:10">
      <c r="A1351" s="3"/>
      <c r="B1351" s="3"/>
      <c r="C1351" s="3"/>
      <c r="D1351" s="3"/>
      <c r="E1351" s="3"/>
      <c r="F1351" s="3"/>
      <c r="G1351" s="3"/>
      <c r="H1351" s="3"/>
      <c r="I1351" s="3"/>
    </row>
    <row r="1352" spans="1:10">
      <c r="A1352" s="3"/>
      <c r="B1352" s="3"/>
      <c r="C1352" s="3"/>
      <c r="D1352" s="3"/>
      <c r="E1352" s="3"/>
      <c r="F1352" s="3"/>
      <c r="G1352" s="3"/>
      <c r="H1352" s="3"/>
      <c r="I1352" s="3"/>
    </row>
    <row r="1353" spans="1:10">
      <c r="A1353" s="29"/>
      <c r="B1353" s="29"/>
      <c r="C1353" s="29"/>
      <c r="D1353" s="29"/>
      <c r="E1353" s="29"/>
      <c r="F1353" s="30"/>
      <c r="G1353" s="30"/>
      <c r="H1353" s="30"/>
      <c r="I1353" s="30"/>
    </row>
    <row r="1354" spans="1:10">
      <c r="A1354" s="31"/>
      <c r="B1354" s="252" t="s">
        <v>265</v>
      </c>
      <c r="C1354" s="252"/>
      <c r="D1354" s="252"/>
      <c r="E1354" s="33"/>
      <c r="F1354" s="253" t="s">
        <v>266</v>
      </c>
      <c r="G1354" s="253"/>
      <c r="H1354" s="253"/>
      <c r="I1354" s="253"/>
    </row>
    <row r="1355" spans="1:10">
      <c r="A1355" s="31"/>
      <c r="B1355" s="34"/>
      <c r="C1355" s="34"/>
      <c r="D1355" s="34"/>
      <c r="E1355" s="33"/>
      <c r="F1355" s="35"/>
      <c r="G1355" s="35"/>
      <c r="H1355" s="35"/>
      <c r="I1355" s="35"/>
    </row>
    <row r="1356" spans="1:10">
      <c r="A1356" s="31"/>
      <c r="B1356" s="34"/>
      <c r="C1356" s="34"/>
      <c r="D1356" s="34"/>
      <c r="E1356" s="33"/>
      <c r="F1356" s="35"/>
      <c r="G1356" s="35"/>
      <c r="H1356" s="35"/>
      <c r="I1356" s="35"/>
    </row>
    <row r="1357" spans="1:10">
      <c r="A1357" s="31"/>
      <c r="B1357" s="34"/>
      <c r="C1357" s="34"/>
      <c r="D1357" s="34"/>
      <c r="E1357" s="33"/>
      <c r="F1357" s="35"/>
      <c r="G1357" s="35"/>
      <c r="H1357" s="35"/>
      <c r="I1357" s="35"/>
    </row>
    <row r="1358" spans="1:10">
      <c r="A1358" s="31"/>
      <c r="B1358" s="34"/>
      <c r="C1358" s="34"/>
      <c r="D1358" s="34"/>
      <c r="E1358" s="33"/>
      <c r="F1358" s="35"/>
      <c r="G1358" s="35"/>
      <c r="H1358" s="35"/>
      <c r="I1358" s="35"/>
    </row>
    <row r="1359" spans="1:10">
      <c r="A1359" s="31"/>
      <c r="B1359" s="31"/>
      <c r="C1359" s="31"/>
      <c r="D1359" s="31"/>
      <c r="E1359" s="31"/>
      <c r="F1359" s="36"/>
      <c r="G1359" s="36"/>
      <c r="H1359" s="36"/>
      <c r="I1359" s="36"/>
    </row>
    <row r="1360" spans="1:10">
      <c r="A1360" s="31"/>
      <c r="B1360" s="37"/>
      <c r="C1360" s="32" t="s">
        <v>267</v>
      </c>
      <c r="D1360" s="32"/>
      <c r="E1360" s="31"/>
      <c r="F1360" s="253" t="s">
        <v>268</v>
      </c>
      <c r="G1360" s="253"/>
      <c r="H1360" s="253"/>
      <c r="I1360" s="253"/>
    </row>
    <row r="1361" spans="1:9">
      <c r="A1361" s="31"/>
      <c r="B1361" s="79"/>
      <c r="C1361" s="34"/>
      <c r="D1361" s="34"/>
      <c r="E1361" s="31"/>
      <c r="F1361" s="35"/>
      <c r="G1361" s="35"/>
      <c r="H1361" s="35"/>
      <c r="I1361" s="35"/>
    </row>
  </sheetData>
  <mergeCells count="972">
    <mergeCell ref="A453:C454"/>
    <mergeCell ref="A433:C434"/>
    <mergeCell ref="A809:C810"/>
    <mergeCell ref="A749:C750"/>
    <mergeCell ref="A946:C947"/>
    <mergeCell ref="A669:C670"/>
    <mergeCell ref="A848:C849"/>
    <mergeCell ref="A906:C907"/>
    <mergeCell ref="A1143:C1144"/>
    <mergeCell ref="A513:C514"/>
    <mergeCell ref="A1123:C1124"/>
    <mergeCell ref="A609:C610"/>
    <mergeCell ref="A629:C630"/>
    <mergeCell ref="A689:C690"/>
    <mergeCell ref="A478:J478"/>
    <mergeCell ref="A479:J479"/>
    <mergeCell ref="C480:D480"/>
    <mergeCell ref="H480:J480"/>
    <mergeCell ref="A649:C650"/>
    <mergeCell ref="A729:C730"/>
    <mergeCell ref="A769:C770"/>
    <mergeCell ref="A789:C790"/>
    <mergeCell ref="A867:C868"/>
    <mergeCell ref="A829:C830"/>
    <mergeCell ref="H481:J481"/>
    <mergeCell ref="C482:D482"/>
    <mergeCell ref="H482:J482"/>
    <mergeCell ref="H483:J483"/>
    <mergeCell ref="D473:D474"/>
    <mergeCell ref="A458:J458"/>
    <mergeCell ref="A1263:C1264"/>
    <mergeCell ref="A1283:C1284"/>
    <mergeCell ref="A1323:C1324"/>
    <mergeCell ref="A473:C474"/>
    <mergeCell ref="A551:C552"/>
    <mergeCell ref="A532:C533"/>
    <mergeCell ref="D1263:D1264"/>
    <mergeCell ref="D1006:D1007"/>
    <mergeCell ref="D1026:D1027"/>
    <mergeCell ref="D1046:D1047"/>
    <mergeCell ref="D1066:D1067"/>
    <mergeCell ref="D1085:D1086"/>
    <mergeCell ref="D1104:D1105"/>
    <mergeCell ref="D1123:D1124"/>
    <mergeCell ref="D1143:D1144"/>
    <mergeCell ref="A1128:J1128"/>
    <mergeCell ref="A1129:J1129"/>
    <mergeCell ref="C1130:D1130"/>
    <mergeCell ref="H1130:J1130"/>
    <mergeCell ref="H1131:J1131"/>
    <mergeCell ref="H1132:J1132"/>
    <mergeCell ref="H1133:J1133"/>
    <mergeCell ref="D986:D987"/>
    <mergeCell ref="B1137:C1137"/>
    <mergeCell ref="B1117:C1117"/>
    <mergeCell ref="A195:C196"/>
    <mergeCell ref="A1104:C1105"/>
    <mergeCell ref="A1085:C1086"/>
    <mergeCell ref="A1066:C1067"/>
    <mergeCell ref="A255:C256"/>
    <mergeCell ref="A235:C236"/>
    <mergeCell ref="A215:C216"/>
    <mergeCell ref="A315:C316"/>
    <mergeCell ref="A373:C374"/>
    <mergeCell ref="A295:C296"/>
    <mergeCell ref="A355:C356"/>
    <mergeCell ref="A589:C590"/>
    <mergeCell ref="B583:C583"/>
    <mergeCell ref="C558:D558"/>
    <mergeCell ref="A543:C543"/>
    <mergeCell ref="C520:D520"/>
    <mergeCell ref="B467:C467"/>
    <mergeCell ref="A986:C987"/>
    <mergeCell ref="A1006:C1007"/>
    <mergeCell ref="A1026:C1027"/>
    <mergeCell ref="A926:C927"/>
    <mergeCell ref="A886:C887"/>
    <mergeCell ref="A1135:C1135"/>
    <mergeCell ref="H1135:J1135"/>
    <mergeCell ref="B1098:C1098"/>
    <mergeCell ref="A1108:J1108"/>
    <mergeCell ref="A1109:J1109"/>
    <mergeCell ref="C1110:D1110"/>
    <mergeCell ref="H1110:J1110"/>
    <mergeCell ref="H1111:J1111"/>
    <mergeCell ref="H1112:J1112"/>
    <mergeCell ref="H1113:J1113"/>
    <mergeCell ref="A1115:C1115"/>
    <mergeCell ref="H1115:J1115"/>
    <mergeCell ref="C1091:D1091"/>
    <mergeCell ref="H1091:J1091"/>
    <mergeCell ref="C1092:D1092"/>
    <mergeCell ref="H1092:J1092"/>
    <mergeCell ref="C1093:D1093"/>
    <mergeCell ref="H1093:J1093"/>
    <mergeCell ref="H1094:J1094"/>
    <mergeCell ref="D532:D533"/>
    <mergeCell ref="D551:D552"/>
    <mergeCell ref="D569:D570"/>
    <mergeCell ref="D589:D590"/>
    <mergeCell ref="D609:D610"/>
    <mergeCell ref="D629:D630"/>
    <mergeCell ref="D649:D650"/>
    <mergeCell ref="D669:D670"/>
    <mergeCell ref="D689:D690"/>
    <mergeCell ref="C678:D678"/>
    <mergeCell ref="B643:C643"/>
    <mergeCell ref="A654:J654"/>
    <mergeCell ref="A655:J655"/>
    <mergeCell ref="C656:D656"/>
    <mergeCell ref="H656:J656"/>
    <mergeCell ref="H657:J657"/>
    <mergeCell ref="H678:J678"/>
    <mergeCell ref="H679:J679"/>
    <mergeCell ref="H680:J680"/>
    <mergeCell ref="A681:C681"/>
    <mergeCell ref="H681:J681"/>
    <mergeCell ref="B683:C683"/>
    <mergeCell ref="H638:J638"/>
    <mergeCell ref="H639:J639"/>
    <mergeCell ref="F1360:I1360"/>
    <mergeCell ref="B1337:C1337"/>
    <mergeCell ref="A1348:E1348"/>
    <mergeCell ref="F1348:J1348"/>
    <mergeCell ref="B1354:D1354"/>
    <mergeCell ref="F1354:I1354"/>
    <mergeCell ref="H1313:J1313"/>
    <mergeCell ref="H1314:J1314"/>
    <mergeCell ref="A1315:C1315"/>
    <mergeCell ref="H1315:J1315"/>
    <mergeCell ref="D1323:D1324"/>
    <mergeCell ref="D1343:D1344"/>
    <mergeCell ref="A1343:C1344"/>
    <mergeCell ref="A142:J142"/>
    <mergeCell ref="C143:D143"/>
    <mergeCell ref="H143:J143"/>
    <mergeCell ref="H144:J144"/>
    <mergeCell ref="C145:D145"/>
    <mergeCell ref="H145:J145"/>
    <mergeCell ref="H146:J146"/>
    <mergeCell ref="H147:J147"/>
    <mergeCell ref="A148:C148"/>
    <mergeCell ref="H148:J148"/>
    <mergeCell ref="D195:D196"/>
    <mergeCell ref="D215:D216"/>
    <mergeCell ref="D235:D236"/>
    <mergeCell ref="D255:D256"/>
    <mergeCell ref="D275:D276"/>
    <mergeCell ref="D295:D296"/>
    <mergeCell ref="D315:D316"/>
    <mergeCell ref="D335:D336"/>
    <mergeCell ref="D355:D356"/>
    <mergeCell ref="C343:D343"/>
    <mergeCell ref="B309:C309"/>
    <mergeCell ref="C284:D284"/>
    <mergeCell ref="A260:J260"/>
    <mergeCell ref="A261:J261"/>
    <mergeCell ref="C262:D262"/>
    <mergeCell ref="H262:J262"/>
    <mergeCell ref="C263:D263"/>
    <mergeCell ref="H263:J263"/>
    <mergeCell ref="C264:D264"/>
    <mergeCell ref="H264:J264"/>
    <mergeCell ref="H265:J265"/>
    <mergeCell ref="C243:D243"/>
    <mergeCell ref="H243:J243"/>
    <mergeCell ref="C244:D244"/>
    <mergeCell ref="D453:D454"/>
    <mergeCell ref="H1333:J1333"/>
    <mergeCell ref="H1334:J1334"/>
    <mergeCell ref="A1335:C1335"/>
    <mergeCell ref="H1335:J1335"/>
    <mergeCell ref="B1317:C1317"/>
    <mergeCell ref="A1328:J1328"/>
    <mergeCell ref="A1329:J1329"/>
    <mergeCell ref="C1330:D1330"/>
    <mergeCell ref="H1330:J1330"/>
    <mergeCell ref="C1331:D1331"/>
    <mergeCell ref="H1331:J1331"/>
    <mergeCell ref="C1332:D1332"/>
    <mergeCell ref="H1332:J1332"/>
    <mergeCell ref="C1310:D1310"/>
    <mergeCell ref="H1310:J1310"/>
    <mergeCell ref="C1311:D1311"/>
    <mergeCell ref="H1311:J1311"/>
    <mergeCell ref="C1312:D1312"/>
    <mergeCell ref="H1312:J1312"/>
    <mergeCell ref="C658:D658"/>
    <mergeCell ref="H658:J658"/>
    <mergeCell ref="H659:J659"/>
    <mergeCell ref="A635:J635"/>
    <mergeCell ref="B1297:C1297"/>
    <mergeCell ref="A1308:J1308"/>
    <mergeCell ref="A1309:J1309"/>
    <mergeCell ref="A1303:C1304"/>
    <mergeCell ref="H1274:J1274"/>
    <mergeCell ref="A1275:C1275"/>
    <mergeCell ref="H1275:J1275"/>
    <mergeCell ref="B1277:C1277"/>
    <mergeCell ref="A1288:J1288"/>
    <mergeCell ref="A1289:J1289"/>
    <mergeCell ref="C1290:D1290"/>
    <mergeCell ref="H1290:J1290"/>
    <mergeCell ref="C1291:D1291"/>
    <mergeCell ref="H1291:J1291"/>
    <mergeCell ref="C1292:D1292"/>
    <mergeCell ref="H1292:J1292"/>
    <mergeCell ref="H1293:J1293"/>
    <mergeCell ref="H1294:J1294"/>
    <mergeCell ref="A1295:C1295"/>
    <mergeCell ref="H1295:J1295"/>
    <mergeCell ref="D1283:D1284"/>
    <mergeCell ref="D1303:D1304"/>
    <mergeCell ref="A1268:J1268"/>
    <mergeCell ref="A1269:J1269"/>
    <mergeCell ref="C1270:D1270"/>
    <mergeCell ref="H1270:J1270"/>
    <mergeCell ref="C1271:D1271"/>
    <mergeCell ref="H1271:J1271"/>
    <mergeCell ref="C1272:D1272"/>
    <mergeCell ref="H1272:J1272"/>
    <mergeCell ref="H1273:J1273"/>
    <mergeCell ref="C1251:D1251"/>
    <mergeCell ref="H1251:J1251"/>
    <mergeCell ref="C1252:D1252"/>
    <mergeCell ref="H1252:J1252"/>
    <mergeCell ref="H1253:J1253"/>
    <mergeCell ref="H1254:J1254"/>
    <mergeCell ref="A1255:C1255"/>
    <mergeCell ref="H1255:J1255"/>
    <mergeCell ref="B1257:C1257"/>
    <mergeCell ref="H1233:J1233"/>
    <mergeCell ref="H1234:J1234"/>
    <mergeCell ref="A1235:C1235"/>
    <mergeCell ref="H1235:J1235"/>
    <mergeCell ref="B1237:C1237"/>
    <mergeCell ref="A1248:J1248"/>
    <mergeCell ref="A1249:J1249"/>
    <mergeCell ref="C1250:D1250"/>
    <mergeCell ref="H1250:J1250"/>
    <mergeCell ref="D1243:D1244"/>
    <mergeCell ref="A1243:C1244"/>
    <mergeCell ref="B1217:C1217"/>
    <mergeCell ref="A1228:J1228"/>
    <mergeCell ref="A1229:J1229"/>
    <mergeCell ref="C1230:D1230"/>
    <mergeCell ref="H1230:J1230"/>
    <mergeCell ref="C1231:D1231"/>
    <mergeCell ref="H1231:J1231"/>
    <mergeCell ref="C1232:D1232"/>
    <mergeCell ref="H1232:J1232"/>
    <mergeCell ref="D1223:D1224"/>
    <mergeCell ref="A1223:C1224"/>
    <mergeCell ref="C1210:D1210"/>
    <mergeCell ref="H1210:J1210"/>
    <mergeCell ref="C1211:D1211"/>
    <mergeCell ref="H1211:J1211"/>
    <mergeCell ref="C1212:D1212"/>
    <mergeCell ref="H1212:J1212"/>
    <mergeCell ref="H1213:J1213"/>
    <mergeCell ref="H1214:J1214"/>
    <mergeCell ref="A1215:C1215"/>
    <mergeCell ref="H1215:J1215"/>
    <mergeCell ref="C1192:D1192"/>
    <mergeCell ref="H1192:J1192"/>
    <mergeCell ref="H1193:J1193"/>
    <mergeCell ref="H1194:J1194"/>
    <mergeCell ref="A1195:C1195"/>
    <mergeCell ref="H1195:J1195"/>
    <mergeCell ref="B1197:C1197"/>
    <mergeCell ref="A1208:J1208"/>
    <mergeCell ref="A1209:J1209"/>
    <mergeCell ref="D1203:D1204"/>
    <mergeCell ref="A1203:C1204"/>
    <mergeCell ref="H1174:J1174"/>
    <mergeCell ref="A1175:C1175"/>
    <mergeCell ref="H1175:J1175"/>
    <mergeCell ref="B1177:C1177"/>
    <mergeCell ref="A1188:J1188"/>
    <mergeCell ref="A1189:J1189"/>
    <mergeCell ref="C1190:D1190"/>
    <mergeCell ref="H1190:J1190"/>
    <mergeCell ref="C1191:D1191"/>
    <mergeCell ref="H1191:J1191"/>
    <mergeCell ref="D1183:D1184"/>
    <mergeCell ref="A1183:C1184"/>
    <mergeCell ref="B1157:C1157"/>
    <mergeCell ref="A1168:J1168"/>
    <mergeCell ref="A1169:J1169"/>
    <mergeCell ref="C1170:D1170"/>
    <mergeCell ref="H1170:J1170"/>
    <mergeCell ref="H1171:J1171"/>
    <mergeCell ref="C1172:D1172"/>
    <mergeCell ref="H1172:J1172"/>
    <mergeCell ref="H1173:J1173"/>
    <mergeCell ref="D1163:D1164"/>
    <mergeCell ref="A1163:C1164"/>
    <mergeCell ref="A1148:J1148"/>
    <mergeCell ref="A1149:J1149"/>
    <mergeCell ref="C1150:D1150"/>
    <mergeCell ref="H1150:J1150"/>
    <mergeCell ref="H1151:J1151"/>
    <mergeCell ref="H1152:J1152"/>
    <mergeCell ref="H1153:J1153"/>
    <mergeCell ref="A1155:C1155"/>
    <mergeCell ref="H1155:J1155"/>
    <mergeCell ref="H1095:J1095"/>
    <mergeCell ref="A1096:C1096"/>
    <mergeCell ref="H1096:J1096"/>
    <mergeCell ref="C1074:D1074"/>
    <mergeCell ref="H1074:J1074"/>
    <mergeCell ref="H1075:J1075"/>
    <mergeCell ref="H1076:J1076"/>
    <mergeCell ref="A1077:C1077"/>
    <mergeCell ref="H1077:J1077"/>
    <mergeCell ref="B1079:C1079"/>
    <mergeCell ref="A1089:J1089"/>
    <mergeCell ref="A1090:J1090"/>
    <mergeCell ref="A1058:C1058"/>
    <mergeCell ref="H1058:J1058"/>
    <mergeCell ref="B1060:C1060"/>
    <mergeCell ref="A1070:J1070"/>
    <mergeCell ref="A1071:J1071"/>
    <mergeCell ref="C1072:D1072"/>
    <mergeCell ref="H1072:J1072"/>
    <mergeCell ref="C1073:D1073"/>
    <mergeCell ref="H1073:J1073"/>
    <mergeCell ref="A1052:J1052"/>
    <mergeCell ref="C1053:D1053"/>
    <mergeCell ref="H1053:J1053"/>
    <mergeCell ref="C1054:D1054"/>
    <mergeCell ref="H1054:J1054"/>
    <mergeCell ref="C1055:D1055"/>
    <mergeCell ref="H1055:J1055"/>
    <mergeCell ref="H1056:J1056"/>
    <mergeCell ref="H1057:J1057"/>
    <mergeCell ref="C1034:D1034"/>
    <mergeCell ref="H1034:J1034"/>
    <mergeCell ref="C1035:D1035"/>
    <mergeCell ref="H1035:J1035"/>
    <mergeCell ref="H1036:J1036"/>
    <mergeCell ref="A1038:C1038"/>
    <mergeCell ref="H1038:J1038"/>
    <mergeCell ref="B1040:C1040"/>
    <mergeCell ref="A1051:J1051"/>
    <mergeCell ref="A1046:C1047"/>
    <mergeCell ref="C1015:D1015"/>
    <mergeCell ref="H1015:J1015"/>
    <mergeCell ref="H1016:J1016"/>
    <mergeCell ref="A1018:C1018"/>
    <mergeCell ref="H1018:J1018"/>
    <mergeCell ref="B1020:C1020"/>
    <mergeCell ref="A1031:J1031"/>
    <mergeCell ref="A1032:J1032"/>
    <mergeCell ref="C1033:D1033"/>
    <mergeCell ref="H1033:J1033"/>
    <mergeCell ref="A998:C998"/>
    <mergeCell ref="H998:J998"/>
    <mergeCell ref="B1000:C1000"/>
    <mergeCell ref="A1011:J1011"/>
    <mergeCell ref="A1012:J1012"/>
    <mergeCell ref="C1013:D1013"/>
    <mergeCell ref="H1013:J1013"/>
    <mergeCell ref="C1014:D1014"/>
    <mergeCell ref="H1014:J1014"/>
    <mergeCell ref="A991:J991"/>
    <mergeCell ref="A992:J992"/>
    <mergeCell ref="C993:D993"/>
    <mergeCell ref="H993:J993"/>
    <mergeCell ref="C994:D994"/>
    <mergeCell ref="H994:J994"/>
    <mergeCell ref="C995:D995"/>
    <mergeCell ref="H995:J995"/>
    <mergeCell ref="H996:J996"/>
    <mergeCell ref="C973:D973"/>
    <mergeCell ref="H973:J973"/>
    <mergeCell ref="H974:J974"/>
    <mergeCell ref="C975:D975"/>
    <mergeCell ref="H975:J975"/>
    <mergeCell ref="H976:J976"/>
    <mergeCell ref="A978:C978"/>
    <mergeCell ref="H978:J978"/>
    <mergeCell ref="B980:C980"/>
    <mergeCell ref="H954:J954"/>
    <mergeCell ref="C955:D955"/>
    <mergeCell ref="H955:J955"/>
    <mergeCell ref="H956:J956"/>
    <mergeCell ref="A958:C958"/>
    <mergeCell ref="H958:J958"/>
    <mergeCell ref="B960:C960"/>
    <mergeCell ref="A971:J971"/>
    <mergeCell ref="A972:J972"/>
    <mergeCell ref="D966:D967"/>
    <mergeCell ref="A966:C967"/>
    <mergeCell ref="C935:D935"/>
    <mergeCell ref="H935:J935"/>
    <mergeCell ref="H936:J936"/>
    <mergeCell ref="A938:C938"/>
    <mergeCell ref="H938:J938"/>
    <mergeCell ref="B940:C940"/>
    <mergeCell ref="A951:J951"/>
    <mergeCell ref="A952:J952"/>
    <mergeCell ref="C953:D953"/>
    <mergeCell ref="H953:J953"/>
    <mergeCell ref="D946:D947"/>
    <mergeCell ref="H917:J917"/>
    <mergeCell ref="A918:C918"/>
    <mergeCell ref="H918:J918"/>
    <mergeCell ref="B920:C920"/>
    <mergeCell ref="A931:J931"/>
    <mergeCell ref="A932:J932"/>
    <mergeCell ref="C933:D933"/>
    <mergeCell ref="H933:J933"/>
    <mergeCell ref="H934:J934"/>
    <mergeCell ref="D926:D927"/>
    <mergeCell ref="B900:C900"/>
    <mergeCell ref="A911:J911"/>
    <mergeCell ref="A912:J912"/>
    <mergeCell ref="C913:D913"/>
    <mergeCell ref="H913:J913"/>
    <mergeCell ref="C914:D914"/>
    <mergeCell ref="H914:J914"/>
    <mergeCell ref="H915:J915"/>
    <mergeCell ref="H916:J916"/>
    <mergeCell ref="D906:D907"/>
    <mergeCell ref="C893:D893"/>
    <mergeCell ref="H893:J893"/>
    <mergeCell ref="C894:D894"/>
    <mergeCell ref="H894:J894"/>
    <mergeCell ref="H895:J895"/>
    <mergeCell ref="H896:J896"/>
    <mergeCell ref="H897:J897"/>
    <mergeCell ref="A898:C898"/>
    <mergeCell ref="H898:J898"/>
    <mergeCell ref="C875:D875"/>
    <mergeCell ref="H875:J875"/>
    <mergeCell ref="H876:J876"/>
    <mergeCell ref="H877:J877"/>
    <mergeCell ref="A878:C878"/>
    <mergeCell ref="H878:J878"/>
    <mergeCell ref="B880:C880"/>
    <mergeCell ref="A891:J891"/>
    <mergeCell ref="A892:J892"/>
    <mergeCell ref="D886:D887"/>
    <mergeCell ref="H857:J857"/>
    <mergeCell ref="A859:C859"/>
    <mergeCell ref="H859:J859"/>
    <mergeCell ref="B861:C861"/>
    <mergeCell ref="A871:J871"/>
    <mergeCell ref="A872:J872"/>
    <mergeCell ref="C873:D873"/>
    <mergeCell ref="H873:J873"/>
    <mergeCell ref="C874:D874"/>
    <mergeCell ref="H874:J874"/>
    <mergeCell ref="D867:D868"/>
    <mergeCell ref="B842:C842"/>
    <mergeCell ref="A852:J852"/>
    <mergeCell ref="A853:J853"/>
    <mergeCell ref="C854:D854"/>
    <mergeCell ref="H854:J854"/>
    <mergeCell ref="C855:D855"/>
    <mergeCell ref="H855:J855"/>
    <mergeCell ref="C856:D856"/>
    <mergeCell ref="H856:J856"/>
    <mergeCell ref="D848:D849"/>
    <mergeCell ref="A834:J834"/>
    <mergeCell ref="C835:D835"/>
    <mergeCell ref="H835:J835"/>
    <mergeCell ref="C836:D836"/>
    <mergeCell ref="H836:J836"/>
    <mergeCell ref="C837:D837"/>
    <mergeCell ref="H837:J837"/>
    <mergeCell ref="H838:J838"/>
    <mergeCell ref="A840:C840"/>
    <mergeCell ref="H840:J840"/>
    <mergeCell ref="C817:D817"/>
    <mergeCell ref="H817:J817"/>
    <mergeCell ref="C818:D818"/>
    <mergeCell ref="H818:J818"/>
    <mergeCell ref="H819:J819"/>
    <mergeCell ref="A821:C821"/>
    <mergeCell ref="H821:J821"/>
    <mergeCell ref="B823:C823"/>
    <mergeCell ref="A833:J833"/>
    <mergeCell ref="D829:D830"/>
    <mergeCell ref="H798:J798"/>
    <mergeCell ref="H799:J799"/>
    <mergeCell ref="A801:C801"/>
    <mergeCell ref="H801:J801"/>
    <mergeCell ref="B803:C803"/>
    <mergeCell ref="A814:J814"/>
    <mergeCell ref="A815:J815"/>
    <mergeCell ref="C816:D816"/>
    <mergeCell ref="H816:J816"/>
    <mergeCell ref="D809:D810"/>
    <mergeCell ref="H780:J780"/>
    <mergeCell ref="A781:C781"/>
    <mergeCell ref="H781:J781"/>
    <mergeCell ref="B783:C783"/>
    <mergeCell ref="A794:J794"/>
    <mergeCell ref="A795:J795"/>
    <mergeCell ref="C796:D796"/>
    <mergeCell ref="H796:J796"/>
    <mergeCell ref="C797:D797"/>
    <mergeCell ref="H797:J797"/>
    <mergeCell ref="D789:D790"/>
    <mergeCell ref="B763:C763"/>
    <mergeCell ref="A774:J774"/>
    <mergeCell ref="A775:J775"/>
    <mergeCell ref="C776:D776"/>
    <mergeCell ref="H776:J776"/>
    <mergeCell ref="H777:J777"/>
    <mergeCell ref="C778:D778"/>
    <mergeCell ref="H778:J778"/>
    <mergeCell ref="H779:J779"/>
    <mergeCell ref="D769:D770"/>
    <mergeCell ref="A755:J755"/>
    <mergeCell ref="C756:D756"/>
    <mergeCell ref="H756:J756"/>
    <mergeCell ref="H757:J757"/>
    <mergeCell ref="C758:D758"/>
    <mergeCell ref="H758:J758"/>
    <mergeCell ref="H759:J759"/>
    <mergeCell ref="H760:J760"/>
    <mergeCell ref="A761:C761"/>
    <mergeCell ref="H761:J761"/>
    <mergeCell ref="H737:J737"/>
    <mergeCell ref="C738:D738"/>
    <mergeCell ref="H738:J738"/>
    <mergeCell ref="H739:J739"/>
    <mergeCell ref="H740:J740"/>
    <mergeCell ref="A741:C741"/>
    <mergeCell ref="H741:J741"/>
    <mergeCell ref="B743:C743"/>
    <mergeCell ref="A754:J754"/>
    <mergeCell ref="D749:D750"/>
    <mergeCell ref="H719:J719"/>
    <mergeCell ref="H720:J720"/>
    <mergeCell ref="A721:C721"/>
    <mergeCell ref="H721:J721"/>
    <mergeCell ref="B723:C723"/>
    <mergeCell ref="A734:J734"/>
    <mergeCell ref="A735:J735"/>
    <mergeCell ref="C736:D736"/>
    <mergeCell ref="H736:J736"/>
    <mergeCell ref="D729:D730"/>
    <mergeCell ref="B703:C703"/>
    <mergeCell ref="A714:J714"/>
    <mergeCell ref="A715:J715"/>
    <mergeCell ref="C716:D716"/>
    <mergeCell ref="H716:J716"/>
    <mergeCell ref="C717:D717"/>
    <mergeCell ref="H717:J717"/>
    <mergeCell ref="C718:D718"/>
    <mergeCell ref="H718:J718"/>
    <mergeCell ref="D709:D710"/>
    <mergeCell ref="A709:C710"/>
    <mergeCell ref="C696:D696"/>
    <mergeCell ref="H696:J696"/>
    <mergeCell ref="C697:D697"/>
    <mergeCell ref="H697:J697"/>
    <mergeCell ref="H698:J698"/>
    <mergeCell ref="H699:J699"/>
    <mergeCell ref="H700:J700"/>
    <mergeCell ref="A701:C701"/>
    <mergeCell ref="H701:J701"/>
    <mergeCell ref="A694:J694"/>
    <mergeCell ref="A695:J695"/>
    <mergeCell ref="A661:C661"/>
    <mergeCell ref="H661:J661"/>
    <mergeCell ref="B663:C663"/>
    <mergeCell ref="A674:J674"/>
    <mergeCell ref="A675:J675"/>
    <mergeCell ref="C676:D676"/>
    <mergeCell ref="H676:J676"/>
    <mergeCell ref="C677:D677"/>
    <mergeCell ref="H677:J677"/>
    <mergeCell ref="A641:C641"/>
    <mergeCell ref="H641:J641"/>
    <mergeCell ref="C617:D617"/>
    <mergeCell ref="H617:J617"/>
    <mergeCell ref="H618:J618"/>
    <mergeCell ref="H619:J619"/>
    <mergeCell ref="H620:J620"/>
    <mergeCell ref="A621:C621"/>
    <mergeCell ref="H621:J621"/>
    <mergeCell ref="B623:C623"/>
    <mergeCell ref="A634:J634"/>
    <mergeCell ref="C636:D636"/>
    <mergeCell ref="H636:J636"/>
    <mergeCell ref="H637:J637"/>
    <mergeCell ref="C638:D638"/>
    <mergeCell ref="H599:J599"/>
    <mergeCell ref="H600:J600"/>
    <mergeCell ref="A601:C601"/>
    <mergeCell ref="H601:J601"/>
    <mergeCell ref="B603:C603"/>
    <mergeCell ref="A614:J614"/>
    <mergeCell ref="A615:J615"/>
    <mergeCell ref="C616:D616"/>
    <mergeCell ref="H616:J616"/>
    <mergeCell ref="A594:J594"/>
    <mergeCell ref="A595:J595"/>
    <mergeCell ref="C596:D596"/>
    <mergeCell ref="H596:J596"/>
    <mergeCell ref="C597:D597"/>
    <mergeCell ref="H597:J597"/>
    <mergeCell ref="C598:D598"/>
    <mergeCell ref="H598:J598"/>
    <mergeCell ref="C576:D576"/>
    <mergeCell ref="H576:J576"/>
    <mergeCell ref="C577:D577"/>
    <mergeCell ref="H577:J577"/>
    <mergeCell ref="C578:D578"/>
    <mergeCell ref="H578:J578"/>
    <mergeCell ref="H579:J579"/>
    <mergeCell ref="H580:J580"/>
    <mergeCell ref="A581:C581"/>
    <mergeCell ref="H581:J581"/>
    <mergeCell ref="H558:J558"/>
    <mergeCell ref="H559:J559"/>
    <mergeCell ref="H560:J560"/>
    <mergeCell ref="A561:C561"/>
    <mergeCell ref="H561:J561"/>
    <mergeCell ref="B563:C563"/>
    <mergeCell ref="A574:J574"/>
    <mergeCell ref="A575:J575"/>
    <mergeCell ref="A569:C570"/>
    <mergeCell ref="H543:J543"/>
    <mergeCell ref="B545:C545"/>
    <mergeCell ref="A554:J554"/>
    <mergeCell ref="A555:J555"/>
    <mergeCell ref="C556:D556"/>
    <mergeCell ref="H556:J556"/>
    <mergeCell ref="C557:D557"/>
    <mergeCell ref="H557:J557"/>
    <mergeCell ref="A536:J536"/>
    <mergeCell ref="A537:J537"/>
    <mergeCell ref="C538:D538"/>
    <mergeCell ref="H538:J538"/>
    <mergeCell ref="H539:J539"/>
    <mergeCell ref="C540:D540"/>
    <mergeCell ref="H540:J540"/>
    <mergeCell ref="H541:J541"/>
    <mergeCell ref="H542:J542"/>
    <mergeCell ref="H520:J520"/>
    <mergeCell ref="C521:D521"/>
    <mergeCell ref="H521:J521"/>
    <mergeCell ref="H522:J522"/>
    <mergeCell ref="A524:C524"/>
    <mergeCell ref="H524:J524"/>
    <mergeCell ref="B526:C526"/>
    <mergeCell ref="H528:J528"/>
    <mergeCell ref="C502:D502"/>
    <mergeCell ref="H502:J502"/>
    <mergeCell ref="H503:J503"/>
    <mergeCell ref="A505:C505"/>
    <mergeCell ref="H505:J505"/>
    <mergeCell ref="B507:C507"/>
    <mergeCell ref="A517:J517"/>
    <mergeCell ref="A518:J518"/>
    <mergeCell ref="C519:D519"/>
    <mergeCell ref="H519:J519"/>
    <mergeCell ref="D513:D514"/>
    <mergeCell ref="H484:J484"/>
    <mergeCell ref="A485:C485"/>
    <mergeCell ref="H485:J485"/>
    <mergeCell ref="B487:C487"/>
    <mergeCell ref="A498:J498"/>
    <mergeCell ref="A499:J499"/>
    <mergeCell ref="C500:D500"/>
    <mergeCell ref="H500:J500"/>
    <mergeCell ref="C501:D501"/>
    <mergeCell ref="H501:J501"/>
    <mergeCell ref="D493:D494"/>
    <mergeCell ref="A493:C494"/>
    <mergeCell ref="A459:J459"/>
    <mergeCell ref="C460:D460"/>
    <mergeCell ref="H460:J460"/>
    <mergeCell ref="H461:J461"/>
    <mergeCell ref="H462:J462"/>
    <mergeCell ref="H463:J463"/>
    <mergeCell ref="H464:J464"/>
    <mergeCell ref="A465:C465"/>
    <mergeCell ref="H465:J465"/>
    <mergeCell ref="C441:D441"/>
    <mergeCell ref="H441:J441"/>
    <mergeCell ref="C442:D442"/>
    <mergeCell ref="H442:J442"/>
    <mergeCell ref="H443:J443"/>
    <mergeCell ref="H444:J444"/>
    <mergeCell ref="A445:C445"/>
    <mergeCell ref="H445:J445"/>
    <mergeCell ref="B447:C447"/>
    <mergeCell ref="H423:J423"/>
    <mergeCell ref="H424:J424"/>
    <mergeCell ref="A425:C425"/>
    <mergeCell ref="H425:J425"/>
    <mergeCell ref="B427:C427"/>
    <mergeCell ref="A438:J438"/>
    <mergeCell ref="A439:J439"/>
    <mergeCell ref="C440:D440"/>
    <mergeCell ref="H440:J440"/>
    <mergeCell ref="D433:D434"/>
    <mergeCell ref="B407:C407"/>
    <mergeCell ref="A418:J418"/>
    <mergeCell ref="A419:J419"/>
    <mergeCell ref="C420:D420"/>
    <mergeCell ref="H420:J420"/>
    <mergeCell ref="C421:D421"/>
    <mergeCell ref="H421:J421"/>
    <mergeCell ref="C422:D422"/>
    <mergeCell ref="H422:J422"/>
    <mergeCell ref="D413:D414"/>
    <mergeCell ref="A413:C414"/>
    <mergeCell ref="C400:D400"/>
    <mergeCell ref="H400:J400"/>
    <mergeCell ref="C401:D401"/>
    <mergeCell ref="H401:J401"/>
    <mergeCell ref="C402:D402"/>
    <mergeCell ref="H402:J402"/>
    <mergeCell ref="H403:J403"/>
    <mergeCell ref="H404:J404"/>
    <mergeCell ref="A405:C405"/>
    <mergeCell ref="H405:J405"/>
    <mergeCell ref="C382:D382"/>
    <mergeCell ref="H382:J382"/>
    <mergeCell ref="H383:J383"/>
    <mergeCell ref="H384:J384"/>
    <mergeCell ref="A385:C385"/>
    <mergeCell ref="H385:J385"/>
    <mergeCell ref="B387:C387"/>
    <mergeCell ref="A398:J398"/>
    <mergeCell ref="A399:J399"/>
    <mergeCell ref="D393:D394"/>
    <mergeCell ref="A393:C394"/>
    <mergeCell ref="A365:C365"/>
    <mergeCell ref="H365:J365"/>
    <mergeCell ref="B367:C367"/>
    <mergeCell ref="A378:J378"/>
    <mergeCell ref="A379:J379"/>
    <mergeCell ref="C380:D380"/>
    <mergeCell ref="H380:J380"/>
    <mergeCell ref="C381:D381"/>
    <mergeCell ref="H381:J381"/>
    <mergeCell ref="D373:D374"/>
    <mergeCell ref="A359:J359"/>
    <mergeCell ref="C360:D360"/>
    <mergeCell ref="H360:J360"/>
    <mergeCell ref="C361:D361"/>
    <mergeCell ref="H361:J361"/>
    <mergeCell ref="C362:D362"/>
    <mergeCell ref="H362:J362"/>
    <mergeCell ref="H363:J363"/>
    <mergeCell ref="H364:J364"/>
    <mergeCell ref="H343:J343"/>
    <mergeCell ref="H344:J344"/>
    <mergeCell ref="H345:J345"/>
    <mergeCell ref="H346:J346"/>
    <mergeCell ref="A347:C347"/>
    <mergeCell ref="H347:J347"/>
    <mergeCell ref="B349:C349"/>
    <mergeCell ref="A358:J358"/>
    <mergeCell ref="H325:J325"/>
    <mergeCell ref="H326:J326"/>
    <mergeCell ref="A327:C327"/>
    <mergeCell ref="H327:J327"/>
    <mergeCell ref="B329:C329"/>
    <mergeCell ref="A340:J340"/>
    <mergeCell ref="A341:J341"/>
    <mergeCell ref="C342:D342"/>
    <mergeCell ref="H342:J342"/>
    <mergeCell ref="A335:C336"/>
    <mergeCell ref="H316:I316"/>
    <mergeCell ref="A320:J320"/>
    <mergeCell ref="A321:J321"/>
    <mergeCell ref="C322:D322"/>
    <mergeCell ref="H322:J322"/>
    <mergeCell ref="C323:D323"/>
    <mergeCell ref="H323:J323"/>
    <mergeCell ref="H324:J324"/>
    <mergeCell ref="C302:D302"/>
    <mergeCell ref="H302:J302"/>
    <mergeCell ref="C303:D303"/>
    <mergeCell ref="H303:J303"/>
    <mergeCell ref="C304:D304"/>
    <mergeCell ref="H304:J304"/>
    <mergeCell ref="H305:J305"/>
    <mergeCell ref="H306:J306"/>
    <mergeCell ref="A307:C307"/>
    <mergeCell ref="H307:J307"/>
    <mergeCell ref="H284:J284"/>
    <mergeCell ref="H285:J285"/>
    <mergeCell ref="H286:J286"/>
    <mergeCell ref="A287:C287"/>
    <mergeCell ref="H287:J287"/>
    <mergeCell ref="B289:C289"/>
    <mergeCell ref="A300:J300"/>
    <mergeCell ref="A301:J301"/>
    <mergeCell ref="A267:C267"/>
    <mergeCell ref="H267:J267"/>
    <mergeCell ref="B269:C269"/>
    <mergeCell ref="A280:J280"/>
    <mergeCell ref="A281:J281"/>
    <mergeCell ref="C282:D282"/>
    <mergeCell ref="H282:J282"/>
    <mergeCell ref="C283:D283"/>
    <mergeCell ref="H283:J283"/>
    <mergeCell ref="A275:C276"/>
    <mergeCell ref="H244:J244"/>
    <mergeCell ref="H245:J245"/>
    <mergeCell ref="H246:J246"/>
    <mergeCell ref="A247:C247"/>
    <mergeCell ref="H247:J247"/>
    <mergeCell ref="B249:C249"/>
    <mergeCell ref="C224:D224"/>
    <mergeCell ref="H224:J224"/>
    <mergeCell ref="H225:J225"/>
    <mergeCell ref="A227:C227"/>
    <mergeCell ref="H227:J227"/>
    <mergeCell ref="B229:C229"/>
    <mergeCell ref="A240:J240"/>
    <mergeCell ref="A241:J241"/>
    <mergeCell ref="C242:D242"/>
    <mergeCell ref="H242:J242"/>
    <mergeCell ref="A207:C207"/>
    <mergeCell ref="H207:J207"/>
    <mergeCell ref="B209:C209"/>
    <mergeCell ref="A220:J220"/>
    <mergeCell ref="A221:J221"/>
    <mergeCell ref="C222:D222"/>
    <mergeCell ref="H222:J222"/>
    <mergeCell ref="C223:D223"/>
    <mergeCell ref="H223:J223"/>
    <mergeCell ref="A200:J200"/>
    <mergeCell ref="A201:J201"/>
    <mergeCell ref="C202:D202"/>
    <mergeCell ref="H202:J202"/>
    <mergeCell ref="C203:D203"/>
    <mergeCell ref="H203:J203"/>
    <mergeCell ref="C204:D204"/>
    <mergeCell ref="H204:J204"/>
    <mergeCell ref="H205:J205"/>
    <mergeCell ref="C183:D183"/>
    <mergeCell ref="H183:J183"/>
    <mergeCell ref="C184:D184"/>
    <mergeCell ref="H184:J184"/>
    <mergeCell ref="H185:J185"/>
    <mergeCell ref="H186:J186"/>
    <mergeCell ref="A187:C187"/>
    <mergeCell ref="H187:J187"/>
    <mergeCell ref="B189:C189"/>
    <mergeCell ref="H165:J165"/>
    <mergeCell ref="H166:J166"/>
    <mergeCell ref="A167:C167"/>
    <mergeCell ref="H167:J167"/>
    <mergeCell ref="B169:C169"/>
    <mergeCell ref="A180:J180"/>
    <mergeCell ref="A181:J181"/>
    <mergeCell ref="C182:D182"/>
    <mergeCell ref="H182:J182"/>
    <mergeCell ref="D175:D176"/>
    <mergeCell ref="A175:C176"/>
    <mergeCell ref="B150:C150"/>
    <mergeCell ref="A160:J160"/>
    <mergeCell ref="A161:J161"/>
    <mergeCell ref="C162:D162"/>
    <mergeCell ref="H162:J162"/>
    <mergeCell ref="C163:D163"/>
    <mergeCell ref="H163:J163"/>
    <mergeCell ref="C164:D164"/>
    <mergeCell ref="H164:J164"/>
    <mergeCell ref="A156:C157"/>
    <mergeCell ref="D156:D157"/>
    <mergeCell ref="A128:C128"/>
    <mergeCell ref="H128:J128"/>
    <mergeCell ref="B130:C130"/>
    <mergeCell ref="A141:J141"/>
    <mergeCell ref="H106:J106"/>
    <mergeCell ref="H107:J107"/>
    <mergeCell ref="A108:C108"/>
    <mergeCell ref="H108:J108"/>
    <mergeCell ref="B110:C110"/>
    <mergeCell ref="A121:J121"/>
    <mergeCell ref="A122:J122"/>
    <mergeCell ref="C123:D123"/>
    <mergeCell ref="H123:J123"/>
    <mergeCell ref="D116:D117"/>
    <mergeCell ref="D136:D137"/>
    <mergeCell ref="H124:J124"/>
    <mergeCell ref="C125:D125"/>
    <mergeCell ref="H125:J125"/>
    <mergeCell ref="H126:J126"/>
    <mergeCell ref="H127:J127"/>
    <mergeCell ref="A116:C117"/>
    <mergeCell ref="A136:C137"/>
    <mergeCell ref="B90:C90"/>
    <mergeCell ref="A101:J101"/>
    <mergeCell ref="A102:J102"/>
    <mergeCell ref="C103:D103"/>
    <mergeCell ref="H103:J103"/>
    <mergeCell ref="C104:D104"/>
    <mergeCell ref="H104:J104"/>
    <mergeCell ref="C105:D105"/>
    <mergeCell ref="H105:J105"/>
    <mergeCell ref="A96:C97"/>
    <mergeCell ref="D96:D97"/>
    <mergeCell ref="A82:J82"/>
    <mergeCell ref="C83:D83"/>
    <mergeCell ref="H83:J83"/>
    <mergeCell ref="C84:D84"/>
    <mergeCell ref="H84:J84"/>
    <mergeCell ref="C85:D85"/>
    <mergeCell ref="H85:J85"/>
    <mergeCell ref="H86:J86"/>
    <mergeCell ref="A88:C88"/>
    <mergeCell ref="H88:J88"/>
    <mergeCell ref="C64:D64"/>
    <mergeCell ref="H64:J64"/>
    <mergeCell ref="H65:J65"/>
    <mergeCell ref="H66:J66"/>
    <mergeCell ref="H67:J67"/>
    <mergeCell ref="A68:C68"/>
    <mergeCell ref="H68:J68"/>
    <mergeCell ref="B70:C70"/>
    <mergeCell ref="A81:J81"/>
    <mergeCell ref="A76:C77"/>
    <mergeCell ref="D76:D77"/>
    <mergeCell ref="H44:J44"/>
    <mergeCell ref="H45:J45"/>
    <mergeCell ref="H46:J46"/>
    <mergeCell ref="H47:J47"/>
    <mergeCell ref="H48:J48"/>
    <mergeCell ref="B50:C50"/>
    <mergeCell ref="A61:J61"/>
    <mergeCell ref="A62:J62"/>
    <mergeCell ref="C63:D63"/>
    <mergeCell ref="H63:J63"/>
    <mergeCell ref="A56:C57"/>
    <mergeCell ref="D56:D57"/>
    <mergeCell ref="H24:J24"/>
    <mergeCell ref="H25:J25"/>
    <mergeCell ref="H26:J26"/>
    <mergeCell ref="H27:J27"/>
    <mergeCell ref="H28:J28"/>
    <mergeCell ref="B30:C30"/>
    <mergeCell ref="A41:J41"/>
    <mergeCell ref="A42:J42"/>
    <mergeCell ref="C43:D43"/>
    <mergeCell ref="H43:J43"/>
    <mergeCell ref="A36:C37"/>
    <mergeCell ref="D36:D37"/>
    <mergeCell ref="H7:J7"/>
    <mergeCell ref="A8:C8"/>
    <mergeCell ref="H8:J8"/>
    <mergeCell ref="B10:C10"/>
    <mergeCell ref="H17:I17"/>
    <mergeCell ref="A21:J21"/>
    <mergeCell ref="A22:J22"/>
    <mergeCell ref="C23:D23"/>
    <mergeCell ref="H23:J23"/>
    <mergeCell ref="A16:C17"/>
    <mergeCell ref="D16:D17"/>
    <mergeCell ref="A1:J1"/>
    <mergeCell ref="A2:J2"/>
    <mergeCell ref="C3:D3"/>
    <mergeCell ref="H3:J3"/>
    <mergeCell ref="C4:D4"/>
    <mergeCell ref="H4:J4"/>
    <mergeCell ref="C5:D5"/>
    <mergeCell ref="H5:J5"/>
    <mergeCell ref="H6:J6"/>
  </mergeCells>
  <pageMargins left="0.7" right="0.7" top="0.44" bottom="0.42" header="0.3" footer="0.3"/>
  <pageSetup scale="90" orientation="portrait" r:id="rId1"/>
  <rowBreaks count="22" manualBreakCount="22">
    <brk id="60" max="16383" man="1"/>
    <brk id="120" max="9" man="1"/>
    <brk id="179" max="9" man="1"/>
    <brk id="239" max="9" man="1"/>
    <brk id="299" max="16383" man="1"/>
    <brk id="357" max="9" man="1"/>
    <brk id="417" max="9" man="1"/>
    <brk id="477" max="9" man="1"/>
    <brk id="535" max="9" man="1"/>
    <brk id="593" max="16383" man="1"/>
    <brk id="653" max="16383" man="1"/>
    <brk id="713" max="9" man="1"/>
    <brk id="773" max="16383" man="1"/>
    <brk id="832" max="9" man="1"/>
    <brk id="890" max="9" man="1"/>
    <brk id="950" max="9" man="1"/>
    <brk id="1010" max="16383" man="1"/>
    <brk id="1069" max="9" man="1"/>
    <brk id="1127" max="9" man="1"/>
    <brk id="1187" max="9" man="1"/>
    <brk id="1247" max="16383" man="1"/>
    <brk id="1307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J805"/>
  <sheetViews>
    <sheetView topLeftCell="A271" zoomScaleNormal="100" workbookViewId="0">
      <selection activeCell="C223" sqref="C223:D223"/>
    </sheetView>
  </sheetViews>
  <sheetFormatPr defaultColWidth="9" defaultRowHeight="15"/>
  <sheetData>
    <row r="1" spans="1:10" ht="14.2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4.2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4.25" customHeight="1">
      <c r="A3" s="1" t="s">
        <v>2</v>
      </c>
      <c r="B3" s="1"/>
      <c r="C3" s="209" t="s">
        <v>380</v>
      </c>
      <c r="D3" s="209"/>
      <c r="E3" s="2"/>
      <c r="F3" s="3"/>
      <c r="G3" s="1" t="s">
        <v>4</v>
      </c>
      <c r="H3" s="191" t="s">
        <v>5</v>
      </c>
      <c r="I3" s="191"/>
      <c r="J3" s="191"/>
    </row>
    <row r="4" spans="1:10" ht="14.25" customHeight="1">
      <c r="A4" s="1" t="s">
        <v>6</v>
      </c>
      <c r="B4" s="1"/>
      <c r="C4" s="196" t="s">
        <v>715</v>
      </c>
      <c r="D4" s="196"/>
      <c r="E4" s="7"/>
      <c r="F4" s="3"/>
      <c r="G4" s="1" t="s">
        <v>8</v>
      </c>
      <c r="H4" s="193" t="s">
        <v>9</v>
      </c>
      <c r="I4" s="193"/>
      <c r="J4" s="193"/>
    </row>
    <row r="5" spans="1:10" ht="14.25" customHeight="1">
      <c r="A5" s="6" t="s">
        <v>10</v>
      </c>
      <c r="B5" s="6"/>
      <c r="C5" s="278" t="s">
        <v>716</v>
      </c>
      <c r="D5" s="209"/>
      <c r="E5" s="2"/>
      <c r="F5" s="3"/>
      <c r="G5" s="1" t="s">
        <v>12</v>
      </c>
      <c r="H5" s="195" t="s">
        <v>13</v>
      </c>
      <c r="I5" s="195"/>
      <c r="J5" s="195"/>
    </row>
    <row r="6" spans="1:10" ht="14.25" customHeight="1">
      <c r="A6" s="6" t="s">
        <v>14</v>
      </c>
      <c r="B6" s="6"/>
      <c r="C6" s="2" t="s">
        <v>15</v>
      </c>
      <c r="D6" s="2"/>
      <c r="E6" s="2"/>
      <c r="F6" s="3"/>
      <c r="G6" s="1" t="s">
        <v>16</v>
      </c>
      <c r="H6" s="196" t="s">
        <v>55</v>
      </c>
      <c r="I6" s="196"/>
      <c r="J6" s="196"/>
    </row>
    <row r="7" spans="1:10" ht="14.25" customHeight="1">
      <c r="A7" s="6">
        <v>30</v>
      </c>
      <c r="B7" s="6"/>
      <c r="C7" s="2">
        <f>A7-I7</f>
        <v>0</v>
      </c>
      <c r="D7" s="2"/>
      <c r="E7" s="2"/>
      <c r="F7" s="3"/>
      <c r="G7" s="8" t="s">
        <v>18</v>
      </c>
      <c r="H7" s="8"/>
      <c r="I7" s="9">
        <v>30</v>
      </c>
      <c r="J7" s="9"/>
    </row>
    <row r="8" spans="1:10" ht="14.2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4.25" customHeight="1">
      <c r="A9" s="17" t="s">
        <v>23</v>
      </c>
      <c r="B9" s="1"/>
      <c r="C9" s="1"/>
      <c r="D9" s="2">
        <v>20000</v>
      </c>
      <c r="E9" s="17" t="s">
        <v>24</v>
      </c>
      <c r="F9" s="1"/>
      <c r="G9" s="2" t="s">
        <v>25</v>
      </c>
      <c r="H9" s="18" t="s">
        <v>502</v>
      </c>
      <c r="I9" s="6"/>
      <c r="J9" s="19"/>
    </row>
    <row r="10" spans="1:10" ht="14.25" customHeight="1">
      <c r="A10" s="17" t="s">
        <v>77</v>
      </c>
      <c r="B10" s="228" t="s">
        <v>196</v>
      </c>
      <c r="C10" s="228"/>
      <c r="D10" s="2">
        <v>2000</v>
      </c>
      <c r="E10" s="17" t="s">
        <v>58</v>
      </c>
      <c r="F10" s="1"/>
      <c r="G10" s="2">
        <v>1115</v>
      </c>
      <c r="H10" s="18" t="s">
        <v>504</v>
      </c>
      <c r="I10" s="6"/>
      <c r="J10" s="19"/>
    </row>
    <row r="11" spans="1:10" ht="14.25" customHeight="1">
      <c r="A11" s="17" t="s">
        <v>30</v>
      </c>
      <c r="B11" s="1"/>
      <c r="C11" s="1"/>
      <c r="D11" s="2">
        <v>4000</v>
      </c>
      <c r="E11" s="17" t="s">
        <v>52</v>
      </c>
      <c r="F11" s="1"/>
      <c r="G11" s="2">
        <v>590</v>
      </c>
      <c r="H11" s="18" t="s">
        <v>32</v>
      </c>
      <c r="I11" s="6"/>
      <c r="J11" s="19"/>
    </row>
    <row r="12" spans="1:10" ht="14.25" customHeight="1">
      <c r="A12" s="17" t="s">
        <v>629</v>
      </c>
      <c r="B12" s="1"/>
      <c r="C12" s="1"/>
      <c r="D12" s="2">
        <v>5000</v>
      </c>
      <c r="E12" s="172" t="s">
        <v>83</v>
      </c>
      <c r="F12" s="1"/>
      <c r="G12" s="2">
        <v>7160</v>
      </c>
      <c r="H12" s="18"/>
      <c r="I12" s="6"/>
      <c r="J12" s="19"/>
    </row>
    <row r="13" spans="1:10" ht="14.25" customHeight="1">
      <c r="A13" s="17" t="s">
        <v>78</v>
      </c>
      <c r="B13" s="1"/>
      <c r="C13" s="1"/>
      <c r="D13" s="2" t="s">
        <v>25</v>
      </c>
      <c r="E13" s="17" t="s">
        <v>61</v>
      </c>
      <c r="F13" s="1"/>
      <c r="G13" s="2">
        <v>200</v>
      </c>
      <c r="H13" s="18" t="s">
        <v>717</v>
      </c>
      <c r="I13" s="6"/>
      <c r="J13" s="26"/>
    </row>
    <row r="14" spans="1:10" ht="14.2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 t="s">
        <v>718</v>
      </c>
      <c r="I14" s="6"/>
      <c r="J14" s="26"/>
    </row>
    <row r="15" spans="1:10" ht="14.25" customHeight="1">
      <c r="A15" s="18" t="s">
        <v>40</v>
      </c>
      <c r="B15" s="6"/>
      <c r="C15" s="6"/>
      <c r="D15" s="2" t="s">
        <v>25</v>
      </c>
      <c r="E15" s="17" t="s">
        <v>78</v>
      </c>
      <c r="F15" s="1"/>
      <c r="G15" s="2" t="s">
        <v>25</v>
      </c>
      <c r="H15" s="18"/>
      <c r="I15" s="6"/>
      <c r="J15" s="26"/>
    </row>
    <row r="16" spans="1:10" ht="14.25" customHeight="1">
      <c r="A16" s="204" t="s">
        <v>63</v>
      </c>
      <c r="B16" s="205"/>
      <c r="C16" s="206"/>
      <c r="D16" s="229">
        <f>SUM(D9:D15)</f>
        <v>31000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4.25" customHeight="1">
      <c r="A17" s="207"/>
      <c r="B17" s="197"/>
      <c r="C17" s="208"/>
      <c r="D17" s="230"/>
      <c r="E17" s="21" t="s">
        <v>21</v>
      </c>
      <c r="F17" s="22"/>
      <c r="G17" s="13">
        <f>SUM(G9:G16)</f>
        <v>9165</v>
      </c>
      <c r="H17" s="21" t="s">
        <v>44</v>
      </c>
      <c r="I17" s="22"/>
      <c r="J17" s="13">
        <f>D16-G17</f>
        <v>21835</v>
      </c>
    </row>
    <row r="18" spans="1:10" ht="14.2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4.25" customHeight="1">
      <c r="A20" s="184" t="s">
        <v>0</v>
      </c>
      <c r="B20" s="185"/>
      <c r="C20" s="185"/>
      <c r="D20" s="185"/>
      <c r="E20" s="185"/>
      <c r="F20" s="185"/>
      <c r="G20" s="185"/>
      <c r="H20" s="185"/>
      <c r="I20" s="185"/>
      <c r="J20" s="186"/>
    </row>
    <row r="21" spans="1:10" ht="14.25" customHeight="1">
      <c r="A21" s="187" t="s">
        <v>1</v>
      </c>
      <c r="B21" s="188"/>
      <c r="C21" s="188"/>
      <c r="D21" s="188"/>
      <c r="E21" s="188"/>
      <c r="F21" s="188"/>
      <c r="G21" s="188"/>
      <c r="H21" s="188"/>
      <c r="I21" s="188"/>
      <c r="J21" s="189"/>
    </row>
    <row r="22" spans="1:10" ht="14.25" customHeight="1">
      <c r="A22" s="1" t="s">
        <v>2</v>
      </c>
      <c r="B22" s="1"/>
      <c r="C22" s="194" t="s">
        <v>719</v>
      </c>
      <c r="D22" s="194"/>
      <c r="E22" s="2"/>
      <c r="F22" s="3"/>
      <c r="G22" s="1" t="s">
        <v>4</v>
      </c>
      <c r="H22" s="191" t="s">
        <v>5</v>
      </c>
      <c r="I22" s="191"/>
      <c r="J22" s="191"/>
    </row>
    <row r="23" spans="1:10" ht="14.25" customHeight="1">
      <c r="A23" s="1" t="s">
        <v>6</v>
      </c>
      <c r="B23" s="1"/>
      <c r="C23" s="25" t="s">
        <v>720</v>
      </c>
      <c r="D23" s="25"/>
      <c r="E23" s="2"/>
      <c r="F23" s="3"/>
      <c r="G23" s="1" t="s">
        <v>8</v>
      </c>
      <c r="H23" s="193" t="s">
        <v>9</v>
      </c>
      <c r="I23" s="193"/>
      <c r="J23" s="193"/>
    </row>
    <row r="24" spans="1:10" ht="14.25" customHeight="1">
      <c r="A24" s="6" t="s">
        <v>10</v>
      </c>
      <c r="B24" s="6"/>
      <c r="C24" s="194" t="s">
        <v>721</v>
      </c>
      <c r="D24" s="194"/>
      <c r="E24" s="2"/>
      <c r="F24" s="3"/>
      <c r="G24" s="1" t="s">
        <v>12</v>
      </c>
      <c r="H24" s="195" t="s">
        <v>13</v>
      </c>
      <c r="I24" s="195"/>
      <c r="J24" s="195"/>
    </row>
    <row r="25" spans="1:10" ht="14.25" customHeight="1">
      <c r="A25" s="2" t="s">
        <v>14</v>
      </c>
      <c r="B25" s="2"/>
      <c r="C25" s="2" t="s">
        <v>15</v>
      </c>
      <c r="D25" s="2"/>
      <c r="E25" s="2"/>
      <c r="F25" s="3"/>
      <c r="G25" s="1" t="s">
        <v>16</v>
      </c>
      <c r="H25" s="196" t="s">
        <v>464</v>
      </c>
      <c r="I25" s="196"/>
      <c r="J25" s="196"/>
    </row>
    <row r="26" spans="1:10" ht="14.25" customHeight="1">
      <c r="A26" s="2">
        <v>30</v>
      </c>
      <c r="B26" s="2"/>
      <c r="C26" s="2">
        <f>A26-H26</f>
        <v>8</v>
      </c>
      <c r="D26" s="2"/>
      <c r="E26" s="2"/>
      <c r="F26" s="3"/>
      <c r="G26" s="8" t="s">
        <v>18</v>
      </c>
      <c r="H26" s="197">
        <v>22</v>
      </c>
      <c r="I26" s="197"/>
      <c r="J26" s="197"/>
    </row>
    <row r="27" spans="1:10" ht="14.25" customHeight="1">
      <c r="A27" s="198" t="s">
        <v>19</v>
      </c>
      <c r="B27" s="199"/>
      <c r="C27" s="200"/>
      <c r="D27" s="13" t="s">
        <v>20</v>
      </c>
      <c r="E27" s="14" t="s">
        <v>21</v>
      </c>
      <c r="F27" s="15"/>
      <c r="G27" s="16" t="s">
        <v>20</v>
      </c>
      <c r="H27" s="201" t="s">
        <v>22</v>
      </c>
      <c r="I27" s="202"/>
      <c r="J27" s="203"/>
    </row>
    <row r="28" spans="1:10" ht="14.25" customHeight="1">
      <c r="A28" s="17" t="s">
        <v>23</v>
      </c>
      <c r="B28" s="1"/>
      <c r="C28" s="1"/>
      <c r="D28" s="2">
        <v>18000</v>
      </c>
      <c r="E28" s="17" t="s">
        <v>24</v>
      </c>
      <c r="F28" s="1"/>
      <c r="G28" s="2" t="s">
        <v>25</v>
      </c>
      <c r="H28" s="18" t="s">
        <v>502</v>
      </c>
      <c r="I28" s="6"/>
      <c r="J28" s="19"/>
    </row>
    <row r="29" spans="1:10" ht="14.25" customHeight="1">
      <c r="A29" s="17" t="s">
        <v>77</v>
      </c>
      <c r="B29" s="209"/>
      <c r="C29" s="209"/>
      <c r="D29" s="2" t="s">
        <v>25</v>
      </c>
      <c r="E29" s="17" t="s">
        <v>722</v>
      </c>
      <c r="F29" s="1"/>
      <c r="G29" s="2" t="s">
        <v>25</v>
      </c>
      <c r="H29" s="18" t="s">
        <v>504</v>
      </c>
      <c r="I29" s="6"/>
      <c r="J29" s="19"/>
    </row>
    <row r="30" spans="1:10" ht="14.25" customHeight="1">
      <c r="A30" s="17" t="s">
        <v>30</v>
      </c>
      <c r="B30" s="1"/>
      <c r="C30" s="1"/>
      <c r="D30" s="2" t="s">
        <v>25</v>
      </c>
      <c r="E30" s="17" t="s">
        <v>40</v>
      </c>
      <c r="F30" s="1"/>
      <c r="G30" s="2" t="s">
        <v>25</v>
      </c>
      <c r="H30" s="18" t="s">
        <v>32</v>
      </c>
      <c r="I30" s="6"/>
      <c r="J30" s="19"/>
    </row>
    <row r="31" spans="1:10" ht="14.25" customHeight="1">
      <c r="A31" s="17" t="s">
        <v>247</v>
      </c>
      <c r="B31" s="209"/>
      <c r="C31" s="209"/>
      <c r="D31" s="2" t="s">
        <v>25</v>
      </c>
      <c r="E31" s="17" t="s">
        <v>35</v>
      </c>
      <c r="F31" s="1"/>
      <c r="G31" s="2">
        <v>4800</v>
      </c>
      <c r="H31" s="18"/>
      <c r="I31" s="6"/>
      <c r="J31" s="19"/>
    </row>
    <row r="32" spans="1:10" ht="14.25" customHeight="1">
      <c r="A32" s="17" t="s">
        <v>581</v>
      </c>
      <c r="B32" s="1"/>
      <c r="C32" s="1"/>
      <c r="D32" s="2" t="s">
        <v>25</v>
      </c>
      <c r="E32" s="17" t="s">
        <v>39</v>
      </c>
      <c r="F32" s="1"/>
      <c r="G32" s="2">
        <v>100</v>
      </c>
      <c r="H32" s="18"/>
      <c r="I32" s="6"/>
      <c r="J32" s="40"/>
    </row>
    <row r="33" spans="1:10" ht="14.25" customHeight="1">
      <c r="A33" s="17" t="s">
        <v>136</v>
      </c>
      <c r="B33" s="1"/>
      <c r="C33" s="1"/>
      <c r="D33" s="2" t="s">
        <v>25</v>
      </c>
      <c r="E33" s="17" t="s">
        <v>61</v>
      </c>
      <c r="F33" s="1"/>
      <c r="G33" s="2">
        <v>400</v>
      </c>
      <c r="H33" s="18"/>
      <c r="I33" s="6"/>
      <c r="J33" s="40"/>
    </row>
    <row r="34" spans="1:10" ht="14.25" customHeight="1">
      <c r="A34" s="18" t="s">
        <v>40</v>
      </c>
      <c r="B34" s="6"/>
      <c r="C34" s="6"/>
      <c r="D34" s="2" t="s">
        <v>25</v>
      </c>
      <c r="E34" s="17" t="s">
        <v>41</v>
      </c>
      <c r="F34" s="1"/>
      <c r="G34" s="2" t="s">
        <v>25</v>
      </c>
      <c r="H34" s="18"/>
      <c r="I34" s="6"/>
      <c r="J34" s="19"/>
    </row>
    <row r="35" spans="1:10" ht="14.25" customHeight="1">
      <c r="A35" s="204" t="s">
        <v>63</v>
      </c>
      <c r="B35" s="205"/>
      <c r="C35" s="206"/>
      <c r="D35" s="229">
        <f>SUM(D28:D34)</f>
        <v>18000</v>
      </c>
      <c r="E35" s="1" t="s">
        <v>43</v>
      </c>
      <c r="F35" s="1"/>
      <c r="G35" s="2" t="s">
        <v>25</v>
      </c>
      <c r="H35" s="18"/>
      <c r="I35" s="6"/>
      <c r="J35" s="19"/>
    </row>
    <row r="36" spans="1:10" ht="14.25" customHeight="1">
      <c r="A36" s="207"/>
      <c r="B36" s="197"/>
      <c r="C36" s="208"/>
      <c r="D36" s="230"/>
      <c r="E36" s="21" t="s">
        <v>21</v>
      </c>
      <c r="F36" s="22"/>
      <c r="G36" s="13">
        <f>SUM(G28:G35)</f>
        <v>5300</v>
      </c>
      <c r="H36" s="21" t="s">
        <v>44</v>
      </c>
      <c r="I36" s="22"/>
      <c r="J36" s="13">
        <f>D35-G36</f>
        <v>12700</v>
      </c>
    </row>
    <row r="37" spans="1:10" ht="14.25" customHeight="1">
      <c r="A37" s="3" t="s">
        <v>45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4.25" customHeight="1">
      <c r="A39" s="3"/>
      <c r="B39" s="3" t="s">
        <v>47</v>
      </c>
      <c r="C39" s="3"/>
      <c r="D39" s="3"/>
      <c r="E39" s="3" t="s">
        <v>48</v>
      </c>
      <c r="F39" s="3"/>
      <c r="G39" s="3"/>
      <c r="H39" s="3" t="s">
        <v>49</v>
      </c>
      <c r="I39" s="3"/>
      <c r="J39" s="3"/>
    </row>
    <row r="40" spans="1:10" ht="14.25" customHeight="1">
      <c r="A40" s="184" t="s">
        <v>0</v>
      </c>
      <c r="B40" s="185"/>
      <c r="C40" s="185"/>
      <c r="D40" s="185"/>
      <c r="E40" s="185"/>
      <c r="F40" s="185"/>
      <c r="G40" s="185"/>
      <c r="H40" s="185"/>
      <c r="I40" s="185"/>
      <c r="J40" s="186"/>
    </row>
    <row r="41" spans="1:10" ht="14.25" customHeight="1">
      <c r="A41" s="187" t="s">
        <v>1</v>
      </c>
      <c r="B41" s="188"/>
      <c r="C41" s="188"/>
      <c r="D41" s="188"/>
      <c r="E41" s="188"/>
      <c r="F41" s="188"/>
      <c r="G41" s="188"/>
      <c r="H41" s="188"/>
      <c r="I41" s="188"/>
      <c r="J41" s="189"/>
    </row>
    <row r="42" spans="1:10" ht="14.25" customHeight="1">
      <c r="A42" s="1" t="s">
        <v>2</v>
      </c>
      <c r="B42" s="1"/>
      <c r="C42" s="194" t="s">
        <v>719</v>
      </c>
      <c r="D42" s="194"/>
      <c r="E42" s="2"/>
      <c r="F42" s="3"/>
      <c r="G42" s="1" t="s">
        <v>4</v>
      </c>
      <c r="H42" s="191" t="s">
        <v>5</v>
      </c>
      <c r="I42" s="191"/>
      <c r="J42" s="191"/>
    </row>
    <row r="43" spans="1:10" ht="14.25" customHeight="1">
      <c r="A43" s="1" t="s">
        <v>6</v>
      </c>
      <c r="B43" s="1"/>
      <c r="C43" s="25" t="s">
        <v>626</v>
      </c>
      <c r="D43" s="25"/>
      <c r="E43" s="2"/>
      <c r="F43" s="3"/>
      <c r="G43" s="1" t="s">
        <v>8</v>
      </c>
      <c r="H43" s="193" t="s">
        <v>9</v>
      </c>
      <c r="I43" s="193"/>
      <c r="J43" s="193"/>
    </row>
    <row r="44" spans="1:10" ht="14.25" customHeight="1">
      <c r="A44" s="6" t="s">
        <v>10</v>
      </c>
      <c r="B44" s="6"/>
      <c r="C44" s="194" t="s">
        <v>721</v>
      </c>
      <c r="D44" s="194"/>
      <c r="E44" s="2"/>
      <c r="F44" s="3"/>
      <c r="G44" s="1" t="s">
        <v>12</v>
      </c>
      <c r="H44" s="195" t="s">
        <v>13</v>
      </c>
      <c r="I44" s="195"/>
      <c r="J44" s="195"/>
    </row>
    <row r="45" spans="1:10" ht="14.25" customHeight="1">
      <c r="A45" s="2" t="s">
        <v>14</v>
      </c>
      <c r="B45" s="2"/>
      <c r="C45" s="2" t="s">
        <v>15</v>
      </c>
      <c r="D45" s="2"/>
      <c r="E45" s="2"/>
      <c r="F45" s="3"/>
      <c r="G45" s="1" t="s">
        <v>16</v>
      </c>
      <c r="H45" s="196" t="s">
        <v>464</v>
      </c>
      <c r="I45" s="196"/>
      <c r="J45" s="196"/>
    </row>
    <row r="46" spans="1:10" ht="14.25" customHeight="1">
      <c r="A46" s="2">
        <v>30</v>
      </c>
      <c r="B46" s="2"/>
      <c r="C46" s="2">
        <f>A46-H46</f>
        <v>0</v>
      </c>
      <c r="D46" s="2"/>
      <c r="E46" s="2"/>
      <c r="F46" s="3"/>
      <c r="G46" s="8" t="s">
        <v>18</v>
      </c>
      <c r="H46" s="197">
        <v>30</v>
      </c>
      <c r="I46" s="197"/>
      <c r="J46" s="197"/>
    </row>
    <row r="47" spans="1:10" ht="14.25" customHeight="1">
      <c r="A47" s="198" t="s">
        <v>19</v>
      </c>
      <c r="B47" s="199"/>
      <c r="C47" s="200"/>
      <c r="D47" s="13" t="s">
        <v>20</v>
      </c>
      <c r="E47" s="14" t="s">
        <v>21</v>
      </c>
      <c r="F47" s="15"/>
      <c r="G47" s="16" t="s">
        <v>20</v>
      </c>
      <c r="H47" s="201" t="s">
        <v>22</v>
      </c>
      <c r="I47" s="202"/>
      <c r="J47" s="203"/>
    </row>
    <row r="48" spans="1:10" ht="14.25" customHeight="1">
      <c r="A48" s="17" t="s">
        <v>23</v>
      </c>
      <c r="B48" s="1"/>
      <c r="C48" s="1"/>
      <c r="D48" s="2">
        <v>19500</v>
      </c>
      <c r="E48" s="17" t="s">
        <v>24</v>
      </c>
      <c r="F48" s="1"/>
      <c r="G48" s="2" t="s">
        <v>25</v>
      </c>
      <c r="H48" s="18" t="s">
        <v>502</v>
      </c>
      <c r="I48" s="6"/>
      <c r="J48" s="19"/>
    </row>
    <row r="49" spans="1:10" ht="14.25" customHeight="1">
      <c r="A49" s="17" t="s">
        <v>77</v>
      </c>
      <c r="B49" s="209" t="s">
        <v>196</v>
      </c>
      <c r="C49" s="209"/>
      <c r="D49" s="2">
        <v>1950</v>
      </c>
      <c r="E49" s="17" t="s">
        <v>722</v>
      </c>
      <c r="F49" s="1"/>
      <c r="G49" s="2">
        <v>3000</v>
      </c>
      <c r="H49" s="18" t="s">
        <v>504</v>
      </c>
      <c r="I49" s="6"/>
      <c r="J49" s="19"/>
    </row>
    <row r="50" spans="1:10" ht="14.25" customHeight="1">
      <c r="A50" s="17" t="s">
        <v>30</v>
      </c>
      <c r="B50" s="1"/>
      <c r="C50" s="1"/>
      <c r="D50" s="2">
        <v>1500</v>
      </c>
      <c r="E50" s="17" t="s">
        <v>394</v>
      </c>
      <c r="F50" s="1"/>
      <c r="G50" s="2" t="s">
        <v>25</v>
      </c>
      <c r="H50" s="18" t="s">
        <v>32</v>
      </c>
      <c r="I50" s="6"/>
      <c r="J50" s="19"/>
    </row>
    <row r="51" spans="1:10" ht="14.25" customHeight="1">
      <c r="A51" s="17" t="s">
        <v>247</v>
      </c>
      <c r="B51" s="209"/>
      <c r="C51" s="209"/>
      <c r="D51" s="2" t="s">
        <v>25</v>
      </c>
      <c r="E51" s="17" t="s">
        <v>35</v>
      </c>
      <c r="F51" s="1"/>
      <c r="G51" s="2" t="s">
        <v>25</v>
      </c>
      <c r="H51" s="18"/>
      <c r="I51" s="6"/>
      <c r="J51" s="19"/>
    </row>
    <row r="52" spans="1:10" ht="14.25" customHeight="1">
      <c r="A52" s="17" t="s">
        <v>59</v>
      </c>
      <c r="B52" s="1"/>
      <c r="C52" s="1"/>
      <c r="D52" s="2" t="s">
        <v>25</v>
      </c>
      <c r="E52" s="17" t="s">
        <v>39</v>
      </c>
      <c r="F52" s="1"/>
      <c r="G52" s="2">
        <v>100</v>
      </c>
      <c r="H52" s="18" t="s">
        <v>711</v>
      </c>
      <c r="I52" s="6"/>
      <c r="J52" s="40"/>
    </row>
    <row r="53" spans="1:10" ht="14.25" customHeight="1">
      <c r="A53" s="17" t="s">
        <v>136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 t="s">
        <v>723</v>
      </c>
      <c r="I53" s="6"/>
      <c r="J53" s="40"/>
    </row>
    <row r="54" spans="1:10" ht="14.25" customHeight="1">
      <c r="A54" s="18" t="s">
        <v>40</v>
      </c>
      <c r="B54" s="6"/>
      <c r="C54" s="6"/>
      <c r="D54" s="2" t="s">
        <v>25</v>
      </c>
      <c r="E54" s="17" t="s">
        <v>41</v>
      </c>
      <c r="F54" s="1"/>
      <c r="G54" s="2" t="s">
        <v>25</v>
      </c>
      <c r="H54" s="18" t="s">
        <v>724</v>
      </c>
      <c r="I54" s="6"/>
      <c r="J54" s="19"/>
    </row>
    <row r="55" spans="1:10" ht="14.25" customHeight="1">
      <c r="A55" s="204" t="s">
        <v>63</v>
      </c>
      <c r="B55" s="205"/>
      <c r="C55" s="206"/>
      <c r="D55" s="229">
        <f>SUM(D48:D54)</f>
        <v>22950</v>
      </c>
      <c r="E55" s="1" t="s">
        <v>43</v>
      </c>
      <c r="F55" s="1"/>
      <c r="G55" s="2" t="s">
        <v>25</v>
      </c>
      <c r="H55" s="18"/>
      <c r="I55" s="6"/>
      <c r="J55" s="19"/>
    </row>
    <row r="56" spans="1:10" ht="14.25" customHeight="1">
      <c r="A56" s="207"/>
      <c r="B56" s="197"/>
      <c r="C56" s="208"/>
      <c r="D56" s="230"/>
      <c r="E56" s="21" t="s">
        <v>21</v>
      </c>
      <c r="F56" s="22"/>
      <c r="G56" s="13">
        <f>SUM(G48:G55)</f>
        <v>3100</v>
      </c>
      <c r="H56" s="21" t="s">
        <v>44</v>
      </c>
      <c r="I56" s="22"/>
      <c r="J56" s="13">
        <f>D55-G56</f>
        <v>19850</v>
      </c>
    </row>
    <row r="57" spans="1:10" ht="14.25" customHeight="1">
      <c r="A57" s="3" t="s">
        <v>45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4.25" customHeight="1">
      <c r="A59" s="3"/>
      <c r="B59" s="3" t="s">
        <v>47</v>
      </c>
      <c r="C59" s="3"/>
      <c r="D59" s="3"/>
      <c r="E59" s="3" t="s">
        <v>48</v>
      </c>
      <c r="F59" s="3"/>
      <c r="G59" s="3"/>
      <c r="H59" s="3" t="s">
        <v>49</v>
      </c>
      <c r="I59" s="3"/>
      <c r="J59" s="3"/>
    </row>
    <row r="60" spans="1:10" ht="14.25" customHeight="1">
      <c r="A60" s="184" t="s">
        <v>0</v>
      </c>
      <c r="B60" s="185"/>
      <c r="C60" s="185"/>
      <c r="D60" s="185"/>
      <c r="E60" s="185"/>
      <c r="F60" s="185"/>
      <c r="G60" s="185"/>
      <c r="H60" s="185"/>
      <c r="I60" s="185"/>
      <c r="J60" s="186"/>
    </row>
    <row r="61" spans="1:10" ht="14.25" customHeight="1">
      <c r="A61" s="187" t="s">
        <v>1</v>
      </c>
      <c r="B61" s="188"/>
      <c r="C61" s="188"/>
      <c r="D61" s="188"/>
      <c r="E61" s="188"/>
      <c r="F61" s="188"/>
      <c r="G61" s="188"/>
      <c r="H61" s="188"/>
      <c r="I61" s="188"/>
      <c r="J61" s="189"/>
    </row>
    <row r="62" spans="1:10" ht="14.25" customHeight="1">
      <c r="A62" s="1" t="s">
        <v>2</v>
      </c>
      <c r="B62" s="1"/>
      <c r="C62" s="194" t="s">
        <v>725</v>
      </c>
      <c r="D62" s="194"/>
      <c r="E62" s="2"/>
      <c r="F62" s="3"/>
      <c r="G62" s="1" t="s">
        <v>4</v>
      </c>
      <c r="H62" s="191" t="s">
        <v>107</v>
      </c>
      <c r="I62" s="191"/>
      <c r="J62" s="191"/>
    </row>
    <row r="63" spans="1:10" ht="14.25" customHeight="1">
      <c r="A63" s="1" t="s">
        <v>6</v>
      </c>
      <c r="B63" s="1"/>
      <c r="C63" s="192" t="s">
        <v>726</v>
      </c>
      <c r="D63" s="192"/>
      <c r="E63" s="2"/>
      <c r="F63" s="3"/>
      <c r="G63" s="1" t="s">
        <v>8</v>
      </c>
      <c r="H63" s="193" t="s">
        <v>9</v>
      </c>
      <c r="I63" s="193"/>
      <c r="J63" s="193"/>
    </row>
    <row r="64" spans="1:10" ht="14.25" customHeight="1">
      <c r="A64" s="6" t="s">
        <v>10</v>
      </c>
      <c r="B64" s="6"/>
      <c r="C64" s="194" t="s">
        <v>408</v>
      </c>
      <c r="D64" s="194"/>
      <c r="E64" s="2"/>
      <c r="F64" s="3"/>
      <c r="G64" s="1" t="s">
        <v>12</v>
      </c>
      <c r="H64" s="195" t="s">
        <v>13</v>
      </c>
      <c r="I64" s="195"/>
      <c r="J64" s="195"/>
    </row>
    <row r="65" spans="1:10" ht="14.25" customHeight="1">
      <c r="A65" s="2" t="s">
        <v>14</v>
      </c>
      <c r="B65" s="2"/>
      <c r="C65" s="2" t="s">
        <v>15</v>
      </c>
      <c r="D65" s="2"/>
      <c r="E65" s="2"/>
      <c r="F65" s="3"/>
      <c r="G65" s="1" t="s">
        <v>16</v>
      </c>
      <c r="H65" s="196" t="s">
        <v>727</v>
      </c>
      <c r="I65" s="196"/>
      <c r="J65" s="196"/>
    </row>
    <row r="66" spans="1:10" ht="14.25" customHeight="1">
      <c r="A66" s="2">
        <v>30</v>
      </c>
      <c r="B66" s="2"/>
      <c r="C66" s="2">
        <f>A66-H66</f>
        <v>1</v>
      </c>
      <c r="D66" s="2"/>
      <c r="E66" s="2"/>
      <c r="F66" s="3"/>
      <c r="G66" s="8" t="s">
        <v>18</v>
      </c>
      <c r="H66" s="197">
        <v>29</v>
      </c>
      <c r="I66" s="197"/>
      <c r="J66" s="197"/>
    </row>
    <row r="67" spans="1:10" ht="14.25" customHeight="1">
      <c r="A67" s="198" t="s">
        <v>19</v>
      </c>
      <c r="B67" s="199"/>
      <c r="C67" s="200"/>
      <c r="D67" s="13" t="s">
        <v>20</v>
      </c>
      <c r="E67" s="14" t="s">
        <v>21</v>
      </c>
      <c r="F67" s="15"/>
      <c r="G67" s="16" t="s">
        <v>20</v>
      </c>
      <c r="H67" s="201"/>
      <c r="I67" s="202"/>
      <c r="J67" s="203"/>
    </row>
    <row r="68" spans="1:10" ht="14.25" customHeight="1">
      <c r="A68" s="17" t="s">
        <v>23</v>
      </c>
      <c r="B68" s="1"/>
      <c r="C68" s="1"/>
      <c r="D68" s="2">
        <v>25000</v>
      </c>
      <c r="E68" s="17" t="s">
        <v>24</v>
      </c>
      <c r="F68" s="1"/>
      <c r="G68" s="2" t="s">
        <v>25</v>
      </c>
      <c r="H68" s="18" t="s">
        <v>502</v>
      </c>
      <c r="I68" s="6"/>
      <c r="J68" s="19"/>
    </row>
    <row r="69" spans="1:10" ht="14.25" customHeight="1">
      <c r="A69" s="17" t="s">
        <v>77</v>
      </c>
      <c r="B69" s="6"/>
      <c r="C69" s="6"/>
      <c r="D69" s="2" t="s">
        <v>25</v>
      </c>
      <c r="E69" s="17" t="s">
        <v>89</v>
      </c>
      <c r="F69" s="1"/>
      <c r="G69" s="2" t="s">
        <v>25</v>
      </c>
      <c r="H69" s="18" t="s">
        <v>504</v>
      </c>
      <c r="I69" s="6"/>
      <c r="J69" s="19"/>
    </row>
    <row r="70" spans="1:10" ht="14.25" customHeight="1">
      <c r="A70" s="17" t="s">
        <v>30</v>
      </c>
      <c r="B70" s="1"/>
      <c r="C70" s="1"/>
      <c r="D70" s="2" t="s">
        <v>25</v>
      </c>
      <c r="E70" s="17" t="s">
        <v>728</v>
      </c>
      <c r="F70" s="1"/>
      <c r="G70" s="2" t="s">
        <v>25</v>
      </c>
      <c r="H70" s="18" t="s">
        <v>32</v>
      </c>
      <c r="I70" s="6"/>
      <c r="J70" s="19"/>
    </row>
    <row r="71" spans="1:10" ht="14.25" customHeight="1">
      <c r="A71" s="17" t="s">
        <v>34</v>
      </c>
      <c r="B71" s="1"/>
      <c r="C71" s="1"/>
      <c r="D71" s="2" t="s">
        <v>25</v>
      </c>
      <c r="E71" s="17" t="s">
        <v>35</v>
      </c>
      <c r="F71" s="1"/>
      <c r="G71" s="2">
        <v>833</v>
      </c>
      <c r="H71" s="18"/>
      <c r="I71" s="6"/>
      <c r="J71" s="19"/>
    </row>
    <row r="72" spans="1:10" ht="14.25" customHeight="1">
      <c r="A72" s="17" t="s">
        <v>78</v>
      </c>
      <c r="B72" s="1"/>
      <c r="C72" s="1"/>
      <c r="D72" s="2" t="s">
        <v>25</v>
      </c>
      <c r="E72" s="17" t="s">
        <v>61</v>
      </c>
      <c r="F72" s="1"/>
      <c r="G72" s="2">
        <v>200</v>
      </c>
      <c r="H72" s="326"/>
      <c r="I72" s="327"/>
      <c r="J72" s="328"/>
    </row>
    <row r="73" spans="1:10" ht="14.25" customHeight="1">
      <c r="A73" s="17" t="s">
        <v>136</v>
      </c>
      <c r="B73" s="1"/>
      <c r="C73" s="1"/>
      <c r="D73" s="2" t="s">
        <v>25</v>
      </c>
      <c r="E73" s="17" t="s">
        <v>39</v>
      </c>
      <c r="F73" s="1"/>
      <c r="G73" s="2">
        <v>100</v>
      </c>
      <c r="H73" s="326"/>
      <c r="I73" s="327"/>
      <c r="J73" s="328"/>
    </row>
    <row r="74" spans="1:10" ht="14.25" customHeight="1">
      <c r="A74" s="18" t="s">
        <v>40</v>
      </c>
      <c r="B74" s="6"/>
      <c r="C74" s="6"/>
      <c r="D74" s="2" t="s">
        <v>25</v>
      </c>
      <c r="E74" s="17" t="s">
        <v>78</v>
      </c>
      <c r="F74" s="1"/>
      <c r="G74" s="2" t="s">
        <v>25</v>
      </c>
      <c r="H74" s="326"/>
      <c r="I74" s="327"/>
      <c r="J74" s="328"/>
    </row>
    <row r="75" spans="1:10" ht="14.25" customHeight="1">
      <c r="A75" s="204" t="s">
        <v>63</v>
      </c>
      <c r="B75" s="205"/>
      <c r="C75" s="206"/>
      <c r="D75" s="229">
        <f>SUM(D68:D74)</f>
        <v>25000</v>
      </c>
      <c r="E75" s="1" t="s">
        <v>43</v>
      </c>
      <c r="F75" s="1"/>
      <c r="G75" s="2" t="s">
        <v>25</v>
      </c>
      <c r="H75" s="329"/>
      <c r="I75" s="330"/>
      <c r="J75" s="331"/>
    </row>
    <row r="76" spans="1:10" ht="14.25" customHeight="1">
      <c r="A76" s="207"/>
      <c r="B76" s="197"/>
      <c r="C76" s="208"/>
      <c r="D76" s="230"/>
      <c r="E76" s="21" t="s">
        <v>21</v>
      </c>
      <c r="F76" s="22"/>
      <c r="G76" s="13">
        <f>SUM(G68:G75)</f>
        <v>1133</v>
      </c>
      <c r="H76" s="21" t="s">
        <v>44</v>
      </c>
      <c r="I76" s="22"/>
      <c r="J76" s="13">
        <f>D75-G76</f>
        <v>23867</v>
      </c>
    </row>
    <row r="77" spans="1:10" ht="14.25" customHeight="1">
      <c r="A77" s="3" t="s">
        <v>45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4.25" customHeight="1">
      <c r="A79" s="3"/>
      <c r="B79" s="3" t="s">
        <v>47</v>
      </c>
      <c r="C79" s="3"/>
      <c r="D79" s="3"/>
      <c r="E79" s="3" t="s">
        <v>48</v>
      </c>
      <c r="F79" s="3"/>
      <c r="G79" s="3"/>
      <c r="H79" s="3" t="s">
        <v>49</v>
      </c>
      <c r="I79" s="3"/>
      <c r="J79" s="3"/>
    </row>
    <row r="80" spans="1:10" ht="14.25" customHeight="1">
      <c r="A80" s="184" t="s">
        <v>0</v>
      </c>
      <c r="B80" s="185"/>
      <c r="C80" s="185"/>
      <c r="D80" s="185"/>
      <c r="E80" s="185"/>
      <c r="F80" s="185"/>
      <c r="G80" s="185"/>
      <c r="H80" s="185"/>
      <c r="I80" s="185"/>
      <c r="J80" s="186"/>
    </row>
    <row r="81" spans="1:10" ht="14.25" customHeight="1">
      <c r="A81" s="187" t="s">
        <v>1</v>
      </c>
      <c r="B81" s="188"/>
      <c r="C81" s="188"/>
      <c r="D81" s="188"/>
      <c r="E81" s="188"/>
      <c r="F81" s="188"/>
      <c r="G81" s="188"/>
      <c r="H81" s="188"/>
      <c r="I81" s="188"/>
      <c r="J81" s="189"/>
    </row>
    <row r="82" spans="1:10" ht="14.25" customHeight="1">
      <c r="A82" s="1" t="s">
        <v>2</v>
      </c>
      <c r="B82" s="1"/>
      <c r="C82" s="194" t="s">
        <v>729</v>
      </c>
      <c r="D82" s="194"/>
      <c r="E82" s="2"/>
      <c r="F82" s="3"/>
      <c r="G82" s="1" t="s">
        <v>4</v>
      </c>
      <c r="H82" s="191" t="s">
        <v>107</v>
      </c>
      <c r="I82" s="191"/>
      <c r="J82" s="191"/>
    </row>
    <row r="83" spans="1:10" ht="14.25" customHeight="1">
      <c r="A83" s="1" t="s">
        <v>6</v>
      </c>
      <c r="B83" s="1"/>
      <c r="C83" s="192" t="s">
        <v>730</v>
      </c>
      <c r="D83" s="192"/>
      <c r="E83" s="2"/>
      <c r="F83" s="3"/>
      <c r="G83" s="1" t="s">
        <v>8</v>
      </c>
      <c r="H83" s="193" t="s">
        <v>9</v>
      </c>
      <c r="I83" s="193"/>
      <c r="J83" s="193"/>
    </row>
    <row r="84" spans="1:10" ht="14.25" customHeight="1">
      <c r="A84" s="6" t="s">
        <v>10</v>
      </c>
      <c r="B84" s="6"/>
      <c r="C84" s="194" t="s">
        <v>731</v>
      </c>
      <c r="D84" s="194"/>
      <c r="E84" s="2"/>
      <c r="F84" s="3"/>
      <c r="G84" s="1" t="s">
        <v>12</v>
      </c>
      <c r="H84" s="195" t="s">
        <v>13</v>
      </c>
      <c r="I84" s="195"/>
      <c r="J84" s="195"/>
    </row>
    <row r="85" spans="1:10" ht="14.25" customHeight="1">
      <c r="A85" s="2" t="s">
        <v>14</v>
      </c>
      <c r="B85" s="2"/>
      <c r="C85" s="2" t="s">
        <v>15</v>
      </c>
      <c r="D85" s="2"/>
      <c r="E85" s="2"/>
      <c r="F85" s="3"/>
      <c r="G85" s="1" t="s">
        <v>16</v>
      </c>
      <c r="H85" s="196" t="s">
        <v>55</v>
      </c>
      <c r="I85" s="196"/>
      <c r="J85" s="196"/>
    </row>
    <row r="86" spans="1:10" ht="14.25" customHeight="1">
      <c r="A86" s="2">
        <v>30</v>
      </c>
      <c r="B86" s="2"/>
      <c r="C86" s="2">
        <f>A86-H86</f>
        <v>0</v>
      </c>
      <c r="D86" s="2"/>
      <c r="E86" s="2"/>
      <c r="F86" s="3"/>
      <c r="G86" s="8" t="s">
        <v>18</v>
      </c>
      <c r="H86" s="197">
        <v>30</v>
      </c>
      <c r="I86" s="197"/>
      <c r="J86" s="197"/>
    </row>
    <row r="87" spans="1:10" ht="14.25" customHeight="1">
      <c r="A87" s="198" t="s">
        <v>19</v>
      </c>
      <c r="B87" s="199"/>
      <c r="C87" s="200"/>
      <c r="D87" s="13" t="s">
        <v>20</v>
      </c>
      <c r="E87" s="14" t="s">
        <v>21</v>
      </c>
      <c r="F87" s="15"/>
      <c r="G87" s="16" t="s">
        <v>20</v>
      </c>
      <c r="H87" s="201"/>
      <c r="I87" s="202"/>
      <c r="J87" s="203"/>
    </row>
    <row r="88" spans="1:10" ht="14.25" customHeight="1">
      <c r="A88" s="17" t="s">
        <v>23</v>
      </c>
      <c r="B88" s="1"/>
      <c r="C88" s="1"/>
      <c r="D88" s="2">
        <v>18000</v>
      </c>
      <c r="E88" s="17" t="s">
        <v>24</v>
      </c>
      <c r="F88" s="1"/>
      <c r="G88" s="2" t="s">
        <v>25</v>
      </c>
      <c r="H88" s="18" t="s">
        <v>502</v>
      </c>
      <c r="I88" s="6"/>
      <c r="J88" s="19"/>
    </row>
    <row r="89" spans="1:10" ht="14.25" customHeight="1">
      <c r="A89" s="17" t="s">
        <v>77</v>
      </c>
      <c r="B89" s="6"/>
      <c r="C89" s="6"/>
      <c r="D89" s="2" t="s">
        <v>25</v>
      </c>
      <c r="E89" s="17" t="s">
        <v>28</v>
      </c>
      <c r="F89" s="1"/>
      <c r="G89" s="2" t="s">
        <v>25</v>
      </c>
      <c r="H89" s="18" t="s">
        <v>504</v>
      </c>
      <c r="I89" s="6"/>
      <c r="J89" s="19"/>
    </row>
    <row r="90" spans="1:10" ht="14.25" customHeight="1">
      <c r="A90" s="17" t="s">
        <v>30</v>
      </c>
      <c r="B90" s="1"/>
      <c r="C90" s="1"/>
      <c r="D90" s="2">
        <v>1500</v>
      </c>
      <c r="E90" s="17" t="s">
        <v>728</v>
      </c>
      <c r="F90" s="1"/>
      <c r="G90" s="2" t="s">
        <v>25</v>
      </c>
      <c r="H90" s="18" t="s">
        <v>32</v>
      </c>
      <c r="I90" s="6"/>
      <c r="J90" s="19"/>
    </row>
    <row r="91" spans="1:10" ht="14.25" customHeight="1">
      <c r="A91" s="17" t="s">
        <v>34</v>
      </c>
      <c r="B91" s="1"/>
      <c r="C91" s="1"/>
      <c r="D91" s="2" t="s">
        <v>25</v>
      </c>
      <c r="E91" s="17" t="s">
        <v>35</v>
      </c>
      <c r="F91" s="1"/>
      <c r="G91" s="2" t="s">
        <v>25</v>
      </c>
      <c r="H91" s="18"/>
      <c r="I91" s="6"/>
      <c r="J91" s="19"/>
    </row>
    <row r="92" spans="1:10" ht="14.25" customHeight="1">
      <c r="A92" s="17" t="s">
        <v>78</v>
      </c>
      <c r="B92" s="1"/>
      <c r="C92" s="1"/>
      <c r="D92" s="2" t="s">
        <v>25</v>
      </c>
      <c r="E92" s="17" t="s">
        <v>61</v>
      </c>
      <c r="F92" s="1"/>
      <c r="G92" s="2" t="s">
        <v>25</v>
      </c>
      <c r="H92" s="326"/>
      <c r="I92" s="327"/>
      <c r="J92" s="328"/>
    </row>
    <row r="93" spans="1:10" ht="14.25" customHeight="1">
      <c r="A93" s="17" t="s">
        <v>136</v>
      </c>
      <c r="B93" s="1"/>
      <c r="C93" s="1"/>
      <c r="D93" s="2" t="s">
        <v>25</v>
      </c>
      <c r="E93" s="17" t="s">
        <v>39</v>
      </c>
      <c r="F93" s="1"/>
      <c r="G93" s="2">
        <v>100</v>
      </c>
      <c r="H93" s="326"/>
      <c r="I93" s="327"/>
      <c r="J93" s="328"/>
    </row>
    <row r="94" spans="1:10" ht="14.25" customHeight="1">
      <c r="A94" s="18" t="s">
        <v>40</v>
      </c>
      <c r="B94" s="6"/>
      <c r="C94" s="6"/>
      <c r="D94" s="2" t="s">
        <v>25</v>
      </c>
      <c r="E94" s="17" t="s">
        <v>78</v>
      </c>
      <c r="F94" s="1"/>
      <c r="G94" s="2" t="s">
        <v>25</v>
      </c>
      <c r="H94" s="326"/>
      <c r="I94" s="327"/>
      <c r="J94" s="328"/>
    </row>
    <row r="95" spans="1:10" ht="14.25" customHeight="1">
      <c r="A95" s="204" t="s">
        <v>63</v>
      </c>
      <c r="B95" s="205"/>
      <c r="C95" s="206"/>
      <c r="D95" s="229">
        <f>SUM(D88:D94)</f>
        <v>19500</v>
      </c>
      <c r="E95" s="1" t="s">
        <v>43</v>
      </c>
      <c r="F95" s="1"/>
      <c r="G95" s="2" t="s">
        <v>25</v>
      </c>
      <c r="H95" s="329"/>
      <c r="I95" s="330"/>
      <c r="J95" s="331"/>
    </row>
    <row r="96" spans="1:10" ht="14.25" customHeight="1">
      <c r="A96" s="207"/>
      <c r="B96" s="197"/>
      <c r="C96" s="208"/>
      <c r="D96" s="230"/>
      <c r="E96" s="21" t="s">
        <v>21</v>
      </c>
      <c r="F96" s="22"/>
      <c r="G96" s="13">
        <f>SUM(G88:G95)</f>
        <v>100</v>
      </c>
      <c r="H96" s="21" t="s">
        <v>44</v>
      </c>
      <c r="I96" s="22"/>
      <c r="J96" s="13">
        <f>D95-G96</f>
        <v>19400</v>
      </c>
    </row>
    <row r="97" spans="1:10" ht="14.25" customHeight="1">
      <c r="A97" s="3" t="s">
        <v>45</v>
      </c>
      <c r="B97" s="3"/>
      <c r="C97" s="3"/>
      <c r="D97" s="3"/>
      <c r="E97" s="3"/>
      <c r="F97" s="3"/>
      <c r="G97" s="3"/>
      <c r="H97" s="3"/>
      <c r="I97" s="3"/>
      <c r="J97" s="3"/>
    </row>
    <row r="98" spans="1:10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4.25" customHeight="1">
      <c r="A99" s="3"/>
      <c r="B99" s="3" t="s">
        <v>47</v>
      </c>
      <c r="C99" s="3"/>
      <c r="D99" s="3"/>
      <c r="E99" s="3" t="s">
        <v>48</v>
      </c>
      <c r="F99" s="3"/>
      <c r="G99" s="3"/>
      <c r="H99" s="3" t="s">
        <v>49</v>
      </c>
      <c r="I99" s="3"/>
      <c r="J99" s="3"/>
    </row>
    <row r="100" spans="1:10" ht="14.25" customHeight="1">
      <c r="A100" s="184" t="s">
        <v>0</v>
      </c>
      <c r="B100" s="185"/>
      <c r="C100" s="185"/>
      <c r="D100" s="185"/>
      <c r="E100" s="185"/>
      <c r="F100" s="185"/>
      <c r="G100" s="185"/>
      <c r="H100" s="185"/>
      <c r="I100" s="185"/>
      <c r="J100" s="186"/>
    </row>
    <row r="101" spans="1:10" ht="14.25" customHeight="1">
      <c r="A101" s="187" t="s">
        <v>1</v>
      </c>
      <c r="B101" s="188"/>
      <c r="C101" s="188"/>
      <c r="D101" s="188"/>
      <c r="E101" s="188"/>
      <c r="F101" s="188"/>
      <c r="G101" s="188"/>
      <c r="H101" s="188"/>
      <c r="I101" s="188"/>
      <c r="J101" s="189"/>
    </row>
    <row r="102" spans="1:10" ht="14.25" customHeight="1">
      <c r="A102" s="1" t="s">
        <v>2</v>
      </c>
      <c r="B102" s="1"/>
      <c r="C102" s="194" t="s">
        <v>729</v>
      </c>
      <c r="D102" s="194"/>
      <c r="E102" s="2"/>
      <c r="F102" s="3"/>
      <c r="G102" s="1" t="s">
        <v>4</v>
      </c>
      <c r="H102" s="191" t="s">
        <v>5</v>
      </c>
      <c r="I102" s="191"/>
      <c r="J102" s="191"/>
    </row>
    <row r="103" spans="1:10" ht="14.25" customHeight="1">
      <c r="A103" s="1" t="s">
        <v>6</v>
      </c>
      <c r="B103" s="1"/>
      <c r="C103" s="192" t="s">
        <v>732</v>
      </c>
      <c r="D103" s="192"/>
      <c r="E103" s="2"/>
      <c r="F103" s="3"/>
      <c r="G103" s="1" t="s">
        <v>8</v>
      </c>
      <c r="H103" s="193" t="s">
        <v>9</v>
      </c>
      <c r="I103" s="193"/>
      <c r="J103" s="193"/>
    </row>
    <row r="104" spans="1:10" ht="14.25" customHeight="1">
      <c r="A104" s="6" t="s">
        <v>10</v>
      </c>
      <c r="B104" s="6"/>
      <c r="C104" s="194" t="s">
        <v>731</v>
      </c>
      <c r="D104" s="194"/>
      <c r="E104" s="2"/>
      <c r="F104" s="3"/>
      <c r="G104" s="1" t="s">
        <v>12</v>
      </c>
      <c r="H104" s="195" t="s">
        <v>13</v>
      </c>
      <c r="I104" s="195"/>
      <c r="J104" s="195"/>
    </row>
    <row r="105" spans="1:10" ht="14.25" customHeight="1">
      <c r="A105" s="2" t="s">
        <v>14</v>
      </c>
      <c r="B105" s="2"/>
      <c r="C105" s="2" t="s">
        <v>15</v>
      </c>
      <c r="D105" s="2"/>
      <c r="E105" s="2"/>
      <c r="F105" s="3"/>
      <c r="G105" s="1" t="s">
        <v>16</v>
      </c>
      <c r="H105" s="196" t="s">
        <v>140</v>
      </c>
      <c r="I105" s="196"/>
      <c r="J105" s="196"/>
    </row>
    <row r="106" spans="1:10" ht="14.25" customHeight="1">
      <c r="A106" s="2">
        <v>30</v>
      </c>
      <c r="B106" s="2"/>
      <c r="C106" s="2">
        <f>A106-H106</f>
        <v>0</v>
      </c>
      <c r="D106" s="2"/>
      <c r="E106" s="2"/>
      <c r="F106" s="3"/>
      <c r="G106" s="8" t="s">
        <v>18</v>
      </c>
      <c r="H106" s="197">
        <v>30</v>
      </c>
      <c r="I106" s="197"/>
      <c r="J106" s="197"/>
    </row>
    <row r="107" spans="1:10" ht="14.25" customHeight="1">
      <c r="A107" s="198" t="s">
        <v>19</v>
      </c>
      <c r="B107" s="199"/>
      <c r="C107" s="200"/>
      <c r="D107" s="13" t="s">
        <v>20</v>
      </c>
      <c r="E107" s="14" t="s">
        <v>21</v>
      </c>
      <c r="F107" s="15"/>
      <c r="G107" s="16" t="s">
        <v>20</v>
      </c>
      <c r="H107" s="201"/>
      <c r="I107" s="202"/>
      <c r="J107" s="203"/>
    </row>
    <row r="108" spans="1:10" ht="14.25" customHeight="1">
      <c r="A108" s="17" t="s">
        <v>23</v>
      </c>
      <c r="B108" s="1"/>
      <c r="C108" s="1"/>
      <c r="D108" s="2">
        <v>18000</v>
      </c>
      <c r="E108" s="17" t="s">
        <v>24</v>
      </c>
      <c r="F108" s="1"/>
      <c r="G108" s="2" t="s">
        <v>25</v>
      </c>
      <c r="H108" s="18" t="s">
        <v>502</v>
      </c>
      <c r="I108" s="6"/>
      <c r="J108" s="19"/>
    </row>
    <row r="109" spans="1:10" ht="14.25" customHeight="1">
      <c r="A109" s="17" t="s">
        <v>77</v>
      </c>
      <c r="B109" s="209" t="s">
        <v>120</v>
      </c>
      <c r="C109" s="209"/>
      <c r="D109" s="2">
        <v>600</v>
      </c>
      <c r="E109" s="17" t="s">
        <v>28</v>
      </c>
      <c r="F109" s="1"/>
      <c r="G109" s="2" t="s">
        <v>25</v>
      </c>
      <c r="H109" s="18" t="s">
        <v>504</v>
      </c>
      <c r="I109" s="6"/>
      <c r="J109" s="19"/>
    </row>
    <row r="110" spans="1:10" ht="14.25" customHeight="1">
      <c r="A110" s="17" t="s">
        <v>30</v>
      </c>
      <c r="B110" s="1"/>
      <c r="C110" s="1"/>
      <c r="D110" s="2">
        <v>2000</v>
      </c>
      <c r="E110" s="17" t="s">
        <v>728</v>
      </c>
      <c r="F110" s="1"/>
      <c r="G110" s="2">
        <v>4000</v>
      </c>
      <c r="H110" s="18" t="s">
        <v>32</v>
      </c>
      <c r="I110" s="6"/>
      <c r="J110" s="19"/>
    </row>
    <row r="111" spans="1:10" ht="14.25" customHeight="1">
      <c r="A111" s="17" t="s">
        <v>34</v>
      </c>
      <c r="B111" s="1"/>
      <c r="C111" s="1"/>
      <c r="D111" s="2" t="s">
        <v>25</v>
      </c>
      <c r="E111" s="17" t="s">
        <v>35</v>
      </c>
      <c r="F111" s="1"/>
      <c r="G111" s="2" t="s">
        <v>25</v>
      </c>
      <c r="H111" s="18"/>
      <c r="I111" s="6"/>
      <c r="J111" s="19"/>
    </row>
    <row r="112" spans="1:10" ht="14.25" customHeight="1">
      <c r="A112" s="17" t="s">
        <v>72</v>
      </c>
      <c r="B112" s="1"/>
      <c r="C112" s="1"/>
      <c r="D112" s="2" t="s">
        <v>25</v>
      </c>
      <c r="E112" s="17" t="s">
        <v>61</v>
      </c>
      <c r="F112" s="1"/>
      <c r="G112" s="2" t="s">
        <v>25</v>
      </c>
      <c r="H112" s="326"/>
      <c r="I112" s="327"/>
      <c r="J112" s="328"/>
    </row>
    <row r="113" spans="1:10" ht="14.25" customHeight="1">
      <c r="A113" s="17" t="s">
        <v>136</v>
      </c>
      <c r="B113" s="1"/>
      <c r="C113" s="1"/>
      <c r="D113" s="2" t="s">
        <v>25</v>
      </c>
      <c r="E113" s="17" t="s">
        <v>39</v>
      </c>
      <c r="F113" s="1"/>
      <c r="G113" s="2">
        <v>100</v>
      </c>
      <c r="H113" s="326" t="s">
        <v>733</v>
      </c>
      <c r="I113" s="327"/>
      <c r="J113" s="328"/>
    </row>
    <row r="114" spans="1:10" ht="14.25" customHeight="1">
      <c r="A114" s="18" t="s">
        <v>40</v>
      </c>
      <c r="B114" s="6"/>
      <c r="C114" s="6"/>
      <c r="D114" s="2" t="s">
        <v>25</v>
      </c>
      <c r="E114" s="17" t="s">
        <v>78</v>
      </c>
      <c r="F114" s="1"/>
      <c r="G114" s="2" t="s">
        <v>25</v>
      </c>
      <c r="H114" s="86"/>
      <c r="I114" s="87"/>
      <c r="J114" s="88"/>
    </row>
    <row r="115" spans="1:10" ht="14.25" customHeight="1">
      <c r="A115" s="204" t="s">
        <v>63</v>
      </c>
      <c r="B115" s="205"/>
      <c r="C115" s="206"/>
      <c r="D115" s="229">
        <f>SUM(D108:D114)</f>
        <v>20600</v>
      </c>
      <c r="E115" s="1" t="s">
        <v>43</v>
      </c>
      <c r="F115" s="1"/>
      <c r="G115" s="2" t="s">
        <v>25</v>
      </c>
      <c r="H115" s="89"/>
      <c r="I115" s="90"/>
      <c r="J115" s="91"/>
    </row>
    <row r="116" spans="1:10" ht="14.25" customHeight="1">
      <c r="A116" s="207"/>
      <c r="B116" s="197"/>
      <c r="C116" s="208"/>
      <c r="D116" s="230"/>
      <c r="E116" s="21" t="s">
        <v>21</v>
      </c>
      <c r="F116" s="22"/>
      <c r="G116" s="13">
        <f>SUM(G108:G115)</f>
        <v>4100</v>
      </c>
      <c r="H116" s="21" t="s">
        <v>44</v>
      </c>
      <c r="I116" s="22"/>
      <c r="J116" s="13">
        <f>D115-G116</f>
        <v>16500</v>
      </c>
    </row>
    <row r="117" spans="1:10" ht="14.25" customHeight="1">
      <c r="A117" s="3" t="s">
        <v>45</v>
      </c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4.25" customHeight="1">
      <c r="A119" s="3"/>
      <c r="B119" s="3" t="s">
        <v>47</v>
      </c>
      <c r="C119" s="3"/>
      <c r="D119" s="3"/>
      <c r="E119" s="3" t="s">
        <v>48</v>
      </c>
      <c r="F119" s="3"/>
      <c r="G119" s="3"/>
      <c r="H119" s="3" t="s">
        <v>49</v>
      </c>
      <c r="I119" s="3"/>
      <c r="J119" s="3"/>
    </row>
    <row r="120" spans="1:10" ht="14.25" customHeight="1">
      <c r="A120" s="184" t="s">
        <v>0</v>
      </c>
      <c r="B120" s="185"/>
      <c r="C120" s="185"/>
      <c r="D120" s="185"/>
      <c r="E120" s="185"/>
      <c r="F120" s="185"/>
      <c r="G120" s="185"/>
      <c r="H120" s="185"/>
      <c r="I120" s="185"/>
      <c r="J120" s="186"/>
    </row>
    <row r="121" spans="1:10" ht="14.25" customHeight="1">
      <c r="A121" s="187" t="s">
        <v>1</v>
      </c>
      <c r="B121" s="188"/>
      <c r="C121" s="188"/>
      <c r="D121" s="188"/>
      <c r="E121" s="188"/>
      <c r="F121" s="188"/>
      <c r="G121" s="188"/>
      <c r="H121" s="188"/>
      <c r="I121" s="188"/>
      <c r="J121" s="189"/>
    </row>
    <row r="122" spans="1:10" ht="14.25" customHeight="1">
      <c r="A122" s="1" t="s">
        <v>2</v>
      </c>
      <c r="B122" s="1"/>
      <c r="C122" s="194" t="s">
        <v>729</v>
      </c>
      <c r="D122" s="194"/>
      <c r="E122" s="2"/>
      <c r="F122" s="3"/>
      <c r="G122" s="1" t="s">
        <v>4</v>
      </c>
      <c r="H122" s="191" t="s">
        <v>5</v>
      </c>
      <c r="I122" s="191"/>
      <c r="J122" s="191"/>
    </row>
    <row r="123" spans="1:10" ht="14.25" customHeight="1">
      <c r="A123" s="1" t="s">
        <v>6</v>
      </c>
      <c r="B123" s="1"/>
      <c r="C123" s="192" t="s">
        <v>734</v>
      </c>
      <c r="D123" s="192"/>
      <c r="E123" s="2"/>
      <c r="F123" s="3"/>
      <c r="G123" s="1" t="s">
        <v>8</v>
      </c>
      <c r="H123" s="193" t="s">
        <v>9</v>
      </c>
      <c r="I123" s="193"/>
      <c r="J123" s="193"/>
    </row>
    <row r="124" spans="1:10" ht="14.25" customHeight="1">
      <c r="A124" s="6" t="s">
        <v>10</v>
      </c>
      <c r="B124" s="6"/>
      <c r="C124" s="194" t="s">
        <v>731</v>
      </c>
      <c r="D124" s="194"/>
      <c r="E124" s="2"/>
      <c r="F124" s="3"/>
      <c r="G124" s="1" t="s">
        <v>12</v>
      </c>
      <c r="H124" s="195" t="s">
        <v>13</v>
      </c>
      <c r="I124" s="195"/>
      <c r="J124" s="195"/>
    </row>
    <row r="125" spans="1:10" ht="14.25" customHeight="1">
      <c r="A125" s="2" t="s">
        <v>14</v>
      </c>
      <c r="B125" s="2"/>
      <c r="C125" s="2" t="s">
        <v>15</v>
      </c>
      <c r="D125" s="2"/>
      <c r="E125" s="2"/>
      <c r="F125" s="3"/>
      <c r="G125" s="1" t="s">
        <v>16</v>
      </c>
      <c r="H125" s="196" t="s">
        <v>55</v>
      </c>
      <c r="I125" s="196"/>
      <c r="J125" s="196"/>
    </row>
    <row r="126" spans="1:10" ht="14.25" customHeight="1">
      <c r="A126" s="2">
        <v>30</v>
      </c>
      <c r="B126" s="2"/>
      <c r="C126" s="2">
        <f>A126-H126</f>
        <v>0</v>
      </c>
      <c r="D126" s="2"/>
      <c r="E126" s="2"/>
      <c r="F126" s="3"/>
      <c r="G126" s="8" t="s">
        <v>18</v>
      </c>
      <c r="H126" s="197">
        <v>30</v>
      </c>
      <c r="I126" s="197"/>
      <c r="J126" s="197"/>
    </row>
    <row r="127" spans="1:10" ht="14.25" customHeight="1">
      <c r="A127" s="198" t="s">
        <v>19</v>
      </c>
      <c r="B127" s="199"/>
      <c r="C127" s="200"/>
      <c r="D127" s="13" t="s">
        <v>20</v>
      </c>
      <c r="E127" s="14" t="s">
        <v>21</v>
      </c>
      <c r="F127" s="15"/>
      <c r="G127" s="16" t="s">
        <v>20</v>
      </c>
      <c r="H127" s="201"/>
      <c r="I127" s="202"/>
      <c r="J127" s="203"/>
    </row>
    <row r="128" spans="1:10" ht="14.25" customHeight="1">
      <c r="A128" s="17" t="s">
        <v>23</v>
      </c>
      <c r="B128" s="1"/>
      <c r="C128" s="1"/>
      <c r="D128" s="2">
        <v>18000</v>
      </c>
      <c r="E128" s="17" t="s">
        <v>24</v>
      </c>
      <c r="F128" s="1"/>
      <c r="G128" s="2" t="s">
        <v>25</v>
      </c>
      <c r="H128" s="18" t="s">
        <v>502</v>
      </c>
      <c r="I128" s="6"/>
      <c r="J128" s="19"/>
    </row>
    <row r="129" spans="1:10" ht="14.25" customHeight="1">
      <c r="A129" s="17" t="s">
        <v>77</v>
      </c>
      <c r="B129" s="209" t="s">
        <v>735</v>
      </c>
      <c r="C129" s="209"/>
      <c r="D129" s="2">
        <v>1200</v>
      </c>
      <c r="E129" s="17" t="s">
        <v>28</v>
      </c>
      <c r="F129" s="1"/>
      <c r="G129" s="2" t="s">
        <v>25</v>
      </c>
      <c r="H129" s="18" t="s">
        <v>504</v>
      </c>
      <c r="I129" s="6"/>
      <c r="J129" s="19"/>
    </row>
    <row r="130" spans="1:10" ht="14.25" customHeight="1">
      <c r="A130" s="17" t="s">
        <v>30</v>
      </c>
      <c r="B130" s="1"/>
      <c r="C130" s="1"/>
      <c r="D130" s="2">
        <v>2000</v>
      </c>
      <c r="E130" s="17" t="s">
        <v>728</v>
      </c>
      <c r="F130" s="1"/>
      <c r="G130" s="2">
        <v>4000</v>
      </c>
      <c r="H130" s="18" t="s">
        <v>32</v>
      </c>
      <c r="I130" s="6"/>
      <c r="J130" s="19"/>
    </row>
    <row r="131" spans="1:10" ht="14.25" customHeight="1">
      <c r="A131" s="17" t="s">
        <v>34</v>
      </c>
      <c r="B131" s="1"/>
      <c r="C131" s="1"/>
      <c r="D131" s="2" t="s">
        <v>25</v>
      </c>
      <c r="E131" s="17" t="s">
        <v>35</v>
      </c>
      <c r="F131" s="1"/>
      <c r="G131" s="2" t="s">
        <v>25</v>
      </c>
      <c r="H131" s="18"/>
      <c r="I131" s="6"/>
      <c r="J131" s="19"/>
    </row>
    <row r="132" spans="1:10" ht="14.25" customHeight="1">
      <c r="A132" s="17" t="s">
        <v>72</v>
      </c>
      <c r="B132" s="1"/>
      <c r="C132" s="1"/>
      <c r="D132" s="2" t="s">
        <v>25</v>
      </c>
      <c r="E132" s="17" t="s">
        <v>61</v>
      </c>
      <c r="F132" s="1"/>
      <c r="G132" s="2" t="s">
        <v>25</v>
      </c>
      <c r="H132" s="326" t="s">
        <v>718</v>
      </c>
      <c r="I132" s="327"/>
      <c r="J132" s="328"/>
    </row>
    <row r="133" spans="1:10" ht="14.25" customHeight="1">
      <c r="A133" s="17" t="s">
        <v>136</v>
      </c>
      <c r="B133" s="1"/>
      <c r="C133" s="1"/>
      <c r="D133" s="2" t="s">
        <v>25</v>
      </c>
      <c r="E133" s="17" t="s">
        <v>39</v>
      </c>
      <c r="F133" s="1"/>
      <c r="G133" s="2">
        <v>100</v>
      </c>
      <c r="H133" s="326" t="s">
        <v>736</v>
      </c>
      <c r="I133" s="327"/>
      <c r="J133" s="328"/>
    </row>
    <row r="134" spans="1:10" ht="14.25" customHeight="1">
      <c r="A134" s="18" t="s">
        <v>40</v>
      </c>
      <c r="B134" s="6"/>
      <c r="C134" s="6"/>
      <c r="D134" s="2" t="s">
        <v>25</v>
      </c>
      <c r="E134" s="17" t="s">
        <v>78</v>
      </c>
      <c r="F134" s="1"/>
      <c r="G134" s="2" t="s">
        <v>25</v>
      </c>
      <c r="H134" s="80"/>
      <c r="I134" s="81"/>
      <c r="J134" s="82"/>
    </row>
    <row r="135" spans="1:10" ht="14.25" customHeight="1">
      <c r="A135" s="204" t="s">
        <v>63</v>
      </c>
      <c r="B135" s="205"/>
      <c r="C135" s="206"/>
      <c r="D135" s="229">
        <f>SUM(D128:D134)</f>
        <v>21200</v>
      </c>
      <c r="E135" s="1" t="s">
        <v>43</v>
      </c>
      <c r="F135" s="1"/>
      <c r="G135" s="2" t="s">
        <v>25</v>
      </c>
      <c r="H135" s="83"/>
      <c r="I135" s="84"/>
      <c r="J135" s="85"/>
    </row>
    <row r="136" spans="1:10" ht="14.25" customHeight="1">
      <c r="A136" s="207"/>
      <c r="B136" s="197"/>
      <c r="C136" s="208"/>
      <c r="D136" s="230"/>
      <c r="E136" s="21" t="s">
        <v>21</v>
      </c>
      <c r="F136" s="22"/>
      <c r="G136" s="13">
        <f>SUM(G128:G135)</f>
        <v>4100</v>
      </c>
      <c r="H136" s="21" t="s">
        <v>44</v>
      </c>
      <c r="I136" s="22"/>
      <c r="J136" s="13">
        <f>D135-G136</f>
        <v>17100</v>
      </c>
    </row>
    <row r="137" spans="1:10" ht="14.25" customHeight="1">
      <c r="A137" s="3" t="s">
        <v>45</v>
      </c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4.25" customHeight="1">
      <c r="A139" s="3"/>
      <c r="B139" s="3" t="s">
        <v>47</v>
      </c>
      <c r="C139" s="3"/>
      <c r="D139" s="3"/>
      <c r="E139" s="3" t="s">
        <v>48</v>
      </c>
      <c r="F139" s="3"/>
      <c r="G139" s="3"/>
      <c r="H139" s="3" t="s">
        <v>49</v>
      </c>
      <c r="I139" s="3"/>
      <c r="J139" s="3"/>
    </row>
    <row r="140" spans="1:10" ht="14.25" customHeight="1">
      <c r="A140" s="184" t="s">
        <v>0</v>
      </c>
      <c r="B140" s="185"/>
      <c r="C140" s="185"/>
      <c r="D140" s="185"/>
      <c r="E140" s="185"/>
      <c r="F140" s="185"/>
      <c r="G140" s="185"/>
      <c r="H140" s="185"/>
      <c r="I140" s="185"/>
      <c r="J140" s="186"/>
    </row>
    <row r="141" spans="1:10" ht="14.25" customHeight="1">
      <c r="A141" s="187" t="s">
        <v>1</v>
      </c>
      <c r="B141" s="188"/>
      <c r="C141" s="188"/>
      <c r="D141" s="188"/>
      <c r="E141" s="188"/>
      <c r="F141" s="188"/>
      <c r="G141" s="188"/>
      <c r="H141" s="188"/>
      <c r="I141" s="188"/>
      <c r="J141" s="189"/>
    </row>
    <row r="142" spans="1:10" ht="14.25" customHeight="1">
      <c r="A142" s="1" t="s">
        <v>2</v>
      </c>
      <c r="B142" s="1"/>
      <c r="C142" s="190" t="s">
        <v>737</v>
      </c>
      <c r="D142" s="190"/>
      <c r="E142" s="2"/>
      <c r="F142" s="3"/>
      <c r="G142" s="1" t="s">
        <v>4</v>
      </c>
      <c r="H142" s="191" t="s">
        <v>5</v>
      </c>
      <c r="I142" s="191"/>
      <c r="J142" s="191"/>
    </row>
    <row r="143" spans="1:10" ht="14.25" customHeight="1">
      <c r="A143" s="1" t="s">
        <v>6</v>
      </c>
      <c r="B143" s="1"/>
      <c r="C143" s="25" t="s">
        <v>493</v>
      </c>
      <c r="D143" s="25"/>
      <c r="E143" s="2"/>
      <c r="F143" s="3"/>
      <c r="G143" s="1" t="s">
        <v>8</v>
      </c>
      <c r="H143" s="193" t="s">
        <v>9</v>
      </c>
      <c r="I143" s="193"/>
      <c r="J143" s="193"/>
    </row>
    <row r="144" spans="1:10" ht="14.25" customHeight="1">
      <c r="A144" s="6" t="s">
        <v>10</v>
      </c>
      <c r="B144" s="6"/>
      <c r="C144" s="6" t="s">
        <v>738</v>
      </c>
      <c r="D144" s="6"/>
      <c r="E144" s="2"/>
      <c r="F144" s="3"/>
      <c r="G144" s="1" t="s">
        <v>12</v>
      </c>
      <c r="H144" s="195" t="s">
        <v>13</v>
      </c>
      <c r="I144" s="195"/>
      <c r="J144" s="195"/>
    </row>
    <row r="145" spans="1:10" ht="14.25" customHeight="1">
      <c r="A145" s="2" t="s">
        <v>14</v>
      </c>
      <c r="B145" s="2"/>
      <c r="C145" s="1" t="s">
        <v>15</v>
      </c>
      <c r="D145" s="1"/>
      <c r="E145" s="2"/>
      <c r="F145" s="3"/>
      <c r="G145" s="1" t="s">
        <v>16</v>
      </c>
      <c r="H145" s="209" t="s">
        <v>140</v>
      </c>
      <c r="I145" s="209"/>
      <c r="J145" s="209"/>
    </row>
    <row r="146" spans="1:10" ht="14.25" customHeight="1">
      <c r="A146" s="2">
        <v>30</v>
      </c>
      <c r="B146" s="2"/>
      <c r="C146" s="2">
        <f>A146-H146</f>
        <v>0</v>
      </c>
      <c r="D146" s="2"/>
      <c r="E146" s="2"/>
      <c r="F146" s="3"/>
      <c r="G146" s="8" t="s">
        <v>18</v>
      </c>
      <c r="H146" s="197">
        <v>30</v>
      </c>
      <c r="I146" s="197"/>
      <c r="J146" s="197"/>
    </row>
    <row r="147" spans="1:10" ht="14.25" customHeight="1">
      <c r="A147" s="198" t="s">
        <v>19</v>
      </c>
      <c r="B147" s="199"/>
      <c r="C147" s="200"/>
      <c r="D147" s="13" t="s">
        <v>20</v>
      </c>
      <c r="E147" s="14" t="s">
        <v>21</v>
      </c>
      <c r="F147" s="15"/>
      <c r="G147" s="16" t="s">
        <v>20</v>
      </c>
      <c r="H147" s="201" t="s">
        <v>22</v>
      </c>
      <c r="I147" s="202"/>
      <c r="J147" s="203"/>
    </row>
    <row r="148" spans="1:10" ht="14.25" customHeight="1">
      <c r="A148" s="17" t="s">
        <v>56</v>
      </c>
      <c r="B148" s="1"/>
      <c r="C148" s="1"/>
      <c r="D148" s="2">
        <v>18000</v>
      </c>
      <c r="E148" s="17" t="s">
        <v>24</v>
      </c>
      <c r="F148" s="1"/>
      <c r="G148" s="2" t="s">
        <v>25</v>
      </c>
      <c r="H148" s="18" t="s">
        <v>502</v>
      </c>
      <c r="I148" s="6"/>
      <c r="J148" s="19"/>
    </row>
    <row r="149" spans="1:10" ht="14.25" customHeight="1">
      <c r="A149" s="17" t="s">
        <v>57</v>
      </c>
      <c r="B149" s="209" t="s">
        <v>320</v>
      </c>
      <c r="C149" s="209"/>
      <c r="D149" s="2">
        <v>1200</v>
      </c>
      <c r="E149" s="17" t="s">
        <v>376</v>
      </c>
      <c r="F149" s="1"/>
      <c r="G149" s="2" t="s">
        <v>25</v>
      </c>
      <c r="H149" s="18" t="s">
        <v>504</v>
      </c>
      <c r="I149" s="6"/>
      <c r="J149" s="19"/>
    </row>
    <row r="150" spans="1:10" ht="14.25" customHeight="1">
      <c r="A150" s="17" t="s">
        <v>30</v>
      </c>
      <c r="B150" s="1"/>
      <c r="C150" s="1"/>
      <c r="D150" s="2">
        <v>2000</v>
      </c>
      <c r="E150" s="17" t="s">
        <v>83</v>
      </c>
      <c r="F150" s="1"/>
      <c r="G150" s="2">
        <v>4000</v>
      </c>
      <c r="H150" s="18" t="s">
        <v>32</v>
      </c>
      <c r="I150" s="6"/>
      <c r="J150" s="19"/>
    </row>
    <row r="151" spans="1:10" ht="14.25" customHeight="1">
      <c r="A151" s="17" t="s">
        <v>78</v>
      </c>
      <c r="B151" s="1"/>
      <c r="C151" s="1"/>
      <c r="D151" s="2" t="s">
        <v>25</v>
      </c>
      <c r="E151" s="17" t="s">
        <v>35</v>
      </c>
      <c r="F151" s="1"/>
      <c r="G151" s="2" t="s">
        <v>25</v>
      </c>
      <c r="H151" s="18"/>
      <c r="I151" s="6"/>
      <c r="J151" s="19"/>
    </row>
    <row r="152" spans="1:10" ht="14.25" customHeight="1">
      <c r="A152" s="17" t="s">
        <v>147</v>
      </c>
      <c r="B152" s="1"/>
      <c r="C152" s="1"/>
      <c r="D152" s="2" t="s">
        <v>25</v>
      </c>
      <c r="E152" s="17" t="s">
        <v>61</v>
      </c>
      <c r="F152" s="1"/>
      <c r="G152" s="2" t="s">
        <v>25</v>
      </c>
      <c r="H152" s="18" t="s">
        <v>739</v>
      </c>
      <c r="I152" s="6"/>
      <c r="J152" s="19"/>
    </row>
    <row r="153" spans="1:10" ht="14.25" customHeight="1">
      <c r="A153" s="17" t="s">
        <v>27</v>
      </c>
      <c r="B153" s="1"/>
      <c r="C153" s="1"/>
      <c r="D153" s="2" t="s">
        <v>25</v>
      </c>
      <c r="E153" s="17" t="s">
        <v>39</v>
      </c>
      <c r="F153" s="1"/>
      <c r="G153" s="2">
        <v>100</v>
      </c>
      <c r="H153" s="18" t="s">
        <v>733</v>
      </c>
      <c r="I153" s="6"/>
      <c r="J153" s="19"/>
    </row>
    <row r="154" spans="1:10" ht="14.25" customHeight="1">
      <c r="A154" s="18" t="s">
        <v>40</v>
      </c>
      <c r="B154" s="6"/>
      <c r="C154" s="6"/>
      <c r="D154" s="2" t="s">
        <v>25</v>
      </c>
      <c r="E154" s="17" t="s">
        <v>78</v>
      </c>
      <c r="F154" s="1"/>
      <c r="G154" s="2" t="s">
        <v>25</v>
      </c>
      <c r="H154" s="18"/>
      <c r="I154" s="6"/>
      <c r="J154" s="19"/>
    </row>
    <row r="155" spans="1:10" ht="14.25" customHeight="1">
      <c r="A155" s="204" t="s">
        <v>63</v>
      </c>
      <c r="B155" s="205"/>
      <c r="C155" s="206"/>
      <c r="D155" s="229">
        <f>SUM(D148:D154)</f>
        <v>21200</v>
      </c>
      <c r="E155" s="1" t="s">
        <v>43</v>
      </c>
      <c r="F155" s="1"/>
      <c r="G155" s="2" t="s">
        <v>25</v>
      </c>
      <c r="H155" s="18"/>
      <c r="I155" s="6"/>
      <c r="J155" s="19"/>
    </row>
    <row r="156" spans="1:10" ht="14.25" customHeight="1">
      <c r="A156" s="207"/>
      <c r="B156" s="197"/>
      <c r="C156" s="208"/>
      <c r="D156" s="230"/>
      <c r="E156" s="21" t="s">
        <v>21</v>
      </c>
      <c r="F156" s="22"/>
      <c r="G156" s="13">
        <f>SUM(G148:G155)</f>
        <v>4100</v>
      </c>
      <c r="H156" s="21" t="s">
        <v>44</v>
      </c>
      <c r="I156" s="22"/>
      <c r="J156" s="13">
        <f>D155-G156</f>
        <v>17100</v>
      </c>
    </row>
    <row r="157" spans="1:10" ht="14.25" customHeight="1">
      <c r="A157" s="3" t="s">
        <v>45</v>
      </c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4.25" customHeight="1">
      <c r="A159" s="3"/>
      <c r="B159" s="3" t="s">
        <v>47</v>
      </c>
      <c r="C159" s="3"/>
      <c r="D159" s="3"/>
      <c r="E159" s="3" t="s">
        <v>48</v>
      </c>
      <c r="F159" s="3"/>
      <c r="G159" s="3"/>
      <c r="H159" s="3" t="s">
        <v>49</v>
      </c>
      <c r="I159" s="3"/>
      <c r="J159" s="3"/>
    </row>
    <row r="160" spans="1:10" ht="14.25" customHeight="1">
      <c r="A160" s="184" t="s">
        <v>0</v>
      </c>
      <c r="B160" s="185"/>
      <c r="C160" s="185"/>
      <c r="D160" s="185"/>
      <c r="E160" s="185"/>
      <c r="F160" s="185"/>
      <c r="G160" s="185"/>
      <c r="H160" s="185"/>
      <c r="I160" s="185"/>
      <c r="J160" s="186"/>
    </row>
    <row r="161" spans="1:10" ht="14.25" customHeight="1">
      <c r="A161" s="187" t="s">
        <v>1</v>
      </c>
      <c r="B161" s="188"/>
      <c r="C161" s="188"/>
      <c r="D161" s="188"/>
      <c r="E161" s="188"/>
      <c r="F161" s="188"/>
      <c r="G161" s="188"/>
      <c r="H161" s="188"/>
      <c r="I161" s="188"/>
      <c r="J161" s="189"/>
    </row>
    <row r="162" spans="1:10" ht="14.25" customHeight="1">
      <c r="A162" s="1" t="s">
        <v>2</v>
      </c>
      <c r="B162" s="1"/>
      <c r="C162" s="190" t="s">
        <v>737</v>
      </c>
      <c r="D162" s="190"/>
      <c r="E162" s="2"/>
      <c r="F162" s="3"/>
      <c r="G162" s="1" t="s">
        <v>4</v>
      </c>
      <c r="H162" s="191" t="s">
        <v>5</v>
      </c>
      <c r="I162" s="191"/>
      <c r="J162" s="191"/>
    </row>
    <row r="163" spans="1:10" ht="14.25" customHeight="1">
      <c r="A163" s="1" t="s">
        <v>6</v>
      </c>
      <c r="B163" s="1"/>
      <c r="C163" s="25" t="s">
        <v>740</v>
      </c>
      <c r="D163" s="25"/>
      <c r="E163" s="2"/>
      <c r="F163" s="3"/>
      <c r="G163" s="1" t="s">
        <v>8</v>
      </c>
      <c r="H163" s="193" t="s">
        <v>9</v>
      </c>
      <c r="I163" s="193"/>
      <c r="J163" s="193"/>
    </row>
    <row r="164" spans="1:10" ht="14.25" customHeight="1">
      <c r="A164" s="6" t="s">
        <v>10</v>
      </c>
      <c r="B164" s="6"/>
      <c r="C164" s="6" t="s">
        <v>731</v>
      </c>
      <c r="D164" s="6"/>
      <c r="E164" s="2"/>
      <c r="F164" s="3"/>
      <c r="G164" s="1" t="s">
        <v>12</v>
      </c>
      <c r="H164" s="195" t="s">
        <v>13</v>
      </c>
      <c r="I164" s="195"/>
      <c r="J164" s="195"/>
    </row>
    <row r="165" spans="1:10" ht="14.25" customHeight="1">
      <c r="A165" s="2" t="s">
        <v>14</v>
      </c>
      <c r="B165" s="2"/>
      <c r="C165" s="1" t="s">
        <v>15</v>
      </c>
      <c r="D165" s="1"/>
      <c r="E165" s="2"/>
      <c r="F165" s="3"/>
      <c r="G165" s="1" t="s">
        <v>16</v>
      </c>
      <c r="H165" s="209" t="s">
        <v>55</v>
      </c>
      <c r="I165" s="209"/>
      <c r="J165" s="209"/>
    </row>
    <row r="166" spans="1:10" ht="14.25" customHeight="1">
      <c r="A166" s="2">
        <v>30</v>
      </c>
      <c r="B166" s="2"/>
      <c r="C166" s="2">
        <f>A166-H166</f>
        <v>0</v>
      </c>
      <c r="D166" s="2"/>
      <c r="E166" s="2"/>
      <c r="F166" s="3"/>
      <c r="G166" s="8" t="s">
        <v>18</v>
      </c>
      <c r="H166" s="197">
        <v>30</v>
      </c>
      <c r="I166" s="197"/>
      <c r="J166" s="197"/>
    </row>
    <row r="167" spans="1:10" ht="14.25" customHeight="1">
      <c r="A167" s="198" t="s">
        <v>19</v>
      </c>
      <c r="B167" s="199"/>
      <c r="C167" s="200"/>
      <c r="D167" s="13" t="s">
        <v>20</v>
      </c>
      <c r="E167" s="14" t="s">
        <v>21</v>
      </c>
      <c r="F167" s="15"/>
      <c r="G167" s="16" t="s">
        <v>20</v>
      </c>
      <c r="H167" s="201" t="s">
        <v>22</v>
      </c>
      <c r="I167" s="202"/>
      <c r="J167" s="203"/>
    </row>
    <row r="168" spans="1:10" ht="14.25" customHeight="1">
      <c r="A168" s="17" t="s">
        <v>56</v>
      </c>
      <c r="B168" s="1"/>
      <c r="C168" s="1"/>
      <c r="D168" s="2">
        <v>20000</v>
      </c>
      <c r="E168" s="17" t="s">
        <v>24</v>
      </c>
      <c r="F168" s="1"/>
      <c r="G168" s="2" t="s">
        <v>25</v>
      </c>
      <c r="H168" s="18" t="s">
        <v>502</v>
      </c>
      <c r="I168" s="6"/>
      <c r="J168" s="19"/>
    </row>
    <row r="169" spans="1:10" ht="14.25" customHeight="1">
      <c r="A169" s="17" t="s">
        <v>57</v>
      </c>
      <c r="B169" s="209" t="s">
        <v>393</v>
      </c>
      <c r="C169" s="209"/>
      <c r="D169" s="2">
        <v>3333</v>
      </c>
      <c r="E169" s="17" t="s">
        <v>376</v>
      </c>
      <c r="F169" s="1"/>
      <c r="G169" s="2" t="s">
        <v>25</v>
      </c>
      <c r="H169" s="18" t="s">
        <v>504</v>
      </c>
      <c r="I169" s="6"/>
      <c r="J169" s="19"/>
    </row>
    <row r="170" spans="1:10" ht="14.25" customHeight="1">
      <c r="A170" s="17" t="s">
        <v>30</v>
      </c>
      <c r="B170" s="1"/>
      <c r="C170" s="1"/>
      <c r="D170" s="2" t="s">
        <v>25</v>
      </c>
      <c r="E170" s="17" t="s">
        <v>58</v>
      </c>
      <c r="F170" s="1"/>
      <c r="G170" s="2">
        <v>3458</v>
      </c>
      <c r="H170" s="18" t="s">
        <v>32</v>
      </c>
      <c r="I170" s="6"/>
      <c r="J170" s="19"/>
    </row>
    <row r="171" spans="1:10" ht="14.25" customHeight="1">
      <c r="A171" s="17" t="s">
        <v>78</v>
      </c>
      <c r="B171" s="1"/>
      <c r="C171" s="1"/>
      <c r="D171" s="2" t="s">
        <v>25</v>
      </c>
      <c r="E171" s="17" t="s">
        <v>35</v>
      </c>
      <c r="F171" s="1"/>
      <c r="G171" s="2" t="s">
        <v>25</v>
      </c>
      <c r="H171" s="18"/>
      <c r="I171" s="6"/>
      <c r="J171" s="19"/>
    </row>
    <row r="172" spans="1:10" ht="14.25" customHeight="1">
      <c r="A172" s="17" t="s">
        <v>147</v>
      </c>
      <c r="B172" s="1"/>
      <c r="C172" s="1"/>
      <c r="D172" s="2" t="s">
        <v>25</v>
      </c>
      <c r="E172" s="17" t="s">
        <v>61</v>
      </c>
      <c r="F172" s="1"/>
      <c r="G172" s="2" t="s">
        <v>25</v>
      </c>
      <c r="H172" s="18" t="s">
        <v>741</v>
      </c>
      <c r="I172" s="6"/>
      <c r="J172" s="19"/>
    </row>
    <row r="173" spans="1:10" ht="14.25" customHeight="1">
      <c r="A173" s="17" t="s">
        <v>72</v>
      </c>
      <c r="B173" s="1"/>
      <c r="C173" s="1"/>
      <c r="D173" s="2" t="s">
        <v>25</v>
      </c>
      <c r="E173" s="17" t="s">
        <v>39</v>
      </c>
      <c r="F173" s="1"/>
      <c r="G173" s="2">
        <v>100</v>
      </c>
      <c r="H173" s="18" t="s">
        <v>742</v>
      </c>
      <c r="I173" s="6"/>
      <c r="J173" s="19"/>
    </row>
    <row r="174" spans="1:10" ht="14.25" customHeight="1">
      <c r="A174" s="18" t="s">
        <v>40</v>
      </c>
      <c r="B174" s="6"/>
      <c r="C174" s="6"/>
      <c r="D174" s="2" t="s">
        <v>25</v>
      </c>
      <c r="E174" s="17" t="s">
        <v>78</v>
      </c>
      <c r="F174" s="1"/>
      <c r="G174" s="2" t="s">
        <v>25</v>
      </c>
      <c r="H174" s="18"/>
      <c r="I174" s="6"/>
      <c r="J174" s="19"/>
    </row>
    <row r="175" spans="1:10" ht="14.25" customHeight="1">
      <c r="A175" s="204" t="s">
        <v>63</v>
      </c>
      <c r="B175" s="205"/>
      <c r="C175" s="206"/>
      <c r="D175" s="229">
        <f>SUM(D168:D174)</f>
        <v>23333</v>
      </c>
      <c r="E175" s="1" t="s">
        <v>43</v>
      </c>
      <c r="F175" s="1"/>
      <c r="G175" s="2" t="s">
        <v>25</v>
      </c>
      <c r="H175" s="18"/>
      <c r="I175" s="6"/>
      <c r="J175" s="19"/>
    </row>
    <row r="176" spans="1:10" ht="14.25" customHeight="1">
      <c r="A176" s="207"/>
      <c r="B176" s="197"/>
      <c r="C176" s="208"/>
      <c r="D176" s="230"/>
      <c r="E176" s="21" t="s">
        <v>21</v>
      </c>
      <c r="F176" s="22"/>
      <c r="G176" s="13">
        <f>SUM(G168:G175)</f>
        <v>3558</v>
      </c>
      <c r="H176" s="21" t="s">
        <v>44</v>
      </c>
      <c r="I176" s="22"/>
      <c r="J176" s="13">
        <f>D175-G176</f>
        <v>19775</v>
      </c>
    </row>
    <row r="177" spans="1:10" ht="14.25" customHeight="1">
      <c r="A177" s="3" t="s">
        <v>45</v>
      </c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4.25" customHeight="1">
      <c r="A179" s="3"/>
      <c r="B179" s="3" t="s">
        <v>47</v>
      </c>
      <c r="C179" s="3"/>
      <c r="D179" s="3"/>
      <c r="E179" s="3" t="s">
        <v>48</v>
      </c>
      <c r="F179" s="3"/>
      <c r="G179" s="3"/>
      <c r="H179" s="3" t="s">
        <v>49</v>
      </c>
      <c r="I179" s="3"/>
      <c r="J179" s="3"/>
    </row>
    <row r="180" spans="1:10" ht="14.25" customHeight="1">
      <c r="A180" s="184" t="s">
        <v>0</v>
      </c>
      <c r="B180" s="185"/>
      <c r="C180" s="185"/>
      <c r="D180" s="185"/>
      <c r="E180" s="185"/>
      <c r="F180" s="185"/>
      <c r="G180" s="185"/>
      <c r="H180" s="185"/>
      <c r="I180" s="185"/>
      <c r="J180" s="186"/>
    </row>
    <row r="181" spans="1:10" ht="14.25" customHeight="1">
      <c r="A181" s="187" t="s">
        <v>1</v>
      </c>
      <c r="B181" s="188"/>
      <c r="C181" s="188"/>
      <c r="D181" s="188"/>
      <c r="E181" s="188"/>
      <c r="F181" s="188"/>
      <c r="G181" s="188"/>
      <c r="H181" s="188"/>
      <c r="I181" s="188"/>
      <c r="J181" s="189"/>
    </row>
    <row r="182" spans="1:10" ht="14.25" customHeight="1">
      <c r="A182" s="1" t="s">
        <v>2</v>
      </c>
      <c r="B182" s="1"/>
      <c r="C182" s="190" t="s">
        <v>737</v>
      </c>
      <c r="D182" s="190"/>
      <c r="E182" s="2"/>
      <c r="F182" s="3"/>
      <c r="G182" s="1" t="s">
        <v>4</v>
      </c>
      <c r="H182" s="191" t="s">
        <v>5</v>
      </c>
      <c r="I182" s="191"/>
      <c r="J182" s="191"/>
    </row>
    <row r="183" spans="1:10" ht="14.25" customHeight="1">
      <c r="A183" s="1" t="s">
        <v>6</v>
      </c>
      <c r="B183" s="1"/>
      <c r="C183" s="25" t="s">
        <v>743</v>
      </c>
      <c r="D183" s="25"/>
      <c r="E183" s="2"/>
      <c r="F183" s="3"/>
      <c r="G183" s="1" t="s">
        <v>8</v>
      </c>
      <c r="H183" s="193" t="s">
        <v>9</v>
      </c>
      <c r="I183" s="193"/>
      <c r="J183" s="193"/>
    </row>
    <row r="184" spans="1:10" ht="14.25" customHeight="1">
      <c r="A184" s="6" t="s">
        <v>10</v>
      </c>
      <c r="B184" s="6"/>
      <c r="C184" s="6" t="s">
        <v>731</v>
      </c>
      <c r="D184" s="6"/>
      <c r="E184" s="2"/>
      <c r="F184" s="3"/>
      <c r="G184" s="1" t="s">
        <v>12</v>
      </c>
      <c r="H184" s="195" t="s">
        <v>13</v>
      </c>
      <c r="I184" s="195"/>
      <c r="J184" s="195"/>
    </row>
    <row r="185" spans="1:10" ht="14.25" customHeight="1">
      <c r="A185" s="2" t="s">
        <v>14</v>
      </c>
      <c r="B185" s="2"/>
      <c r="C185" s="1" t="s">
        <v>15</v>
      </c>
      <c r="D185" s="1"/>
      <c r="E185" s="2"/>
      <c r="F185" s="3"/>
      <c r="G185" s="1" t="s">
        <v>16</v>
      </c>
      <c r="H185" s="209" t="s">
        <v>55</v>
      </c>
      <c r="I185" s="209"/>
      <c r="J185" s="209"/>
    </row>
    <row r="186" spans="1:10" ht="14.25" customHeight="1">
      <c r="A186" s="2">
        <v>30</v>
      </c>
      <c r="B186" s="2"/>
      <c r="C186" s="2">
        <f>A186-H186</f>
        <v>16</v>
      </c>
      <c r="D186" s="2"/>
      <c r="E186" s="2"/>
      <c r="F186" s="3"/>
      <c r="G186" s="8" t="s">
        <v>18</v>
      </c>
      <c r="H186" s="197">
        <v>14</v>
      </c>
      <c r="I186" s="197"/>
      <c r="J186" s="197"/>
    </row>
    <row r="187" spans="1:10" ht="14.25" customHeight="1">
      <c r="A187" s="198" t="s">
        <v>19</v>
      </c>
      <c r="B187" s="199"/>
      <c r="C187" s="200"/>
      <c r="D187" s="13" t="s">
        <v>20</v>
      </c>
      <c r="E187" s="14" t="s">
        <v>21</v>
      </c>
      <c r="F187" s="15"/>
      <c r="G187" s="16" t="s">
        <v>20</v>
      </c>
      <c r="H187" s="201" t="s">
        <v>22</v>
      </c>
      <c r="I187" s="202"/>
      <c r="J187" s="203"/>
    </row>
    <row r="188" spans="1:10" ht="14.25" customHeight="1">
      <c r="A188" s="17" t="s">
        <v>56</v>
      </c>
      <c r="B188" s="1"/>
      <c r="C188" s="1"/>
      <c r="D188" s="2">
        <v>20000</v>
      </c>
      <c r="E188" s="17" t="s">
        <v>24</v>
      </c>
      <c r="F188" s="1"/>
      <c r="G188" s="2" t="s">
        <v>25</v>
      </c>
      <c r="H188" s="18" t="s">
        <v>502</v>
      </c>
      <c r="I188" s="6"/>
      <c r="J188" s="19"/>
    </row>
    <row r="189" spans="1:10" ht="14.25" customHeight="1">
      <c r="A189" s="17" t="s">
        <v>57</v>
      </c>
      <c r="B189" s="209"/>
      <c r="C189" s="209"/>
      <c r="D189" s="2" t="s">
        <v>25</v>
      </c>
      <c r="E189" s="17" t="s">
        <v>376</v>
      </c>
      <c r="F189" s="1"/>
      <c r="G189" s="2" t="s">
        <v>25</v>
      </c>
      <c r="H189" s="18" t="s">
        <v>504</v>
      </c>
      <c r="I189" s="6"/>
      <c r="J189" s="19"/>
    </row>
    <row r="190" spans="1:10" ht="14.25" customHeight="1">
      <c r="A190" s="17" t="s">
        <v>30</v>
      </c>
      <c r="B190" s="1"/>
      <c r="C190" s="1"/>
      <c r="D190" s="2" t="s">
        <v>25</v>
      </c>
      <c r="E190" s="17" t="s">
        <v>58</v>
      </c>
      <c r="F190" s="1"/>
      <c r="G190" s="2" t="s">
        <v>25</v>
      </c>
      <c r="H190" s="18" t="s">
        <v>32</v>
      </c>
      <c r="I190" s="6"/>
      <c r="J190" s="19"/>
    </row>
    <row r="191" spans="1:10" ht="14.25" customHeight="1">
      <c r="A191" s="17" t="s">
        <v>78</v>
      </c>
      <c r="B191" s="1"/>
      <c r="C191" s="1"/>
      <c r="D191" s="2" t="s">
        <v>25</v>
      </c>
      <c r="E191" s="17" t="s">
        <v>35</v>
      </c>
      <c r="F191" s="1"/>
      <c r="G191" s="2">
        <v>10667</v>
      </c>
      <c r="H191" s="18"/>
      <c r="I191" s="6"/>
      <c r="J191" s="19"/>
    </row>
    <row r="192" spans="1:10" ht="14.25" customHeight="1">
      <c r="A192" s="17" t="s">
        <v>147</v>
      </c>
      <c r="B192" s="1"/>
      <c r="C192" s="1"/>
      <c r="D192" s="2" t="s">
        <v>25</v>
      </c>
      <c r="E192" s="17" t="s">
        <v>61</v>
      </c>
      <c r="F192" s="1"/>
      <c r="G192" s="2" t="s">
        <v>25</v>
      </c>
      <c r="H192" s="18"/>
      <c r="I192" s="6"/>
      <c r="J192" s="19"/>
    </row>
    <row r="193" spans="1:10" ht="14.25" customHeight="1">
      <c r="A193" s="17" t="s">
        <v>72</v>
      </c>
      <c r="B193" s="1"/>
      <c r="C193" s="1"/>
      <c r="D193" s="2" t="s">
        <v>25</v>
      </c>
      <c r="E193" s="17" t="s">
        <v>39</v>
      </c>
      <c r="F193" s="1"/>
      <c r="G193" s="2">
        <v>100</v>
      </c>
      <c r="H193" s="18"/>
      <c r="I193" s="6"/>
      <c r="J193" s="19"/>
    </row>
    <row r="194" spans="1:10" ht="14.25" customHeight="1">
      <c r="A194" s="18" t="s">
        <v>40</v>
      </c>
      <c r="B194" s="6"/>
      <c r="C194" s="6"/>
      <c r="D194" s="2" t="s">
        <v>25</v>
      </c>
      <c r="E194" s="17" t="s">
        <v>78</v>
      </c>
      <c r="F194" s="1"/>
      <c r="G194" s="2" t="s">
        <v>25</v>
      </c>
      <c r="H194" s="18"/>
      <c r="I194" s="6"/>
      <c r="J194" s="19"/>
    </row>
    <row r="195" spans="1:10" ht="14.25" customHeight="1">
      <c r="A195" s="204" t="s">
        <v>63</v>
      </c>
      <c r="B195" s="205"/>
      <c r="C195" s="206"/>
      <c r="D195" s="229">
        <f>SUM(D188:D194)</f>
        <v>20000</v>
      </c>
      <c r="E195" s="1" t="s">
        <v>43</v>
      </c>
      <c r="F195" s="1"/>
      <c r="G195" s="2" t="s">
        <v>25</v>
      </c>
      <c r="H195" s="18"/>
      <c r="I195" s="6"/>
      <c r="J195" s="19"/>
    </row>
    <row r="196" spans="1:10" ht="14.25" customHeight="1">
      <c r="A196" s="207"/>
      <c r="B196" s="197"/>
      <c r="C196" s="208"/>
      <c r="D196" s="230"/>
      <c r="E196" s="21" t="s">
        <v>21</v>
      </c>
      <c r="F196" s="22"/>
      <c r="G196" s="13">
        <f>SUM(G188:G195)</f>
        <v>10767</v>
      </c>
      <c r="H196" s="21" t="s">
        <v>44</v>
      </c>
      <c r="I196" s="22"/>
      <c r="J196" s="13">
        <f>D195-G196</f>
        <v>9233</v>
      </c>
    </row>
    <row r="197" spans="1:10" ht="14.25" customHeight="1">
      <c r="A197" s="3" t="s">
        <v>45</v>
      </c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4.25" customHeight="1">
      <c r="A199" s="3"/>
      <c r="B199" s="3" t="s">
        <v>47</v>
      </c>
      <c r="C199" s="3"/>
      <c r="D199" s="3"/>
      <c r="E199" s="3" t="s">
        <v>48</v>
      </c>
      <c r="F199" s="3"/>
      <c r="G199" s="3"/>
      <c r="H199" s="3" t="s">
        <v>49</v>
      </c>
      <c r="I199" s="3"/>
      <c r="J199" s="3"/>
    </row>
    <row r="200" spans="1:10" ht="14.25" customHeight="1">
      <c r="A200" s="184" t="s">
        <v>0</v>
      </c>
      <c r="B200" s="185"/>
      <c r="C200" s="185"/>
      <c r="D200" s="185"/>
      <c r="E200" s="185"/>
      <c r="F200" s="185"/>
      <c r="G200" s="185"/>
      <c r="H200" s="185"/>
      <c r="I200" s="185"/>
      <c r="J200" s="186"/>
    </row>
    <row r="201" spans="1:10" ht="14.25" customHeight="1">
      <c r="A201" s="187" t="s">
        <v>1</v>
      </c>
      <c r="B201" s="188"/>
      <c r="C201" s="188"/>
      <c r="D201" s="188"/>
      <c r="E201" s="188"/>
      <c r="F201" s="188"/>
      <c r="G201" s="188"/>
      <c r="H201" s="188"/>
      <c r="I201" s="188"/>
      <c r="J201" s="189"/>
    </row>
    <row r="202" spans="1:10" ht="14.25" customHeight="1">
      <c r="A202" s="1" t="s">
        <v>2</v>
      </c>
      <c r="B202" s="1"/>
      <c r="C202" s="190" t="s">
        <v>615</v>
      </c>
      <c r="D202" s="190"/>
      <c r="E202" s="2"/>
      <c r="F202" s="3"/>
      <c r="G202" s="1" t="s">
        <v>4</v>
      </c>
      <c r="H202" s="209" t="s">
        <v>143</v>
      </c>
      <c r="I202" s="209"/>
      <c r="J202" s="209"/>
    </row>
    <row r="203" spans="1:10" ht="14.25" customHeight="1">
      <c r="A203" s="1" t="s">
        <v>6</v>
      </c>
      <c r="B203" s="1"/>
      <c r="C203" s="25" t="s">
        <v>744</v>
      </c>
      <c r="D203" s="25"/>
      <c r="E203" s="2"/>
      <c r="F203" s="3"/>
      <c r="G203" s="1" t="s">
        <v>8</v>
      </c>
      <c r="H203" s="193" t="s">
        <v>9</v>
      </c>
      <c r="I203" s="193"/>
      <c r="J203" s="193"/>
    </row>
    <row r="204" spans="1:10" ht="14.25" customHeight="1">
      <c r="A204" s="6" t="s">
        <v>10</v>
      </c>
      <c r="B204" s="6"/>
      <c r="C204" s="6" t="s">
        <v>731</v>
      </c>
      <c r="D204" s="6"/>
      <c r="E204" s="2"/>
      <c r="F204" s="3"/>
      <c r="G204" s="1" t="s">
        <v>12</v>
      </c>
      <c r="H204" s="195" t="s">
        <v>13</v>
      </c>
      <c r="I204" s="195"/>
      <c r="J204" s="195"/>
    </row>
    <row r="205" spans="1:10" ht="14.25" customHeight="1">
      <c r="A205" s="2" t="s">
        <v>14</v>
      </c>
      <c r="B205" s="2"/>
      <c r="C205" s="2" t="s">
        <v>15</v>
      </c>
      <c r="D205" s="2"/>
      <c r="E205" s="2"/>
      <c r="F205" s="3"/>
      <c r="G205" s="1" t="s">
        <v>16</v>
      </c>
      <c r="H205" s="196" t="s">
        <v>140</v>
      </c>
      <c r="I205" s="196"/>
      <c r="J205" s="196"/>
    </row>
    <row r="206" spans="1:10" ht="14.25" customHeight="1">
      <c r="A206" s="2">
        <v>30</v>
      </c>
      <c r="B206" s="2"/>
      <c r="C206" s="2">
        <f>A206-H206</f>
        <v>0</v>
      </c>
      <c r="D206" s="2"/>
      <c r="E206" s="2"/>
      <c r="F206" s="3"/>
      <c r="G206" s="8" t="s">
        <v>18</v>
      </c>
      <c r="H206" s="197">
        <v>30</v>
      </c>
      <c r="I206" s="197"/>
      <c r="J206" s="197"/>
    </row>
    <row r="207" spans="1:10" ht="14.25" customHeight="1">
      <c r="A207" s="198" t="s">
        <v>19</v>
      </c>
      <c r="B207" s="199"/>
      <c r="C207" s="200"/>
      <c r="D207" s="13" t="s">
        <v>20</v>
      </c>
      <c r="E207" s="14" t="s">
        <v>21</v>
      </c>
      <c r="F207" s="15"/>
      <c r="G207" s="16" t="s">
        <v>20</v>
      </c>
      <c r="H207" s="201" t="s">
        <v>22</v>
      </c>
      <c r="I207" s="202"/>
      <c r="J207" s="203"/>
    </row>
    <row r="208" spans="1:10" ht="14.25" customHeight="1">
      <c r="A208" s="17" t="s">
        <v>23</v>
      </c>
      <c r="B208" s="1"/>
      <c r="C208" s="1"/>
      <c r="D208" s="28">
        <v>25000</v>
      </c>
      <c r="E208" s="17" t="s">
        <v>58</v>
      </c>
      <c r="F208" s="1"/>
      <c r="G208" s="2" t="s">
        <v>25</v>
      </c>
      <c r="H208" s="18" t="s">
        <v>26</v>
      </c>
      <c r="I208" s="23"/>
      <c r="J208" s="24"/>
    </row>
    <row r="209" spans="1:10" ht="14.25" customHeight="1">
      <c r="A209" s="17" t="s">
        <v>77</v>
      </c>
      <c r="B209" s="209"/>
      <c r="C209" s="209"/>
      <c r="D209" s="2" t="s">
        <v>25</v>
      </c>
      <c r="E209" s="17" t="s">
        <v>52</v>
      </c>
      <c r="F209" s="1"/>
      <c r="G209" s="2" t="s">
        <v>25</v>
      </c>
      <c r="H209" s="18" t="s">
        <v>29</v>
      </c>
      <c r="I209" s="23"/>
      <c r="J209" s="24"/>
    </row>
    <row r="210" spans="1:10" ht="14.25" customHeight="1">
      <c r="A210" s="17" t="s">
        <v>30</v>
      </c>
      <c r="B210" s="6"/>
      <c r="C210" s="6"/>
      <c r="D210" s="2">
        <v>1500</v>
      </c>
      <c r="E210" s="17" t="s">
        <v>146</v>
      </c>
      <c r="F210" s="1"/>
      <c r="G210" s="2" t="s">
        <v>25</v>
      </c>
      <c r="H210" s="18" t="s">
        <v>32</v>
      </c>
      <c r="I210" s="23"/>
      <c r="J210" s="24"/>
    </row>
    <row r="211" spans="1:10" ht="14.25" customHeight="1">
      <c r="A211" s="17" t="s">
        <v>147</v>
      </c>
      <c r="B211" s="1"/>
      <c r="C211" s="1"/>
      <c r="D211" s="2" t="s">
        <v>25</v>
      </c>
      <c r="E211" s="17" t="s">
        <v>35</v>
      </c>
      <c r="F211" s="1"/>
      <c r="G211" s="2" t="s">
        <v>25</v>
      </c>
      <c r="H211" s="18"/>
      <c r="I211" s="6"/>
      <c r="J211" s="19"/>
    </row>
    <row r="212" spans="1:10" ht="14.25" customHeight="1">
      <c r="A212" s="17" t="s">
        <v>72</v>
      </c>
      <c r="B212" s="1"/>
      <c r="C212" s="1"/>
      <c r="D212" s="2" t="s">
        <v>25</v>
      </c>
      <c r="E212" s="17" t="s">
        <v>61</v>
      </c>
      <c r="F212" s="1"/>
      <c r="G212" s="2" t="s">
        <v>25</v>
      </c>
      <c r="H212" s="18"/>
      <c r="I212" s="6"/>
      <c r="J212" s="19"/>
    </row>
    <row r="213" spans="1:10" ht="14.25" customHeight="1">
      <c r="A213" s="17" t="s">
        <v>147</v>
      </c>
      <c r="B213" s="1"/>
      <c r="C213" s="1"/>
      <c r="D213" s="2" t="s">
        <v>25</v>
      </c>
      <c r="E213" s="17" t="s">
        <v>39</v>
      </c>
      <c r="F213" s="1"/>
      <c r="G213" s="2">
        <v>100</v>
      </c>
      <c r="H213" s="18"/>
      <c r="I213" s="6"/>
      <c r="J213" s="19"/>
    </row>
    <row r="214" spans="1:10" ht="14.25" customHeight="1">
      <c r="A214" s="18" t="s">
        <v>40</v>
      </c>
      <c r="B214" s="6"/>
      <c r="C214" s="6"/>
      <c r="D214" s="2" t="s">
        <v>25</v>
      </c>
      <c r="E214" s="17" t="s">
        <v>78</v>
      </c>
      <c r="F214" s="1"/>
      <c r="G214" s="2" t="s">
        <v>25</v>
      </c>
      <c r="H214" s="18"/>
      <c r="I214" s="6"/>
      <c r="J214" s="19"/>
    </row>
    <row r="215" spans="1:10" ht="14.25" customHeight="1">
      <c r="A215" s="204" t="s">
        <v>63</v>
      </c>
      <c r="B215" s="205"/>
      <c r="C215" s="206"/>
      <c r="D215" s="229">
        <f>SUM(D208:D214)</f>
        <v>26500</v>
      </c>
      <c r="E215" s="1" t="s">
        <v>283</v>
      </c>
      <c r="F215" s="1"/>
      <c r="G215" s="2" t="s">
        <v>25</v>
      </c>
      <c r="H215" s="18"/>
      <c r="I215" s="6"/>
      <c r="J215" s="19"/>
    </row>
    <row r="216" spans="1:10" ht="14.25" customHeight="1">
      <c r="A216" s="207"/>
      <c r="B216" s="197"/>
      <c r="C216" s="208"/>
      <c r="D216" s="230"/>
      <c r="E216" s="21" t="s">
        <v>21</v>
      </c>
      <c r="F216" s="22"/>
      <c r="G216" s="13">
        <f>SUM(G208:G215)</f>
        <v>100</v>
      </c>
      <c r="H216" s="21" t="s">
        <v>44</v>
      </c>
      <c r="I216" s="22"/>
      <c r="J216" s="13">
        <f>D215-G216</f>
        <v>26400</v>
      </c>
    </row>
    <row r="217" spans="1:10" ht="14.25" customHeight="1">
      <c r="A217" s="3" t="s">
        <v>45</v>
      </c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4.25" customHeight="1">
      <c r="A219" s="3"/>
      <c r="B219" s="3" t="s">
        <v>47</v>
      </c>
      <c r="C219" s="3"/>
      <c r="D219" s="3"/>
      <c r="E219" s="3" t="s">
        <v>48</v>
      </c>
      <c r="F219" s="3"/>
      <c r="G219" s="3"/>
      <c r="H219" s="3" t="s">
        <v>49</v>
      </c>
      <c r="I219" s="3"/>
      <c r="J219" s="3"/>
    </row>
    <row r="220" spans="1:10" ht="14.25" customHeight="1">
      <c r="A220" s="184" t="s">
        <v>0</v>
      </c>
      <c r="B220" s="185"/>
      <c r="C220" s="185"/>
      <c r="D220" s="185"/>
      <c r="E220" s="185"/>
      <c r="F220" s="185"/>
      <c r="G220" s="185"/>
      <c r="H220" s="185"/>
      <c r="I220" s="185"/>
      <c r="J220" s="186"/>
    </row>
    <row r="221" spans="1:10" ht="14.25" customHeight="1">
      <c r="A221" s="187" t="s">
        <v>1</v>
      </c>
      <c r="B221" s="188"/>
      <c r="C221" s="188"/>
      <c r="D221" s="188"/>
      <c r="E221" s="188"/>
      <c r="F221" s="188"/>
      <c r="G221" s="188"/>
      <c r="H221" s="188"/>
      <c r="I221" s="188"/>
      <c r="J221" s="189"/>
    </row>
    <row r="222" spans="1:10" ht="14.25" customHeight="1">
      <c r="A222" s="1" t="s">
        <v>2</v>
      </c>
      <c r="B222" s="1"/>
      <c r="C222" s="190" t="s">
        <v>418</v>
      </c>
      <c r="D222" s="190"/>
      <c r="E222" s="2"/>
      <c r="F222" s="3"/>
      <c r="G222" s="1" t="s">
        <v>4</v>
      </c>
      <c r="H222" s="209" t="s">
        <v>143</v>
      </c>
      <c r="I222" s="209"/>
      <c r="J222" s="209"/>
    </row>
    <row r="223" spans="1:10" ht="14.25" customHeight="1">
      <c r="A223" s="1" t="s">
        <v>6</v>
      </c>
      <c r="B223" s="1"/>
      <c r="C223" s="192" t="s">
        <v>745</v>
      </c>
      <c r="D223" s="192"/>
      <c r="E223" s="2"/>
      <c r="F223" s="3"/>
      <c r="G223" s="1" t="s">
        <v>8</v>
      </c>
      <c r="H223" s="193" t="s">
        <v>9</v>
      </c>
      <c r="I223" s="193"/>
      <c r="J223" s="193"/>
    </row>
    <row r="224" spans="1:10" ht="14.25" customHeight="1">
      <c r="A224" s="6" t="s">
        <v>10</v>
      </c>
      <c r="B224" s="6"/>
      <c r="C224" s="6" t="s">
        <v>721</v>
      </c>
      <c r="D224" s="6"/>
      <c r="E224" s="2"/>
      <c r="F224" s="3"/>
      <c r="G224" s="1" t="s">
        <v>12</v>
      </c>
      <c r="H224" s="195" t="s">
        <v>13</v>
      </c>
      <c r="I224" s="195"/>
      <c r="J224" s="195"/>
    </row>
    <row r="225" spans="1:10" ht="14.25" customHeight="1">
      <c r="A225" s="2" t="s">
        <v>14</v>
      </c>
      <c r="B225" s="2"/>
      <c r="C225" s="2" t="s">
        <v>15</v>
      </c>
      <c r="D225" s="2"/>
      <c r="E225" s="2"/>
      <c r="F225" s="3"/>
      <c r="G225" s="1" t="s">
        <v>16</v>
      </c>
      <c r="H225" s="196" t="s">
        <v>140</v>
      </c>
      <c r="I225" s="196"/>
      <c r="J225" s="196"/>
    </row>
    <row r="226" spans="1:10" ht="14.25" customHeight="1">
      <c r="A226" s="2">
        <v>30</v>
      </c>
      <c r="B226" s="2"/>
      <c r="C226" s="2">
        <f>A226-H226</f>
        <v>0</v>
      </c>
      <c r="D226" s="2"/>
      <c r="E226" s="2"/>
      <c r="F226" s="3"/>
      <c r="G226" s="8" t="s">
        <v>18</v>
      </c>
      <c r="H226" s="197">
        <v>30</v>
      </c>
      <c r="I226" s="197"/>
      <c r="J226" s="197"/>
    </row>
    <row r="227" spans="1:10" ht="14.25" customHeight="1">
      <c r="A227" s="198" t="s">
        <v>19</v>
      </c>
      <c r="B227" s="199"/>
      <c r="C227" s="200"/>
      <c r="D227" s="13" t="s">
        <v>20</v>
      </c>
      <c r="E227" s="14" t="s">
        <v>21</v>
      </c>
      <c r="F227" s="15"/>
      <c r="G227" s="16" t="s">
        <v>20</v>
      </c>
      <c r="H227" s="201" t="s">
        <v>22</v>
      </c>
      <c r="I227" s="202"/>
      <c r="J227" s="203"/>
    </row>
    <row r="228" spans="1:10" ht="14.25" customHeight="1">
      <c r="A228" s="17" t="s">
        <v>23</v>
      </c>
      <c r="B228" s="1"/>
      <c r="C228" s="1"/>
      <c r="D228" s="2">
        <v>20000</v>
      </c>
      <c r="E228" s="17" t="s">
        <v>52</v>
      </c>
      <c r="F228" s="1"/>
      <c r="G228" s="2" t="s">
        <v>25</v>
      </c>
      <c r="H228" s="18" t="s">
        <v>502</v>
      </c>
      <c r="I228" s="6"/>
      <c r="J228" s="19"/>
    </row>
    <row r="229" spans="1:10" ht="14.25" customHeight="1">
      <c r="A229" s="17" t="s">
        <v>77</v>
      </c>
      <c r="B229" s="228" t="s">
        <v>120</v>
      </c>
      <c r="C229" s="228"/>
      <c r="D229" s="2">
        <v>667</v>
      </c>
      <c r="E229" s="17" t="s">
        <v>83</v>
      </c>
      <c r="F229" s="1"/>
      <c r="G229" s="2">
        <v>5000</v>
      </c>
      <c r="H229" s="18" t="s">
        <v>504</v>
      </c>
      <c r="I229" s="6"/>
      <c r="J229" s="19"/>
    </row>
    <row r="230" spans="1:10" ht="14.25" customHeight="1">
      <c r="A230" s="17" t="s">
        <v>30</v>
      </c>
      <c r="B230" s="1"/>
      <c r="C230" s="1"/>
      <c r="D230" s="2">
        <v>3000</v>
      </c>
      <c r="E230" s="17" t="s">
        <v>62</v>
      </c>
      <c r="F230" s="1"/>
      <c r="G230" s="2" t="s">
        <v>25</v>
      </c>
      <c r="H230" s="18" t="s">
        <v>32</v>
      </c>
      <c r="I230" s="6"/>
      <c r="J230" s="19"/>
    </row>
    <row r="231" spans="1:10" ht="14.25" customHeight="1">
      <c r="A231" s="17" t="s">
        <v>746</v>
      </c>
      <c r="B231" s="1"/>
      <c r="C231" s="1"/>
      <c r="D231" s="2">
        <v>5000</v>
      </c>
      <c r="E231" s="17" t="s">
        <v>71</v>
      </c>
      <c r="F231" s="1"/>
      <c r="G231" s="2" t="s">
        <v>25</v>
      </c>
      <c r="H231" s="42"/>
      <c r="I231" s="36"/>
      <c r="J231" s="19"/>
    </row>
    <row r="232" spans="1:10" ht="14.25" customHeight="1">
      <c r="A232" s="17" t="s">
        <v>581</v>
      </c>
      <c r="B232" s="1"/>
      <c r="C232" s="1"/>
      <c r="D232" s="2">
        <v>2000</v>
      </c>
      <c r="E232" s="17" t="s">
        <v>61</v>
      </c>
      <c r="F232" s="1"/>
      <c r="G232" s="2" t="s">
        <v>25</v>
      </c>
      <c r="H232" s="42"/>
      <c r="I232" s="36"/>
      <c r="J232" s="43"/>
    </row>
    <row r="233" spans="1:10" ht="14.25" customHeight="1">
      <c r="A233" s="17" t="s">
        <v>136</v>
      </c>
      <c r="B233" s="1"/>
      <c r="C233" s="1"/>
      <c r="D233" s="2" t="s">
        <v>25</v>
      </c>
      <c r="E233" s="17" t="s">
        <v>39</v>
      </c>
      <c r="F233" s="1"/>
      <c r="G233" s="2">
        <v>100</v>
      </c>
      <c r="H233" s="42"/>
      <c r="I233" s="92"/>
      <c r="J233" s="43"/>
    </row>
    <row r="234" spans="1:10" ht="14.25" customHeight="1">
      <c r="A234" s="18" t="s">
        <v>40</v>
      </c>
      <c r="B234" s="6"/>
      <c r="C234" s="6"/>
      <c r="D234" s="2" t="s">
        <v>25</v>
      </c>
      <c r="E234" s="17" t="s">
        <v>62</v>
      </c>
      <c r="F234" s="2"/>
      <c r="G234" s="2" t="s">
        <v>25</v>
      </c>
      <c r="H234" s="42"/>
      <c r="I234" s="36"/>
      <c r="J234" s="43"/>
    </row>
    <row r="235" spans="1:10" ht="14.25" customHeight="1">
      <c r="A235" s="204" t="s">
        <v>63</v>
      </c>
      <c r="B235" s="205"/>
      <c r="C235" s="206"/>
      <c r="D235" s="229">
        <f>SUM(D228:D234)</f>
        <v>30667</v>
      </c>
      <c r="E235" s="1" t="s">
        <v>43</v>
      </c>
      <c r="F235" s="1"/>
      <c r="G235" s="2" t="s">
        <v>25</v>
      </c>
      <c r="H235" s="50"/>
      <c r="I235" s="6"/>
      <c r="J235" s="19"/>
    </row>
    <row r="236" spans="1:10" ht="14.25" customHeight="1">
      <c r="A236" s="207"/>
      <c r="B236" s="197"/>
      <c r="C236" s="208"/>
      <c r="D236" s="230"/>
      <c r="E236" s="21" t="s">
        <v>21</v>
      </c>
      <c r="F236" s="22"/>
      <c r="G236" s="13">
        <f>SUM(G228:G235)</f>
        <v>5100</v>
      </c>
      <c r="H236" s="21" t="s">
        <v>44</v>
      </c>
      <c r="I236" s="22"/>
      <c r="J236" s="13">
        <f>D235-G236</f>
        <v>25567</v>
      </c>
    </row>
    <row r="237" spans="1:10" ht="14.25" customHeight="1">
      <c r="A237" s="3" t="s">
        <v>45</v>
      </c>
      <c r="B237" s="3"/>
      <c r="C237" s="3"/>
      <c r="D237" s="3"/>
      <c r="E237" s="3"/>
      <c r="F237" s="3"/>
      <c r="G237" s="2"/>
      <c r="H237" s="1"/>
      <c r="I237" s="1"/>
      <c r="J237" s="2"/>
    </row>
    <row r="238" spans="1:10" ht="14.25" customHeight="1">
      <c r="A238" s="2"/>
      <c r="B238" s="3" t="s">
        <v>47</v>
      </c>
      <c r="C238" s="3"/>
      <c r="D238" s="3"/>
      <c r="E238" s="3" t="s">
        <v>48</v>
      </c>
      <c r="F238" s="3"/>
      <c r="G238" s="3"/>
      <c r="H238" s="3" t="s">
        <v>49</v>
      </c>
      <c r="I238" s="3"/>
      <c r="J238" s="2"/>
    </row>
    <row r="239" spans="1:10" ht="14.25" customHeight="1">
      <c r="A239" s="184" t="s">
        <v>0</v>
      </c>
      <c r="B239" s="185"/>
      <c r="C239" s="185"/>
      <c r="D239" s="185"/>
      <c r="E239" s="185"/>
      <c r="F239" s="185"/>
      <c r="G239" s="185"/>
      <c r="H239" s="185"/>
      <c r="I239" s="185"/>
      <c r="J239" s="186"/>
    </row>
    <row r="240" spans="1:10" ht="14.25" customHeight="1">
      <c r="A240" s="187" t="s">
        <v>1</v>
      </c>
      <c r="B240" s="188"/>
      <c r="C240" s="188"/>
      <c r="D240" s="188"/>
      <c r="E240" s="188"/>
      <c r="F240" s="188"/>
      <c r="G240" s="188"/>
      <c r="H240" s="188"/>
      <c r="I240" s="188"/>
      <c r="J240" s="189"/>
    </row>
    <row r="241" spans="1:10" ht="14.25" customHeight="1">
      <c r="A241" s="1" t="s">
        <v>2</v>
      </c>
      <c r="B241" s="1"/>
      <c r="C241" s="190" t="s">
        <v>615</v>
      </c>
      <c r="D241" s="190"/>
      <c r="E241" s="2"/>
      <c r="F241" s="3"/>
      <c r="G241" s="1" t="s">
        <v>4</v>
      </c>
      <c r="H241" s="209" t="s">
        <v>143</v>
      </c>
      <c r="I241" s="209"/>
      <c r="J241" s="209"/>
    </row>
    <row r="242" spans="1:10" ht="14.25" customHeight="1">
      <c r="A242" s="1" t="s">
        <v>6</v>
      </c>
      <c r="B242" s="1"/>
      <c r="C242" s="25" t="s">
        <v>747</v>
      </c>
      <c r="D242" s="25"/>
      <c r="E242" s="2"/>
      <c r="F242" s="3"/>
      <c r="G242" s="1" t="s">
        <v>8</v>
      </c>
      <c r="H242" s="193" t="s">
        <v>9</v>
      </c>
      <c r="I242" s="193"/>
      <c r="J242" s="193"/>
    </row>
    <row r="243" spans="1:10" ht="14.25" customHeight="1">
      <c r="A243" s="6" t="s">
        <v>10</v>
      </c>
      <c r="B243" s="6"/>
      <c r="C243" s="6" t="s">
        <v>721</v>
      </c>
      <c r="D243" s="6"/>
      <c r="E243" s="2"/>
      <c r="F243" s="3"/>
      <c r="G243" s="1" t="s">
        <v>12</v>
      </c>
      <c r="H243" s="195" t="s">
        <v>13</v>
      </c>
      <c r="I243" s="195"/>
      <c r="J243" s="195"/>
    </row>
    <row r="244" spans="1:10" ht="14.25" customHeight="1">
      <c r="A244" s="2" t="s">
        <v>14</v>
      </c>
      <c r="B244" s="2"/>
      <c r="C244" s="2" t="s">
        <v>15</v>
      </c>
      <c r="D244" s="2"/>
      <c r="E244" s="2"/>
      <c r="F244" s="3"/>
      <c r="G244" s="1" t="s">
        <v>16</v>
      </c>
      <c r="H244" s="196" t="s">
        <v>140</v>
      </c>
      <c r="I244" s="196"/>
      <c r="J244" s="196"/>
    </row>
    <row r="245" spans="1:10" ht="14.25" customHeight="1">
      <c r="A245" s="2">
        <v>30</v>
      </c>
      <c r="B245" s="2"/>
      <c r="C245" s="2">
        <f>A245-H245</f>
        <v>20</v>
      </c>
      <c r="D245" s="2"/>
      <c r="E245" s="2"/>
      <c r="F245" s="3"/>
      <c r="G245" s="8" t="s">
        <v>18</v>
      </c>
      <c r="H245" s="197">
        <v>10</v>
      </c>
      <c r="I245" s="197"/>
      <c r="J245" s="197"/>
    </row>
    <row r="246" spans="1:10" ht="14.25" customHeight="1">
      <c r="A246" s="198" t="s">
        <v>19</v>
      </c>
      <c r="B246" s="199"/>
      <c r="C246" s="200"/>
      <c r="D246" s="13" t="s">
        <v>20</v>
      </c>
      <c r="E246" s="14" t="s">
        <v>21</v>
      </c>
      <c r="F246" s="15"/>
      <c r="G246" s="16" t="s">
        <v>20</v>
      </c>
      <c r="H246" s="201" t="s">
        <v>22</v>
      </c>
      <c r="I246" s="202"/>
      <c r="J246" s="203"/>
    </row>
    <row r="247" spans="1:10" ht="14.25" customHeight="1">
      <c r="A247" s="17" t="s">
        <v>23</v>
      </c>
      <c r="B247" s="1"/>
      <c r="C247" s="1"/>
      <c r="D247" s="28">
        <v>20000</v>
      </c>
      <c r="E247" s="17" t="s">
        <v>58</v>
      </c>
      <c r="F247" s="1"/>
      <c r="G247" s="2" t="s">
        <v>25</v>
      </c>
      <c r="H247" s="18" t="s">
        <v>26</v>
      </c>
      <c r="I247" s="23"/>
      <c r="J247" s="24"/>
    </row>
    <row r="248" spans="1:10" ht="14.25" customHeight="1">
      <c r="A248" s="17" t="s">
        <v>77</v>
      </c>
      <c r="B248" s="209"/>
      <c r="C248" s="209"/>
      <c r="D248" s="2" t="s">
        <v>25</v>
      </c>
      <c r="E248" s="17" t="s">
        <v>52</v>
      </c>
      <c r="F248" s="1"/>
      <c r="G248" s="2" t="s">
        <v>25</v>
      </c>
      <c r="H248" s="18" t="s">
        <v>29</v>
      </c>
      <c r="I248" s="23"/>
      <c r="J248" s="24"/>
    </row>
    <row r="249" spans="1:10" ht="14.25" customHeight="1">
      <c r="A249" s="17" t="s">
        <v>30</v>
      </c>
      <c r="B249" s="6"/>
      <c r="C249" s="6"/>
      <c r="D249" s="2" t="s">
        <v>25</v>
      </c>
      <c r="E249" s="17" t="s">
        <v>83</v>
      </c>
      <c r="F249" s="1"/>
      <c r="G249" s="2">
        <v>6567</v>
      </c>
      <c r="H249" s="18" t="s">
        <v>32</v>
      </c>
      <c r="I249" s="23"/>
      <c r="J249" s="24"/>
    </row>
    <row r="250" spans="1:10" ht="14.25" customHeight="1">
      <c r="A250" s="17" t="s">
        <v>147</v>
      </c>
      <c r="B250" s="1"/>
      <c r="C250" s="1"/>
      <c r="D250" s="2" t="s">
        <v>25</v>
      </c>
      <c r="E250" s="17" t="s">
        <v>35</v>
      </c>
      <c r="F250" s="1"/>
      <c r="G250" s="2">
        <v>13333</v>
      </c>
      <c r="H250" s="18"/>
      <c r="I250" s="6"/>
      <c r="J250" s="19"/>
    </row>
    <row r="251" spans="1:10" ht="14.25" customHeight="1">
      <c r="A251" s="17" t="s">
        <v>72</v>
      </c>
      <c r="B251" s="1"/>
      <c r="C251" s="1"/>
      <c r="D251" s="2" t="s">
        <v>25</v>
      </c>
      <c r="E251" s="17" t="s">
        <v>61</v>
      </c>
      <c r="F251" s="1"/>
      <c r="G251" s="2" t="s">
        <v>25</v>
      </c>
      <c r="H251" s="18"/>
      <c r="I251" s="6"/>
      <c r="J251" s="19"/>
    </row>
    <row r="252" spans="1:10" ht="14.25" customHeight="1">
      <c r="A252" s="17" t="s">
        <v>147</v>
      </c>
      <c r="B252" s="1"/>
      <c r="C252" s="1"/>
      <c r="D252" s="2" t="s">
        <v>25</v>
      </c>
      <c r="E252" s="17" t="s">
        <v>39</v>
      </c>
      <c r="F252" s="1"/>
      <c r="G252" s="2">
        <v>100</v>
      </c>
      <c r="H252" s="18"/>
      <c r="I252" s="6"/>
      <c r="J252" s="19"/>
    </row>
    <row r="253" spans="1:10" ht="14.25" customHeight="1">
      <c r="A253" s="18" t="s">
        <v>40</v>
      </c>
      <c r="B253" s="6"/>
      <c r="C253" s="6"/>
      <c r="D253" s="2" t="s">
        <v>25</v>
      </c>
      <c r="E253" s="17" t="s">
        <v>78</v>
      </c>
      <c r="F253" s="1"/>
      <c r="G253" s="2" t="s">
        <v>25</v>
      </c>
      <c r="H253" s="18"/>
      <c r="I253" s="6"/>
      <c r="J253" s="19"/>
    </row>
    <row r="254" spans="1:10" ht="14.25" customHeight="1">
      <c r="A254" s="204" t="s">
        <v>63</v>
      </c>
      <c r="B254" s="205"/>
      <c r="C254" s="206"/>
      <c r="D254" s="229">
        <f>SUM(D247:D253)</f>
        <v>20000</v>
      </c>
      <c r="E254" s="1" t="s">
        <v>283</v>
      </c>
      <c r="F254" s="1"/>
      <c r="G254" s="2" t="s">
        <v>25</v>
      </c>
      <c r="H254" s="18"/>
      <c r="I254" s="6"/>
      <c r="J254" s="19"/>
    </row>
    <row r="255" spans="1:10" ht="14.25" customHeight="1">
      <c r="A255" s="207"/>
      <c r="B255" s="197"/>
      <c r="C255" s="208"/>
      <c r="D255" s="230"/>
      <c r="E255" s="21" t="s">
        <v>21</v>
      </c>
      <c r="F255" s="22"/>
      <c r="G255" s="13">
        <f>SUM(G247:G254)</f>
        <v>20000</v>
      </c>
      <c r="H255" s="21" t="s">
        <v>44</v>
      </c>
      <c r="I255" s="22"/>
      <c r="J255" s="13">
        <f>D254-G255</f>
        <v>0</v>
      </c>
    </row>
    <row r="256" spans="1:10" ht="14.25" customHeight="1">
      <c r="A256" s="3" t="s">
        <v>45</v>
      </c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9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4.25" customHeight="1">
      <c r="A258" s="3"/>
      <c r="B258" s="3" t="s">
        <v>47</v>
      </c>
      <c r="C258" s="3"/>
      <c r="D258" s="3"/>
      <c r="E258" s="3" t="s">
        <v>48</v>
      </c>
      <c r="F258" s="3"/>
      <c r="G258" s="3"/>
      <c r="H258" s="3" t="s">
        <v>49</v>
      </c>
      <c r="I258" s="3"/>
      <c r="J258" s="3"/>
    </row>
    <row r="259" spans="1:10" ht="14.25" customHeight="1">
      <c r="A259" s="184" t="s">
        <v>0</v>
      </c>
      <c r="B259" s="185"/>
      <c r="C259" s="185"/>
      <c r="D259" s="185"/>
      <c r="E259" s="185"/>
      <c r="F259" s="185"/>
      <c r="G259" s="185"/>
      <c r="H259" s="185"/>
      <c r="I259" s="185"/>
      <c r="J259" s="186"/>
    </row>
    <row r="260" spans="1:10" ht="14.25" customHeight="1">
      <c r="A260" s="187" t="s">
        <v>1</v>
      </c>
      <c r="B260" s="188"/>
      <c r="C260" s="188"/>
      <c r="D260" s="188"/>
      <c r="E260" s="188"/>
      <c r="F260" s="188"/>
      <c r="G260" s="188"/>
      <c r="H260" s="188"/>
      <c r="I260" s="188"/>
      <c r="J260" s="189"/>
    </row>
    <row r="261" spans="1:10" ht="14.25" customHeight="1">
      <c r="A261" s="1" t="s">
        <v>2</v>
      </c>
      <c r="B261" s="1"/>
      <c r="C261" s="194" t="s">
        <v>748</v>
      </c>
      <c r="D261" s="194"/>
      <c r="E261" s="2"/>
      <c r="F261" s="3"/>
      <c r="G261" s="1" t="s">
        <v>4</v>
      </c>
      <c r="H261" s="209" t="s">
        <v>143</v>
      </c>
      <c r="I261" s="209"/>
      <c r="J261" s="209"/>
    </row>
    <row r="262" spans="1:10" ht="14.25" customHeight="1">
      <c r="A262" s="1" t="s">
        <v>6</v>
      </c>
      <c r="B262" s="1"/>
      <c r="C262" s="25" t="s">
        <v>752</v>
      </c>
      <c r="D262" s="25"/>
      <c r="E262" s="2"/>
      <c r="F262" s="3"/>
      <c r="G262" s="1" t="s">
        <v>8</v>
      </c>
      <c r="H262" s="193" t="s">
        <v>9</v>
      </c>
      <c r="I262" s="193"/>
      <c r="J262" s="193"/>
    </row>
    <row r="263" spans="1:10" ht="14.25" customHeight="1">
      <c r="A263" s="6" t="s">
        <v>10</v>
      </c>
      <c r="B263" s="6"/>
      <c r="C263" s="194" t="s">
        <v>721</v>
      </c>
      <c r="D263" s="194"/>
      <c r="E263" s="2"/>
      <c r="F263" s="3"/>
      <c r="G263" s="1" t="s">
        <v>12</v>
      </c>
      <c r="H263" s="195" t="s">
        <v>13</v>
      </c>
      <c r="I263" s="195"/>
      <c r="J263" s="195"/>
    </row>
    <row r="264" spans="1:10" ht="14.25" customHeight="1">
      <c r="A264" s="2" t="s">
        <v>14</v>
      </c>
      <c r="B264" s="2"/>
      <c r="C264" s="1" t="s">
        <v>15</v>
      </c>
      <c r="D264" s="1"/>
      <c r="E264" s="2"/>
      <c r="F264" s="3"/>
      <c r="G264" s="1" t="s">
        <v>16</v>
      </c>
      <c r="H264" s="209" t="s">
        <v>140</v>
      </c>
      <c r="I264" s="209"/>
      <c r="J264" s="209"/>
    </row>
    <row r="265" spans="1:10" ht="14.25" customHeight="1">
      <c r="A265" s="2">
        <v>30</v>
      </c>
      <c r="B265" s="2"/>
      <c r="C265" s="2">
        <f>A265-H265</f>
        <v>9</v>
      </c>
      <c r="D265" s="2"/>
      <c r="E265" s="2"/>
      <c r="F265" s="3"/>
      <c r="G265" s="8" t="s">
        <v>18</v>
      </c>
      <c r="H265" s="197">
        <v>21</v>
      </c>
      <c r="I265" s="197"/>
      <c r="J265" s="197"/>
    </row>
    <row r="266" spans="1:10" ht="14.25" customHeight="1">
      <c r="A266" s="198" t="s">
        <v>19</v>
      </c>
      <c r="B266" s="199"/>
      <c r="C266" s="200"/>
      <c r="D266" s="13" t="s">
        <v>20</v>
      </c>
      <c r="E266" s="14" t="s">
        <v>21</v>
      </c>
      <c r="F266" s="15"/>
      <c r="G266" s="16" t="s">
        <v>20</v>
      </c>
      <c r="H266" s="201" t="s">
        <v>22</v>
      </c>
      <c r="I266" s="202"/>
      <c r="J266" s="203"/>
    </row>
    <row r="267" spans="1:10" ht="14.25" customHeight="1">
      <c r="A267" s="17" t="s">
        <v>56</v>
      </c>
      <c r="B267" s="1"/>
      <c r="C267" s="1"/>
      <c r="D267" s="2">
        <v>18000</v>
      </c>
      <c r="E267" s="17" t="s">
        <v>58</v>
      </c>
      <c r="F267" s="1"/>
      <c r="G267" s="2" t="s">
        <v>25</v>
      </c>
      <c r="H267" s="18" t="s">
        <v>502</v>
      </c>
      <c r="I267" s="6"/>
      <c r="J267" s="19"/>
    </row>
    <row r="268" spans="1:10" ht="14.25" customHeight="1">
      <c r="A268" s="17" t="s">
        <v>57</v>
      </c>
      <c r="B268" s="209"/>
      <c r="C268" s="209"/>
      <c r="D268" s="2" t="s">
        <v>25</v>
      </c>
      <c r="E268" s="17" t="s">
        <v>751</v>
      </c>
      <c r="F268" s="1"/>
      <c r="G268" s="2" t="s">
        <v>25</v>
      </c>
      <c r="H268" s="18" t="s">
        <v>504</v>
      </c>
      <c r="I268" s="6"/>
      <c r="J268" s="19"/>
    </row>
    <row r="269" spans="1:10" ht="14.25" customHeight="1">
      <c r="A269" s="17" t="s">
        <v>30</v>
      </c>
      <c r="B269" s="1"/>
      <c r="C269" s="1"/>
      <c r="D269" s="2">
        <v>2000</v>
      </c>
      <c r="E269" s="17" t="s">
        <v>83</v>
      </c>
      <c r="F269" s="1"/>
      <c r="G269" s="2">
        <v>2857</v>
      </c>
      <c r="H269" s="18" t="s">
        <v>32</v>
      </c>
      <c r="I269" s="6"/>
      <c r="J269" s="19"/>
    </row>
    <row r="270" spans="1:10" ht="14.25" customHeight="1">
      <c r="A270" s="17" t="s">
        <v>629</v>
      </c>
      <c r="B270" s="1"/>
      <c r="C270" s="1"/>
      <c r="D270" s="2" t="s">
        <v>25</v>
      </c>
      <c r="E270" s="17" t="s">
        <v>35</v>
      </c>
      <c r="F270" s="1"/>
      <c r="G270" s="2">
        <v>5400</v>
      </c>
      <c r="H270" s="18"/>
      <c r="I270" s="6"/>
      <c r="J270" s="19"/>
    </row>
    <row r="271" spans="1:10" ht="14.25" customHeight="1">
      <c r="A271" s="17" t="s">
        <v>147</v>
      </c>
      <c r="B271" s="1"/>
      <c r="C271" s="1"/>
      <c r="D271" s="2" t="s">
        <v>25</v>
      </c>
      <c r="E271" s="17" t="s">
        <v>61</v>
      </c>
      <c r="F271" s="1"/>
      <c r="G271" s="2" t="s">
        <v>25</v>
      </c>
      <c r="H271" s="18"/>
      <c r="I271" s="6"/>
      <c r="J271" s="19"/>
    </row>
    <row r="272" spans="1:10" ht="14.25" customHeight="1">
      <c r="A272" s="17" t="s">
        <v>27</v>
      </c>
      <c r="B272" s="1"/>
      <c r="C272" s="1"/>
      <c r="D272" s="2" t="s">
        <v>25</v>
      </c>
      <c r="E272" s="17" t="s">
        <v>39</v>
      </c>
      <c r="F272" s="1"/>
      <c r="G272" s="2">
        <v>100</v>
      </c>
      <c r="H272" s="18"/>
      <c r="I272" s="6"/>
      <c r="J272" s="19"/>
    </row>
    <row r="273" spans="1:10" ht="14.25" customHeight="1">
      <c r="A273" s="18" t="s">
        <v>40</v>
      </c>
      <c r="B273" s="6"/>
      <c r="C273" s="6"/>
      <c r="D273" s="2" t="s">
        <v>25</v>
      </c>
      <c r="E273" s="17" t="s">
        <v>78</v>
      </c>
      <c r="F273" s="1"/>
      <c r="G273" s="2" t="s">
        <v>25</v>
      </c>
      <c r="H273" s="18"/>
      <c r="I273" s="6"/>
      <c r="J273" s="19"/>
    </row>
    <row r="274" spans="1:10" ht="14.25" customHeight="1">
      <c r="A274" s="204" t="s">
        <v>63</v>
      </c>
      <c r="B274" s="205"/>
      <c r="C274" s="206"/>
      <c r="D274" s="229">
        <f>SUM(D267:D273)</f>
        <v>20000</v>
      </c>
      <c r="E274" s="1" t="s">
        <v>43</v>
      </c>
      <c r="F274" s="1"/>
      <c r="G274" s="2" t="s">
        <v>25</v>
      </c>
      <c r="H274" s="18"/>
      <c r="I274" s="6"/>
      <c r="J274" s="19"/>
    </row>
    <row r="275" spans="1:10" ht="14.25" customHeight="1">
      <c r="A275" s="207"/>
      <c r="B275" s="197"/>
      <c r="C275" s="208"/>
      <c r="D275" s="230"/>
      <c r="E275" s="21" t="s">
        <v>21</v>
      </c>
      <c r="F275" s="22"/>
      <c r="G275" s="13">
        <f>SUM(G267:G274)</f>
        <v>8357</v>
      </c>
      <c r="H275" s="21" t="s">
        <v>44</v>
      </c>
      <c r="I275" s="22"/>
      <c r="J275" s="13">
        <f>D274-G275</f>
        <v>11643</v>
      </c>
    </row>
    <row r="276" spans="1:10" ht="14.25" customHeight="1">
      <c r="A276" s="3" t="s">
        <v>45</v>
      </c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4.25" customHeight="1">
      <c r="A278" s="3"/>
      <c r="B278" s="3" t="s">
        <v>47</v>
      </c>
      <c r="C278" s="3"/>
      <c r="D278" s="3"/>
      <c r="E278" s="3" t="s">
        <v>48</v>
      </c>
      <c r="F278" s="3"/>
      <c r="G278" s="3"/>
      <c r="H278" s="3" t="s">
        <v>49</v>
      </c>
      <c r="I278" s="3"/>
      <c r="J278" s="3"/>
    </row>
    <row r="279" spans="1:10" ht="14.25" customHeight="1">
      <c r="A279" s="184" t="s">
        <v>0</v>
      </c>
      <c r="B279" s="185"/>
      <c r="C279" s="185"/>
      <c r="D279" s="185"/>
      <c r="E279" s="185"/>
      <c r="F279" s="185"/>
      <c r="G279" s="185"/>
      <c r="H279" s="185"/>
      <c r="I279" s="185"/>
      <c r="J279" s="186"/>
    </row>
    <row r="280" spans="1:10" ht="14.25" customHeight="1">
      <c r="A280" s="187" t="s">
        <v>1</v>
      </c>
      <c r="B280" s="188"/>
      <c r="C280" s="188"/>
      <c r="D280" s="188"/>
      <c r="E280" s="188"/>
      <c r="F280" s="188"/>
      <c r="G280" s="188"/>
      <c r="H280" s="188"/>
      <c r="I280" s="188"/>
      <c r="J280" s="189"/>
    </row>
    <row r="281" spans="1:10" ht="14.25" customHeight="1">
      <c r="A281" s="1" t="s">
        <v>2</v>
      </c>
      <c r="B281" s="1"/>
      <c r="C281" s="194" t="s">
        <v>748</v>
      </c>
      <c r="D281" s="194"/>
      <c r="E281" s="2"/>
      <c r="F281" s="3"/>
      <c r="G281" s="1" t="s">
        <v>4</v>
      </c>
      <c r="H281" s="209" t="s">
        <v>182</v>
      </c>
      <c r="I281" s="209"/>
      <c r="J281" s="209"/>
    </row>
    <row r="282" spans="1:10" ht="14.25" customHeight="1">
      <c r="A282" s="1" t="s">
        <v>6</v>
      </c>
      <c r="B282" s="1"/>
      <c r="C282" s="25" t="s">
        <v>749</v>
      </c>
      <c r="D282" s="25"/>
      <c r="E282" s="2"/>
      <c r="F282" s="3"/>
      <c r="G282" s="1" t="s">
        <v>8</v>
      </c>
      <c r="H282" s="193" t="s">
        <v>9</v>
      </c>
      <c r="I282" s="193"/>
      <c r="J282" s="193"/>
    </row>
    <row r="283" spans="1:10" ht="14.25" customHeight="1">
      <c r="A283" s="6" t="s">
        <v>10</v>
      </c>
      <c r="B283" s="6"/>
      <c r="C283" s="194" t="s">
        <v>750</v>
      </c>
      <c r="D283" s="194"/>
      <c r="E283" s="2"/>
      <c r="F283" s="3"/>
      <c r="G283" s="1" t="s">
        <v>12</v>
      </c>
      <c r="H283" s="195" t="s">
        <v>13</v>
      </c>
      <c r="I283" s="195"/>
      <c r="J283" s="195"/>
    </row>
    <row r="284" spans="1:10" ht="14.25" customHeight="1">
      <c r="A284" s="2" t="s">
        <v>14</v>
      </c>
      <c r="B284" s="2"/>
      <c r="C284" s="1" t="s">
        <v>15</v>
      </c>
      <c r="D284" s="1"/>
      <c r="E284" s="2"/>
      <c r="F284" s="3"/>
      <c r="G284" s="1" t="s">
        <v>16</v>
      </c>
      <c r="H284" s="209" t="s">
        <v>55</v>
      </c>
      <c r="I284" s="209"/>
      <c r="J284" s="209"/>
    </row>
    <row r="285" spans="1:10" ht="14.25" customHeight="1">
      <c r="A285" s="2">
        <v>30</v>
      </c>
      <c r="B285" s="2"/>
      <c r="C285" s="2">
        <f>A285-H285</f>
        <v>2</v>
      </c>
      <c r="D285" s="2"/>
      <c r="E285" s="2"/>
      <c r="F285" s="3"/>
      <c r="G285" s="8" t="s">
        <v>18</v>
      </c>
      <c r="H285" s="197">
        <v>28</v>
      </c>
      <c r="I285" s="197"/>
      <c r="J285" s="197"/>
    </row>
    <row r="286" spans="1:10" ht="14.25" customHeight="1">
      <c r="A286" s="198" t="s">
        <v>19</v>
      </c>
      <c r="B286" s="199"/>
      <c r="C286" s="200"/>
      <c r="D286" s="13" t="s">
        <v>20</v>
      </c>
      <c r="E286" s="14" t="s">
        <v>21</v>
      </c>
      <c r="F286" s="15"/>
      <c r="G286" s="16" t="s">
        <v>20</v>
      </c>
      <c r="H286" s="201" t="s">
        <v>22</v>
      </c>
      <c r="I286" s="202"/>
      <c r="J286" s="203"/>
    </row>
    <row r="287" spans="1:10" ht="14.25" customHeight="1">
      <c r="A287" s="17" t="s">
        <v>56</v>
      </c>
      <c r="B287" s="1"/>
      <c r="C287" s="1"/>
      <c r="D287" s="2">
        <v>20000</v>
      </c>
      <c r="E287" s="17" t="s">
        <v>58</v>
      </c>
      <c r="F287" s="1"/>
      <c r="G287" s="2" t="s">
        <v>25</v>
      </c>
      <c r="H287" s="18" t="s">
        <v>502</v>
      </c>
      <c r="I287" s="6"/>
      <c r="J287" s="19"/>
    </row>
    <row r="288" spans="1:10" ht="14.25" customHeight="1">
      <c r="A288" s="17" t="s">
        <v>57</v>
      </c>
      <c r="B288" s="209"/>
      <c r="C288" s="209"/>
      <c r="D288" s="2" t="s">
        <v>25</v>
      </c>
      <c r="E288" s="17" t="s">
        <v>751</v>
      </c>
      <c r="F288" s="1"/>
      <c r="G288" s="2" t="s">
        <v>25</v>
      </c>
      <c r="H288" s="18" t="s">
        <v>504</v>
      </c>
      <c r="I288" s="6"/>
      <c r="J288" s="19"/>
    </row>
    <row r="289" spans="1:10" ht="14.25" customHeight="1">
      <c r="A289" s="17" t="s">
        <v>30</v>
      </c>
      <c r="B289" s="1"/>
      <c r="C289" s="1"/>
      <c r="D289" s="2">
        <v>1333</v>
      </c>
      <c r="E289" s="17" t="s">
        <v>83</v>
      </c>
      <c r="F289" s="1"/>
      <c r="G289" s="2" t="s">
        <v>25</v>
      </c>
      <c r="H289" s="18" t="s">
        <v>32</v>
      </c>
      <c r="I289" s="6"/>
      <c r="J289" s="19"/>
    </row>
    <row r="290" spans="1:10" ht="14.25" customHeight="1">
      <c r="A290" s="17" t="s">
        <v>629</v>
      </c>
      <c r="B290" s="1"/>
      <c r="C290" s="1"/>
      <c r="D290" s="2">
        <v>5000</v>
      </c>
      <c r="E290" s="17" t="s">
        <v>35</v>
      </c>
      <c r="F290" s="1"/>
      <c r="G290" s="2" t="s">
        <v>25</v>
      </c>
      <c r="H290" s="18"/>
      <c r="I290" s="6"/>
      <c r="J290" s="19"/>
    </row>
    <row r="291" spans="1:10" ht="14.25" customHeight="1">
      <c r="A291" s="17" t="s">
        <v>147</v>
      </c>
      <c r="B291" s="1"/>
      <c r="C291" s="1"/>
      <c r="D291" s="2" t="s">
        <v>25</v>
      </c>
      <c r="E291" s="17" t="s">
        <v>61</v>
      </c>
      <c r="F291" s="1"/>
      <c r="G291" s="2">
        <v>200</v>
      </c>
      <c r="H291" s="18"/>
      <c r="I291" s="6"/>
      <c r="J291" s="19"/>
    </row>
    <row r="292" spans="1:10" ht="14.25" customHeight="1">
      <c r="A292" s="17" t="s">
        <v>27</v>
      </c>
      <c r="B292" s="1"/>
      <c r="C292" s="1"/>
      <c r="D292" s="2" t="s">
        <v>25</v>
      </c>
      <c r="E292" s="17" t="s">
        <v>39</v>
      </c>
      <c r="F292" s="1"/>
      <c r="G292" s="2">
        <v>100</v>
      </c>
      <c r="H292" s="18"/>
      <c r="I292" s="6"/>
      <c r="J292" s="19"/>
    </row>
    <row r="293" spans="1:10" ht="14.25" customHeight="1">
      <c r="A293" s="18" t="s">
        <v>40</v>
      </c>
      <c r="B293" s="6"/>
      <c r="C293" s="6"/>
      <c r="D293" s="2" t="s">
        <v>25</v>
      </c>
      <c r="E293" s="17" t="s">
        <v>78</v>
      </c>
      <c r="F293" s="1"/>
      <c r="G293" s="2" t="s">
        <v>25</v>
      </c>
      <c r="H293" s="18"/>
      <c r="I293" s="6"/>
      <c r="J293" s="19"/>
    </row>
    <row r="294" spans="1:10" ht="14.25" customHeight="1">
      <c r="A294" s="204" t="s">
        <v>63</v>
      </c>
      <c r="B294" s="205"/>
      <c r="C294" s="206"/>
      <c r="D294" s="229">
        <f>SUM(D287:D293)</f>
        <v>26333</v>
      </c>
      <c r="E294" s="1" t="s">
        <v>43</v>
      </c>
      <c r="F294" s="1"/>
      <c r="G294" s="2" t="s">
        <v>25</v>
      </c>
      <c r="H294" s="18"/>
      <c r="I294" s="6"/>
      <c r="J294" s="19"/>
    </row>
    <row r="295" spans="1:10" ht="14.25" customHeight="1">
      <c r="A295" s="207"/>
      <c r="B295" s="197"/>
      <c r="C295" s="208"/>
      <c r="D295" s="230"/>
      <c r="E295" s="21" t="s">
        <v>21</v>
      </c>
      <c r="F295" s="22"/>
      <c r="G295" s="13">
        <f>SUM(G287:G294)</f>
        <v>300</v>
      </c>
      <c r="H295" s="21" t="s">
        <v>44</v>
      </c>
      <c r="I295" s="22"/>
      <c r="J295" s="13">
        <f>D294-G295</f>
        <v>26033</v>
      </c>
    </row>
    <row r="296" spans="1:10" ht="14.25" customHeight="1">
      <c r="A296" s="3" t="s">
        <v>45</v>
      </c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4.25" customHeight="1">
      <c r="A298" s="3"/>
      <c r="B298" s="3" t="s">
        <v>47</v>
      </c>
      <c r="C298" s="3"/>
      <c r="D298" s="3"/>
      <c r="E298" s="3" t="s">
        <v>48</v>
      </c>
      <c r="F298" s="3"/>
      <c r="G298" s="3"/>
      <c r="H298" s="3" t="s">
        <v>49</v>
      </c>
      <c r="I298" s="3"/>
      <c r="J298" s="3"/>
    </row>
    <row r="299" spans="1:10" ht="14.25" customHeight="1">
      <c r="A299" s="184" t="s">
        <v>0</v>
      </c>
      <c r="B299" s="185"/>
      <c r="C299" s="185"/>
      <c r="D299" s="185"/>
      <c r="E299" s="185"/>
      <c r="F299" s="185"/>
      <c r="G299" s="185"/>
      <c r="H299" s="185"/>
      <c r="I299" s="185"/>
      <c r="J299" s="186"/>
    </row>
    <row r="300" spans="1:10" ht="14.25" customHeight="1">
      <c r="A300" s="187" t="s">
        <v>1</v>
      </c>
      <c r="B300" s="188"/>
      <c r="C300" s="188"/>
      <c r="D300" s="188"/>
      <c r="E300" s="188"/>
      <c r="F300" s="188"/>
      <c r="G300" s="188"/>
      <c r="H300" s="188"/>
      <c r="I300" s="188"/>
      <c r="J300" s="189"/>
    </row>
    <row r="301" spans="1:10" ht="14.25" customHeight="1">
      <c r="A301" s="1" t="s">
        <v>2</v>
      </c>
      <c r="B301" s="1"/>
      <c r="C301" s="209"/>
      <c r="D301" s="209"/>
      <c r="E301" s="2"/>
      <c r="F301" s="3"/>
      <c r="G301" s="1" t="s">
        <v>4</v>
      </c>
      <c r="H301" s="209" t="s">
        <v>182</v>
      </c>
      <c r="I301" s="209"/>
      <c r="J301" s="209"/>
    </row>
    <row r="302" spans="1:10" ht="14.25" customHeight="1">
      <c r="A302" s="1" t="s">
        <v>6</v>
      </c>
      <c r="B302" s="1"/>
      <c r="C302" s="25" t="s">
        <v>753</v>
      </c>
      <c r="D302" s="25"/>
      <c r="E302" s="2"/>
      <c r="F302" s="3"/>
      <c r="G302" s="1" t="s">
        <v>8</v>
      </c>
      <c r="H302" s="193" t="s">
        <v>9</v>
      </c>
      <c r="I302" s="193"/>
      <c r="J302" s="193"/>
    </row>
    <row r="303" spans="1:10" ht="14.25" customHeight="1">
      <c r="A303" s="6" t="s">
        <v>10</v>
      </c>
      <c r="B303" s="6"/>
      <c r="C303" s="6" t="s">
        <v>721</v>
      </c>
      <c r="D303" s="6"/>
      <c r="E303" s="2"/>
      <c r="F303" s="3"/>
      <c r="G303" s="1" t="s">
        <v>12</v>
      </c>
      <c r="H303" s="195" t="s">
        <v>13</v>
      </c>
      <c r="I303" s="195"/>
      <c r="J303" s="195"/>
    </row>
    <row r="304" spans="1:10" ht="14.25" customHeight="1">
      <c r="A304" s="6" t="s">
        <v>14</v>
      </c>
      <c r="B304" s="6"/>
      <c r="C304" s="2" t="s">
        <v>15</v>
      </c>
      <c r="D304" s="2"/>
      <c r="E304" s="36"/>
      <c r="F304" s="3"/>
      <c r="G304" s="1" t="s">
        <v>16</v>
      </c>
      <c r="H304" s="196" t="s">
        <v>140</v>
      </c>
      <c r="I304" s="196"/>
      <c r="J304" s="196"/>
    </row>
    <row r="305" spans="1:10" ht="14.25" customHeight="1">
      <c r="A305" s="6">
        <v>30</v>
      </c>
      <c r="B305" s="6"/>
      <c r="C305" s="2">
        <f>A305-I305</f>
        <v>2</v>
      </c>
      <c r="D305" s="2"/>
      <c r="E305" s="2"/>
      <c r="F305" s="3"/>
      <c r="G305" s="8" t="s">
        <v>18</v>
      </c>
      <c r="H305" s="8"/>
      <c r="I305" s="9">
        <v>28</v>
      </c>
      <c r="J305" s="9"/>
    </row>
    <row r="306" spans="1:10" ht="14.25" customHeight="1">
      <c r="A306" s="198" t="s">
        <v>19</v>
      </c>
      <c r="B306" s="199"/>
      <c r="C306" s="200"/>
      <c r="D306" s="13" t="s">
        <v>20</v>
      </c>
      <c r="E306" s="14" t="s">
        <v>21</v>
      </c>
      <c r="F306" s="15"/>
      <c r="G306" s="16" t="s">
        <v>20</v>
      </c>
      <c r="H306" s="201" t="s">
        <v>22</v>
      </c>
      <c r="I306" s="202"/>
      <c r="J306" s="203"/>
    </row>
    <row r="307" spans="1:10" ht="14.25" customHeight="1">
      <c r="A307" s="17" t="s">
        <v>23</v>
      </c>
      <c r="B307" s="1"/>
      <c r="C307" s="1"/>
      <c r="D307" s="2">
        <v>20000</v>
      </c>
      <c r="E307" s="17" t="s">
        <v>394</v>
      </c>
      <c r="F307" s="1"/>
      <c r="G307" s="2" t="s">
        <v>25</v>
      </c>
      <c r="H307" s="18" t="s">
        <v>502</v>
      </c>
      <c r="I307" s="6"/>
      <c r="J307" s="19"/>
    </row>
    <row r="308" spans="1:10" ht="14.25" customHeight="1">
      <c r="A308" s="17" t="s">
        <v>77</v>
      </c>
      <c r="B308" s="209" t="s">
        <v>320</v>
      </c>
      <c r="C308" s="209"/>
      <c r="D308" s="2">
        <v>1333</v>
      </c>
      <c r="E308" s="17" t="s">
        <v>58</v>
      </c>
      <c r="F308" s="1"/>
      <c r="G308" s="2" t="s">
        <v>25</v>
      </c>
      <c r="H308" s="18" t="s">
        <v>504</v>
      </c>
      <c r="I308" s="6"/>
      <c r="J308" s="19"/>
    </row>
    <row r="309" spans="1:10" ht="14.25" customHeight="1">
      <c r="A309" s="17" t="s">
        <v>30</v>
      </c>
      <c r="B309" s="1"/>
      <c r="C309" s="1"/>
      <c r="D309" s="2">
        <v>1000</v>
      </c>
      <c r="E309" s="172" t="s">
        <v>83</v>
      </c>
      <c r="F309" s="1"/>
      <c r="G309" s="2" t="s">
        <v>25</v>
      </c>
      <c r="H309" s="18" t="s">
        <v>32</v>
      </c>
      <c r="I309" s="6"/>
      <c r="J309" s="19"/>
    </row>
    <row r="310" spans="1:10" ht="14.25" customHeight="1">
      <c r="A310" s="17" t="s">
        <v>629</v>
      </c>
      <c r="B310" s="1"/>
      <c r="C310" s="1"/>
      <c r="D310" s="2" t="s">
        <v>25</v>
      </c>
      <c r="E310" s="17" t="s">
        <v>35</v>
      </c>
      <c r="F310" s="1"/>
      <c r="G310" s="2">
        <v>1333</v>
      </c>
      <c r="H310" s="18"/>
      <c r="I310" s="6"/>
      <c r="J310" s="19"/>
    </row>
    <row r="311" spans="1:10" ht="14.25" customHeight="1">
      <c r="A311" s="17" t="s">
        <v>321</v>
      </c>
      <c r="B311" s="1"/>
      <c r="C311" s="1"/>
      <c r="D311" s="2" t="s">
        <v>25</v>
      </c>
      <c r="E311" s="17" t="s">
        <v>141</v>
      </c>
      <c r="F311" s="1"/>
      <c r="G311" s="2" t="s">
        <v>25</v>
      </c>
      <c r="H311" s="18" t="s">
        <v>754</v>
      </c>
      <c r="I311" s="6"/>
      <c r="J311" s="26"/>
    </row>
    <row r="312" spans="1:10" ht="14.25" customHeight="1">
      <c r="A312" s="17" t="s">
        <v>663</v>
      </c>
      <c r="B312" s="1"/>
      <c r="C312" s="1"/>
      <c r="D312" s="2" t="s">
        <v>25</v>
      </c>
      <c r="E312" s="17" t="s">
        <v>39</v>
      </c>
      <c r="F312" s="1"/>
      <c r="G312" s="2">
        <v>100</v>
      </c>
      <c r="H312" s="18" t="s">
        <v>755</v>
      </c>
      <c r="I312" s="6"/>
      <c r="J312" s="26"/>
    </row>
    <row r="313" spans="1:10" ht="14.25" customHeight="1">
      <c r="A313" s="18" t="s">
        <v>40</v>
      </c>
      <c r="B313" s="6"/>
      <c r="C313" s="6"/>
      <c r="D313" s="2" t="s">
        <v>25</v>
      </c>
      <c r="E313" s="17" t="s">
        <v>61</v>
      </c>
      <c r="F313" s="1"/>
      <c r="G313" s="2" t="s">
        <v>25</v>
      </c>
      <c r="H313" s="18"/>
      <c r="I313" s="6"/>
      <c r="J313" s="19"/>
    </row>
    <row r="314" spans="1:10" ht="14.25" customHeight="1">
      <c r="A314" s="204" t="s">
        <v>63</v>
      </c>
      <c r="B314" s="205"/>
      <c r="C314" s="206"/>
      <c r="D314" s="229">
        <f>SUM(D307:D313)</f>
        <v>22333</v>
      </c>
      <c r="E314" s="1" t="s">
        <v>78</v>
      </c>
      <c r="F314" s="1"/>
      <c r="G314" s="2" t="s">
        <v>25</v>
      </c>
      <c r="H314" s="18"/>
      <c r="I314" s="6"/>
      <c r="J314" s="19"/>
    </row>
    <row r="315" spans="1:10" ht="14.25" customHeight="1">
      <c r="A315" s="207"/>
      <c r="B315" s="197"/>
      <c r="C315" s="208"/>
      <c r="D315" s="230"/>
      <c r="E315" s="21" t="s">
        <v>21</v>
      </c>
      <c r="F315" s="22"/>
      <c r="G315" s="13">
        <f>SUM(G307:G314)</f>
        <v>1433</v>
      </c>
      <c r="H315" s="21" t="s">
        <v>44</v>
      </c>
      <c r="I315" s="22"/>
      <c r="J315" s="13">
        <f>D314-G315</f>
        <v>20900</v>
      </c>
    </row>
    <row r="316" spans="1:10" ht="14.25" customHeight="1">
      <c r="A316" s="3" t="s">
        <v>45</v>
      </c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4.25" customHeight="1">
      <c r="A317" s="3"/>
      <c r="B317" s="3" t="s">
        <v>47</v>
      </c>
      <c r="C317" s="3"/>
      <c r="D317" s="3"/>
      <c r="E317" s="3" t="s">
        <v>48</v>
      </c>
      <c r="F317" s="3"/>
      <c r="G317" s="3"/>
      <c r="H317" s="3" t="s">
        <v>49</v>
      </c>
      <c r="I317" s="3"/>
      <c r="J317" s="3"/>
    </row>
    <row r="318" spans="1:10" ht="14.25" customHeight="1"/>
    <row r="319" spans="1:10" ht="14.25" customHeight="1">
      <c r="A319" s="184" t="s">
        <v>0</v>
      </c>
      <c r="B319" s="185"/>
      <c r="C319" s="185"/>
      <c r="D319" s="185"/>
      <c r="E319" s="185"/>
      <c r="F319" s="185"/>
      <c r="G319" s="185"/>
      <c r="H319" s="185"/>
      <c r="I319" s="185"/>
      <c r="J319" s="186"/>
    </row>
    <row r="320" spans="1:10" ht="14.25" customHeight="1">
      <c r="A320" s="187" t="s">
        <v>1</v>
      </c>
      <c r="B320" s="188"/>
      <c r="C320" s="188"/>
      <c r="D320" s="188"/>
      <c r="E320" s="188"/>
      <c r="F320" s="188"/>
      <c r="G320" s="188"/>
      <c r="H320" s="188"/>
      <c r="I320" s="188"/>
      <c r="J320" s="189"/>
    </row>
    <row r="321" spans="1:10" ht="14.25" customHeight="1">
      <c r="A321" s="1" t="s">
        <v>2</v>
      </c>
      <c r="B321" s="1"/>
      <c r="C321" s="194"/>
      <c r="D321" s="194"/>
      <c r="E321" s="2"/>
      <c r="F321" s="3"/>
      <c r="G321" s="1" t="s">
        <v>4</v>
      </c>
      <c r="H321" s="191" t="s">
        <v>191</v>
      </c>
      <c r="I321" s="191"/>
      <c r="J321" s="191"/>
    </row>
    <row r="322" spans="1:10" ht="14.25" customHeight="1">
      <c r="A322" s="1" t="s">
        <v>6</v>
      </c>
      <c r="B322" s="1"/>
      <c r="C322" s="192" t="s">
        <v>757</v>
      </c>
      <c r="D322" s="192"/>
      <c r="E322" s="2"/>
      <c r="F322" s="3"/>
      <c r="G322" s="1" t="s">
        <v>8</v>
      </c>
      <c r="H322" s="193" t="s">
        <v>9</v>
      </c>
      <c r="I322" s="193"/>
      <c r="J322" s="193"/>
    </row>
    <row r="323" spans="1:10" ht="14.25" customHeight="1">
      <c r="A323" s="6" t="s">
        <v>10</v>
      </c>
      <c r="B323" s="6"/>
      <c r="C323" s="194" t="s">
        <v>750</v>
      </c>
      <c r="D323" s="194"/>
      <c r="E323" s="2"/>
      <c r="F323" s="3"/>
      <c r="G323" s="1" t="s">
        <v>12</v>
      </c>
      <c r="H323" s="195" t="s">
        <v>13</v>
      </c>
      <c r="I323" s="195"/>
      <c r="J323" s="195"/>
    </row>
    <row r="324" spans="1:10" ht="14.25" customHeight="1">
      <c r="A324" s="2" t="s">
        <v>14</v>
      </c>
      <c r="B324" s="2"/>
      <c r="C324" s="1" t="s">
        <v>15</v>
      </c>
      <c r="D324" s="1"/>
      <c r="E324" s="2"/>
      <c r="F324" s="3"/>
      <c r="G324" s="1" t="s">
        <v>16</v>
      </c>
      <c r="H324" s="209" t="s">
        <v>202</v>
      </c>
      <c r="I324" s="209"/>
      <c r="J324" s="209"/>
    </row>
    <row r="325" spans="1:10" ht="14.25" customHeight="1">
      <c r="A325" s="2">
        <v>30</v>
      </c>
      <c r="B325" s="2"/>
      <c r="C325" s="2">
        <f>A325-H325</f>
        <v>4</v>
      </c>
      <c r="D325" s="2"/>
      <c r="E325" s="2"/>
      <c r="F325" s="3"/>
      <c r="G325" s="8" t="s">
        <v>18</v>
      </c>
      <c r="H325" s="197">
        <v>26</v>
      </c>
      <c r="I325" s="197"/>
      <c r="J325" s="197"/>
    </row>
    <row r="326" spans="1:10" ht="14.25" customHeight="1">
      <c r="A326" s="198" t="s">
        <v>19</v>
      </c>
      <c r="B326" s="199"/>
      <c r="C326" s="200"/>
      <c r="D326" s="13" t="s">
        <v>20</v>
      </c>
      <c r="E326" s="14" t="s">
        <v>21</v>
      </c>
      <c r="F326" s="15"/>
      <c r="G326" s="16" t="s">
        <v>20</v>
      </c>
      <c r="H326" s="201" t="s">
        <v>22</v>
      </c>
      <c r="I326" s="202"/>
      <c r="J326" s="203"/>
    </row>
    <row r="327" spans="1:10" ht="14.25" customHeight="1">
      <c r="A327" s="17" t="s">
        <v>56</v>
      </c>
      <c r="B327" s="1"/>
      <c r="C327" s="1"/>
      <c r="D327" s="2">
        <v>18000</v>
      </c>
      <c r="E327" s="17" t="s">
        <v>394</v>
      </c>
      <c r="F327" s="1"/>
      <c r="G327" s="2" t="s">
        <v>25</v>
      </c>
      <c r="H327" s="18" t="s">
        <v>502</v>
      </c>
      <c r="I327" s="6"/>
      <c r="J327" s="19"/>
    </row>
    <row r="328" spans="1:10" ht="14.25" customHeight="1">
      <c r="A328" s="17" t="s">
        <v>57</v>
      </c>
      <c r="B328" s="209" t="s">
        <v>120</v>
      </c>
      <c r="C328" s="209"/>
      <c r="D328" s="2">
        <v>600</v>
      </c>
      <c r="E328" s="211" t="s">
        <v>58</v>
      </c>
      <c r="F328" s="194"/>
      <c r="G328" s="2">
        <v>1756</v>
      </c>
      <c r="H328" s="18" t="s">
        <v>504</v>
      </c>
      <c r="I328" s="6"/>
      <c r="J328" s="19"/>
    </row>
    <row r="329" spans="1:10" ht="14.25" customHeight="1">
      <c r="A329" s="17" t="s">
        <v>30</v>
      </c>
      <c r="B329" s="1"/>
      <c r="C329" s="1"/>
      <c r="D329" s="2">
        <v>3000</v>
      </c>
      <c r="E329" s="17" t="s">
        <v>722</v>
      </c>
      <c r="F329" s="1"/>
      <c r="G329" s="2">
        <v>5000</v>
      </c>
      <c r="H329" s="18" t="s">
        <v>32</v>
      </c>
      <c r="I329" s="6"/>
      <c r="J329" s="19"/>
    </row>
    <row r="330" spans="1:10" ht="14.25" customHeight="1">
      <c r="A330" s="17" t="s">
        <v>758</v>
      </c>
      <c r="B330" s="1"/>
      <c r="C330" s="1"/>
      <c r="D330" s="2">
        <v>5000</v>
      </c>
      <c r="E330" s="17" t="s">
        <v>35</v>
      </c>
      <c r="F330" s="1"/>
      <c r="G330" s="2">
        <v>2400</v>
      </c>
      <c r="H330" s="18"/>
      <c r="I330" s="93"/>
      <c r="J330" s="19"/>
    </row>
    <row r="331" spans="1:10" ht="14.25" customHeight="1">
      <c r="A331" s="17" t="s">
        <v>230</v>
      </c>
      <c r="B331" s="1"/>
      <c r="C331" s="1"/>
      <c r="D331" s="2">
        <v>1500</v>
      </c>
      <c r="E331" s="17" t="s">
        <v>1110</v>
      </c>
      <c r="F331" s="1"/>
      <c r="G331" s="2">
        <v>2200</v>
      </c>
      <c r="H331" s="18" t="s">
        <v>759</v>
      </c>
      <c r="I331" s="6"/>
      <c r="J331" s="19"/>
    </row>
    <row r="332" spans="1:10" ht="14.25" customHeight="1">
      <c r="A332" s="17" t="s">
        <v>27</v>
      </c>
      <c r="B332" s="1"/>
      <c r="C332" s="1"/>
      <c r="D332" s="2" t="s">
        <v>25</v>
      </c>
      <c r="E332" s="17" t="s">
        <v>39</v>
      </c>
      <c r="F332" s="1"/>
      <c r="G332" s="2">
        <v>100</v>
      </c>
      <c r="H332" s="18"/>
      <c r="I332" s="6"/>
      <c r="J332" s="19"/>
    </row>
    <row r="333" spans="1:10" ht="14.25" customHeight="1">
      <c r="A333" s="18" t="s">
        <v>40</v>
      </c>
      <c r="B333" s="6"/>
      <c r="C333" s="6"/>
      <c r="D333" s="2" t="s">
        <v>25</v>
      </c>
      <c r="E333" s="17" t="s">
        <v>62</v>
      </c>
      <c r="F333" s="1"/>
      <c r="G333" s="2" t="s">
        <v>25</v>
      </c>
      <c r="H333" s="94"/>
      <c r="I333" s="6"/>
      <c r="J333" s="19"/>
    </row>
    <row r="334" spans="1:10" ht="14.25" customHeight="1">
      <c r="A334" s="204" t="s">
        <v>63</v>
      </c>
      <c r="B334" s="205"/>
      <c r="C334" s="206"/>
      <c r="D334" s="229">
        <f>SUM(D327:D333)</f>
        <v>28100</v>
      </c>
      <c r="E334" s="1" t="s">
        <v>43</v>
      </c>
      <c r="F334" s="1"/>
      <c r="G334" s="2" t="s">
        <v>25</v>
      </c>
      <c r="H334" s="18"/>
      <c r="I334" s="6"/>
      <c r="J334" s="19"/>
    </row>
    <row r="335" spans="1:10" ht="14.25" customHeight="1">
      <c r="A335" s="207"/>
      <c r="B335" s="197"/>
      <c r="C335" s="208"/>
      <c r="D335" s="230"/>
      <c r="E335" s="21" t="s">
        <v>21</v>
      </c>
      <c r="F335" s="22"/>
      <c r="G335" s="13">
        <f>SUM(G327:G334)</f>
        <v>11456</v>
      </c>
      <c r="H335" s="21" t="s">
        <v>44</v>
      </c>
      <c r="I335" s="22"/>
      <c r="J335" s="13">
        <f>D334-G335</f>
        <v>16644</v>
      </c>
    </row>
    <row r="336" spans="1:10" ht="14.25" customHeight="1">
      <c r="A336" s="3" t="s">
        <v>45</v>
      </c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4.25" customHeight="1">
      <c r="A338" s="3"/>
      <c r="B338" s="3" t="s">
        <v>47</v>
      </c>
      <c r="C338" s="3"/>
      <c r="D338" s="3"/>
      <c r="E338" s="3" t="s">
        <v>48</v>
      </c>
      <c r="F338" s="3"/>
      <c r="G338" s="3"/>
      <c r="H338" s="3" t="s">
        <v>49</v>
      </c>
      <c r="I338" s="3"/>
      <c r="J338" s="3"/>
    </row>
    <row r="339" spans="1:10" ht="14.25" customHeight="1">
      <c r="A339" s="184" t="s">
        <v>0</v>
      </c>
      <c r="B339" s="185"/>
      <c r="C339" s="185"/>
      <c r="D339" s="185"/>
      <c r="E339" s="185"/>
      <c r="F339" s="185"/>
      <c r="G339" s="185"/>
      <c r="H339" s="185"/>
      <c r="I339" s="185"/>
      <c r="J339" s="186"/>
    </row>
    <row r="340" spans="1:10" ht="14.25" customHeight="1">
      <c r="A340" s="187" t="s">
        <v>1</v>
      </c>
      <c r="B340" s="188"/>
      <c r="C340" s="188"/>
      <c r="D340" s="188"/>
      <c r="E340" s="188"/>
      <c r="F340" s="188"/>
      <c r="G340" s="188"/>
      <c r="H340" s="188"/>
      <c r="I340" s="188"/>
      <c r="J340" s="189"/>
    </row>
    <row r="341" spans="1:10" ht="14.25" customHeight="1">
      <c r="A341" s="1" t="s">
        <v>2</v>
      </c>
      <c r="B341" s="1"/>
      <c r="C341" s="190"/>
      <c r="D341" s="190"/>
      <c r="E341" s="2"/>
      <c r="F341" s="3"/>
      <c r="G341" s="1" t="s">
        <v>4</v>
      </c>
      <c r="H341" s="191" t="s">
        <v>191</v>
      </c>
      <c r="I341" s="191"/>
      <c r="J341" s="191"/>
    </row>
    <row r="342" spans="1:10" ht="14.25" customHeight="1">
      <c r="A342" s="1" t="s">
        <v>6</v>
      </c>
      <c r="B342" s="1"/>
      <c r="C342" s="25" t="s">
        <v>760</v>
      </c>
      <c r="D342" s="25"/>
      <c r="E342" s="2"/>
      <c r="F342" s="3"/>
      <c r="G342" s="1" t="s">
        <v>8</v>
      </c>
      <c r="H342" s="193" t="s">
        <v>9</v>
      </c>
      <c r="I342" s="193"/>
      <c r="J342" s="193"/>
    </row>
    <row r="343" spans="1:10" ht="14.25" customHeight="1">
      <c r="A343" s="6" t="s">
        <v>10</v>
      </c>
      <c r="B343" s="6"/>
      <c r="C343" s="194" t="s">
        <v>731</v>
      </c>
      <c r="D343" s="194"/>
      <c r="E343" s="2"/>
      <c r="F343" s="3"/>
      <c r="G343" s="1" t="s">
        <v>12</v>
      </c>
      <c r="H343" s="195" t="s">
        <v>13</v>
      </c>
      <c r="I343" s="195"/>
      <c r="J343" s="195"/>
    </row>
    <row r="344" spans="1:10" ht="14.25" customHeight="1">
      <c r="A344" s="2" t="s">
        <v>14</v>
      </c>
      <c r="B344" s="2"/>
      <c r="C344" s="2" t="s">
        <v>15</v>
      </c>
      <c r="D344" s="2"/>
      <c r="E344" s="2"/>
      <c r="F344" s="3"/>
      <c r="G344" s="1" t="s">
        <v>16</v>
      </c>
      <c r="H344" s="196" t="s">
        <v>464</v>
      </c>
      <c r="I344" s="196"/>
      <c r="J344" s="196"/>
    </row>
    <row r="345" spans="1:10" ht="14.25" customHeight="1">
      <c r="A345" s="2">
        <v>30</v>
      </c>
      <c r="B345" s="2"/>
      <c r="C345" s="2">
        <f>A345-H345</f>
        <v>1</v>
      </c>
      <c r="D345" s="2"/>
      <c r="E345" s="2"/>
      <c r="F345" s="3"/>
      <c r="G345" s="8" t="s">
        <v>18</v>
      </c>
      <c r="H345" s="197">
        <v>29</v>
      </c>
      <c r="I345" s="197"/>
      <c r="J345" s="197"/>
    </row>
    <row r="346" spans="1:10" ht="14.25" customHeight="1">
      <c r="A346" s="198" t="s">
        <v>19</v>
      </c>
      <c r="B346" s="199"/>
      <c r="C346" s="200"/>
      <c r="D346" s="13" t="s">
        <v>20</v>
      </c>
      <c r="E346" s="14" t="s">
        <v>21</v>
      </c>
      <c r="F346" s="15"/>
      <c r="G346" s="16" t="s">
        <v>20</v>
      </c>
      <c r="H346" s="201" t="s">
        <v>22</v>
      </c>
      <c r="I346" s="202"/>
      <c r="J346" s="203"/>
    </row>
    <row r="347" spans="1:10" ht="14.25" customHeight="1">
      <c r="A347" s="17" t="s">
        <v>23</v>
      </c>
      <c r="B347" s="1"/>
      <c r="C347" s="1"/>
      <c r="D347" s="2">
        <v>15000</v>
      </c>
      <c r="E347" s="17" t="s">
        <v>420</v>
      </c>
      <c r="F347" s="1"/>
      <c r="G347" s="2" t="s">
        <v>25</v>
      </c>
      <c r="H347" s="18" t="s">
        <v>502</v>
      </c>
      <c r="I347" s="6"/>
      <c r="J347" s="19"/>
    </row>
    <row r="348" spans="1:10" ht="14.25" customHeight="1">
      <c r="A348" s="17" t="s">
        <v>77</v>
      </c>
      <c r="B348" s="209" t="s">
        <v>320</v>
      </c>
      <c r="C348" s="209"/>
      <c r="D348" s="2">
        <v>1000</v>
      </c>
      <c r="E348" s="17" t="s">
        <v>83</v>
      </c>
      <c r="F348" s="1"/>
      <c r="G348" s="2" t="s">
        <v>25</v>
      </c>
      <c r="H348" s="18" t="s">
        <v>504</v>
      </c>
      <c r="I348" s="6"/>
      <c r="J348" s="19"/>
    </row>
    <row r="349" spans="1:10" ht="14.25" customHeight="1">
      <c r="A349" s="17" t="s">
        <v>30</v>
      </c>
      <c r="B349" s="1"/>
      <c r="C349" s="1"/>
      <c r="D349" s="2">
        <v>2000</v>
      </c>
      <c r="E349" s="17" t="s">
        <v>420</v>
      </c>
      <c r="F349" s="1"/>
      <c r="G349" s="2">
        <v>3283</v>
      </c>
      <c r="H349" s="18" t="s">
        <v>32</v>
      </c>
      <c r="I349" s="6"/>
      <c r="J349" s="19"/>
    </row>
    <row r="350" spans="1:10" ht="14.25" customHeight="1">
      <c r="A350" s="17" t="s">
        <v>34</v>
      </c>
      <c r="B350" s="1"/>
      <c r="C350" s="1"/>
      <c r="D350" s="2" t="s">
        <v>25</v>
      </c>
      <c r="E350" s="17" t="s">
        <v>71</v>
      </c>
      <c r="F350" s="1"/>
      <c r="G350" s="2">
        <v>500</v>
      </c>
      <c r="H350" s="42"/>
      <c r="I350" s="36"/>
      <c r="J350" s="19"/>
    </row>
    <row r="351" spans="1:10" ht="14.25" customHeight="1">
      <c r="A351" s="17" t="s">
        <v>78</v>
      </c>
      <c r="B351" s="1"/>
      <c r="C351" s="1"/>
      <c r="D351" s="2" t="s">
        <v>25</v>
      </c>
      <c r="E351" s="17" t="s">
        <v>1108</v>
      </c>
      <c r="F351" s="1"/>
      <c r="G351" s="2">
        <v>1000</v>
      </c>
      <c r="H351" s="95" t="s">
        <v>761</v>
      </c>
      <c r="I351" s="36"/>
      <c r="J351" s="43"/>
    </row>
    <row r="352" spans="1:10" ht="14.25" customHeight="1">
      <c r="A352" s="17" t="s">
        <v>136</v>
      </c>
      <c r="B352" s="1"/>
      <c r="C352" s="1"/>
      <c r="D352" s="2" t="s">
        <v>25</v>
      </c>
      <c r="E352" s="17" t="s">
        <v>39</v>
      </c>
      <c r="F352" s="1"/>
      <c r="G352" s="2">
        <v>100</v>
      </c>
      <c r="H352" s="42"/>
      <c r="I352" s="92"/>
      <c r="J352" s="43"/>
    </row>
    <row r="353" spans="1:10" ht="14.25" customHeight="1">
      <c r="A353" s="18" t="s">
        <v>40</v>
      </c>
      <c r="B353" s="6"/>
      <c r="C353" s="6"/>
      <c r="D353" s="2" t="s">
        <v>25</v>
      </c>
      <c r="E353" s="17" t="s">
        <v>78</v>
      </c>
      <c r="F353" s="1"/>
      <c r="G353" s="2" t="s">
        <v>25</v>
      </c>
      <c r="H353" s="96"/>
      <c r="I353" s="36"/>
      <c r="J353" s="43"/>
    </row>
    <row r="354" spans="1:10" ht="14.25" customHeight="1">
      <c r="A354" s="204" t="s">
        <v>63</v>
      </c>
      <c r="B354" s="205"/>
      <c r="C354" s="206"/>
      <c r="D354" s="229">
        <f>SUM(D347:D353)</f>
        <v>18000</v>
      </c>
      <c r="E354" s="1" t="s">
        <v>43</v>
      </c>
      <c r="F354" s="1"/>
      <c r="G354" s="2" t="s">
        <v>25</v>
      </c>
      <c r="H354" s="18"/>
      <c r="I354" s="6"/>
      <c r="J354" s="19"/>
    </row>
    <row r="355" spans="1:10" ht="14.25" customHeight="1">
      <c r="A355" s="207"/>
      <c r="B355" s="197"/>
      <c r="C355" s="208"/>
      <c r="D355" s="230"/>
      <c r="E355" s="21" t="s">
        <v>21</v>
      </c>
      <c r="F355" s="22"/>
      <c r="G355" s="13">
        <f>SUM(G347:G354)</f>
        <v>4883</v>
      </c>
      <c r="H355" s="21" t="s">
        <v>44</v>
      </c>
      <c r="I355" s="22"/>
      <c r="J355" s="13">
        <f>D354-G355</f>
        <v>13117</v>
      </c>
    </row>
    <row r="356" spans="1:10" ht="14.25" customHeight="1">
      <c r="A356" s="3" t="s">
        <v>45</v>
      </c>
      <c r="B356" s="3"/>
      <c r="C356" s="3"/>
      <c r="D356" s="3"/>
      <c r="E356" s="3"/>
      <c r="F356" s="3"/>
      <c r="G356" s="2"/>
      <c r="H356" s="1"/>
      <c r="I356" s="1"/>
      <c r="J356" s="2"/>
    </row>
    <row r="357" spans="1:10" ht="14.25" customHeight="1">
      <c r="A357" s="3"/>
      <c r="B357" s="3"/>
      <c r="C357" s="3"/>
      <c r="D357" s="3"/>
      <c r="E357" s="3"/>
      <c r="F357" s="3"/>
      <c r="G357" s="2"/>
      <c r="H357" s="1"/>
      <c r="I357" s="1"/>
      <c r="J357" s="2"/>
    </row>
    <row r="358" spans="1:10" ht="14.25" customHeight="1">
      <c r="A358" s="3"/>
      <c r="B358" s="3" t="s">
        <v>47</v>
      </c>
      <c r="C358" s="3"/>
      <c r="D358" s="3"/>
      <c r="E358" s="3" t="s">
        <v>48</v>
      </c>
      <c r="F358" s="3"/>
      <c r="G358" s="3"/>
      <c r="H358" s="3" t="s">
        <v>49</v>
      </c>
      <c r="I358" s="3"/>
      <c r="J358" s="2"/>
    </row>
    <row r="359" spans="1:10" ht="14.25" customHeight="1">
      <c r="A359" s="184" t="s">
        <v>0</v>
      </c>
      <c r="B359" s="185"/>
      <c r="C359" s="185"/>
      <c r="D359" s="185"/>
      <c r="E359" s="185"/>
      <c r="F359" s="185"/>
      <c r="G359" s="185"/>
      <c r="H359" s="185"/>
      <c r="I359" s="185"/>
      <c r="J359" s="186"/>
    </row>
    <row r="360" spans="1:10" ht="14.25" customHeight="1">
      <c r="A360" s="187" t="s">
        <v>1</v>
      </c>
      <c r="B360" s="188"/>
      <c r="C360" s="188"/>
      <c r="D360" s="188"/>
      <c r="E360" s="188"/>
      <c r="F360" s="188"/>
      <c r="G360" s="188"/>
      <c r="H360" s="188"/>
      <c r="I360" s="188"/>
      <c r="J360" s="189"/>
    </row>
    <row r="361" spans="1:10" ht="14.25" customHeight="1">
      <c r="A361" s="1" t="s">
        <v>2</v>
      </c>
      <c r="B361" s="1"/>
      <c r="C361" s="190"/>
      <c r="D361" s="190"/>
      <c r="E361" s="2"/>
      <c r="F361" s="3"/>
      <c r="G361" s="1" t="s">
        <v>4</v>
      </c>
      <c r="H361" s="191" t="s">
        <v>191</v>
      </c>
      <c r="I361" s="191"/>
      <c r="J361" s="191"/>
    </row>
    <row r="362" spans="1:10" ht="14.25" customHeight="1">
      <c r="A362" s="1" t="s">
        <v>6</v>
      </c>
      <c r="B362" s="1"/>
      <c r="C362" s="25" t="s">
        <v>762</v>
      </c>
      <c r="D362" s="25"/>
      <c r="E362" s="2"/>
      <c r="F362" s="3"/>
      <c r="G362" s="1" t="s">
        <v>8</v>
      </c>
      <c r="H362" s="193" t="s">
        <v>9</v>
      </c>
      <c r="I362" s="193"/>
      <c r="J362" s="193"/>
    </row>
    <row r="363" spans="1:10" ht="14.25" customHeight="1">
      <c r="A363" s="6" t="s">
        <v>10</v>
      </c>
      <c r="B363" s="6"/>
      <c r="C363" s="6" t="s">
        <v>738</v>
      </c>
      <c r="D363" s="6"/>
      <c r="E363" s="6"/>
      <c r="F363" s="3"/>
      <c r="G363" s="1" t="s">
        <v>12</v>
      </c>
      <c r="H363" s="195" t="s">
        <v>13</v>
      </c>
      <c r="I363" s="195"/>
      <c r="J363" s="195"/>
    </row>
    <row r="364" spans="1:10" ht="14.25" customHeight="1">
      <c r="A364" s="2" t="s">
        <v>14</v>
      </c>
      <c r="B364" s="2"/>
      <c r="C364" s="2" t="s">
        <v>15</v>
      </c>
      <c r="D364" s="2"/>
      <c r="E364" s="2"/>
      <c r="F364" s="3"/>
      <c r="G364" s="1" t="s">
        <v>16</v>
      </c>
      <c r="H364" s="196" t="s">
        <v>140</v>
      </c>
      <c r="I364" s="196"/>
      <c r="J364" s="196"/>
    </row>
    <row r="365" spans="1:10" ht="14.25" customHeight="1">
      <c r="A365" s="2">
        <v>30</v>
      </c>
      <c r="B365" s="2"/>
      <c r="C365" s="2">
        <f>A365-H365</f>
        <v>1</v>
      </c>
      <c r="D365" s="2"/>
      <c r="E365" s="2"/>
      <c r="F365" s="3"/>
      <c r="G365" s="8" t="s">
        <v>18</v>
      </c>
      <c r="H365" s="197">
        <v>29</v>
      </c>
      <c r="I365" s="197"/>
      <c r="J365" s="197"/>
    </row>
    <row r="366" spans="1:10" ht="14.25" customHeight="1">
      <c r="A366" s="198" t="s">
        <v>19</v>
      </c>
      <c r="B366" s="199"/>
      <c r="C366" s="200"/>
      <c r="D366" s="13" t="s">
        <v>20</v>
      </c>
      <c r="E366" s="14" t="s">
        <v>21</v>
      </c>
      <c r="F366" s="15"/>
      <c r="G366" s="16" t="s">
        <v>20</v>
      </c>
      <c r="H366" s="201" t="s">
        <v>22</v>
      </c>
      <c r="I366" s="202"/>
      <c r="J366" s="203"/>
    </row>
    <row r="367" spans="1:10" ht="14.25" customHeight="1">
      <c r="A367" s="17" t="s">
        <v>23</v>
      </c>
      <c r="B367" s="1"/>
      <c r="C367" s="1"/>
      <c r="D367" s="2">
        <v>15000</v>
      </c>
      <c r="E367" s="17" t="s">
        <v>420</v>
      </c>
      <c r="F367" s="1"/>
      <c r="G367" s="2" t="s">
        <v>25</v>
      </c>
      <c r="H367" s="18" t="s">
        <v>502</v>
      </c>
      <c r="I367" s="6"/>
      <c r="J367" s="19"/>
    </row>
    <row r="368" spans="1:10" ht="14.25" customHeight="1">
      <c r="A368" s="17" t="s">
        <v>77</v>
      </c>
      <c r="B368" s="209" t="s">
        <v>393</v>
      </c>
      <c r="C368" s="209"/>
      <c r="D368" s="2">
        <v>2500</v>
      </c>
      <c r="E368" s="17" t="s">
        <v>83</v>
      </c>
      <c r="F368" s="1"/>
      <c r="G368" s="2">
        <v>3283</v>
      </c>
      <c r="H368" s="18" t="s">
        <v>504</v>
      </c>
      <c r="I368" s="6"/>
      <c r="J368" s="19"/>
    </row>
    <row r="369" spans="1:10" ht="14.25" customHeight="1">
      <c r="A369" s="17" t="s">
        <v>30</v>
      </c>
      <c r="B369" s="1"/>
      <c r="C369" s="1"/>
      <c r="D369" s="2">
        <v>2000</v>
      </c>
      <c r="E369" s="17" t="s">
        <v>420</v>
      </c>
      <c r="F369" s="1"/>
      <c r="G369" s="2" t="s">
        <v>25</v>
      </c>
      <c r="H369" s="18" t="s">
        <v>32</v>
      </c>
      <c r="I369" s="6"/>
      <c r="J369" s="19"/>
    </row>
    <row r="370" spans="1:10" ht="14.25" customHeight="1">
      <c r="A370" s="17" t="s">
        <v>34</v>
      </c>
      <c r="B370" s="1"/>
      <c r="C370" s="1"/>
      <c r="D370" s="2" t="s">
        <v>25</v>
      </c>
      <c r="E370" s="17" t="s">
        <v>71</v>
      </c>
      <c r="F370" s="1"/>
      <c r="G370" s="2">
        <v>500</v>
      </c>
      <c r="H370" s="42"/>
      <c r="I370" s="36"/>
      <c r="J370" s="19"/>
    </row>
    <row r="371" spans="1:10" ht="14.25" customHeight="1">
      <c r="A371" s="17" t="s">
        <v>78</v>
      </c>
      <c r="B371" s="1"/>
      <c r="C371" s="1"/>
      <c r="D371" s="2" t="s">
        <v>25</v>
      </c>
      <c r="E371" s="17" t="s">
        <v>61</v>
      </c>
      <c r="F371" s="1"/>
      <c r="G371" s="2" t="s">
        <v>25</v>
      </c>
      <c r="H371" s="95" t="s">
        <v>763</v>
      </c>
      <c r="I371" s="36"/>
      <c r="J371" s="43"/>
    </row>
    <row r="372" spans="1:10" ht="14.25" customHeight="1">
      <c r="A372" s="17" t="s">
        <v>136</v>
      </c>
      <c r="B372" s="1"/>
      <c r="C372" s="1"/>
      <c r="D372" s="2" t="s">
        <v>25</v>
      </c>
      <c r="E372" s="17" t="s">
        <v>39</v>
      </c>
      <c r="F372" s="1"/>
      <c r="G372" s="2">
        <v>100</v>
      </c>
      <c r="H372" s="42"/>
      <c r="I372" s="92"/>
      <c r="J372" s="43"/>
    </row>
    <row r="373" spans="1:10" ht="14.25" customHeight="1">
      <c r="A373" s="18" t="s">
        <v>40</v>
      </c>
      <c r="B373" s="6"/>
      <c r="C373" s="6"/>
      <c r="D373" s="2" t="s">
        <v>25</v>
      </c>
      <c r="E373" s="17" t="s">
        <v>78</v>
      </c>
      <c r="F373" s="1"/>
      <c r="G373" s="2" t="s">
        <v>25</v>
      </c>
      <c r="H373" s="96"/>
      <c r="I373" s="36"/>
      <c r="J373" s="43"/>
    </row>
    <row r="374" spans="1:10" ht="14.25" customHeight="1">
      <c r="A374" s="204" t="s">
        <v>63</v>
      </c>
      <c r="B374" s="205"/>
      <c r="C374" s="206"/>
      <c r="D374" s="229">
        <f>SUM(D367:D373)</f>
        <v>19500</v>
      </c>
      <c r="E374" s="1" t="s">
        <v>43</v>
      </c>
      <c r="F374" s="1"/>
      <c r="G374" s="2" t="s">
        <v>25</v>
      </c>
      <c r="H374" s="18"/>
      <c r="I374" s="6"/>
      <c r="J374" s="19"/>
    </row>
    <row r="375" spans="1:10" ht="14.25" customHeight="1">
      <c r="A375" s="207"/>
      <c r="B375" s="197"/>
      <c r="C375" s="208"/>
      <c r="D375" s="230"/>
      <c r="E375" s="21" t="s">
        <v>21</v>
      </c>
      <c r="F375" s="22"/>
      <c r="G375" s="13">
        <f>SUM(G367:G374)</f>
        <v>3883</v>
      </c>
      <c r="H375" s="21" t="s">
        <v>44</v>
      </c>
      <c r="I375" s="22"/>
      <c r="J375" s="13">
        <f>D374-G375</f>
        <v>15617</v>
      </c>
    </row>
    <row r="376" spans="1:10" ht="14.25" customHeight="1">
      <c r="A376" s="3" t="s">
        <v>45</v>
      </c>
      <c r="B376" s="3"/>
      <c r="C376" s="3"/>
      <c r="D376" s="3"/>
      <c r="E376" s="3"/>
      <c r="F376" s="3"/>
      <c r="G376" s="2"/>
      <c r="H376" s="1"/>
      <c r="I376" s="1"/>
      <c r="J376" s="2"/>
    </row>
    <row r="377" spans="1:10" ht="14.25" customHeight="1">
      <c r="A377" s="3"/>
      <c r="B377" s="3"/>
      <c r="C377" s="3"/>
      <c r="D377" s="3"/>
      <c r="E377" s="3"/>
      <c r="F377" s="3"/>
      <c r="G377" s="2"/>
      <c r="H377" s="1"/>
      <c r="I377" s="1"/>
      <c r="J377" s="2"/>
    </row>
    <row r="378" spans="1:10" ht="14.25" customHeight="1">
      <c r="A378" s="3"/>
      <c r="B378" s="3" t="s">
        <v>47</v>
      </c>
      <c r="C378" s="3"/>
      <c r="D378" s="3"/>
      <c r="E378" s="3" t="s">
        <v>48</v>
      </c>
      <c r="F378" s="3"/>
      <c r="G378" s="3"/>
      <c r="H378" s="3" t="s">
        <v>49</v>
      </c>
      <c r="I378" s="3"/>
      <c r="J378" s="2"/>
    </row>
    <row r="379" spans="1:10" ht="14.25" customHeight="1">
      <c r="A379" s="184" t="s">
        <v>0</v>
      </c>
      <c r="B379" s="185"/>
      <c r="C379" s="185"/>
      <c r="D379" s="185"/>
      <c r="E379" s="185"/>
      <c r="F379" s="185"/>
      <c r="G379" s="185"/>
      <c r="H379" s="185"/>
      <c r="I379" s="185"/>
      <c r="J379" s="186"/>
    </row>
    <row r="380" spans="1:10" ht="14.25" customHeight="1">
      <c r="A380" s="187" t="s">
        <v>1</v>
      </c>
      <c r="B380" s="188"/>
      <c r="C380" s="188"/>
      <c r="D380" s="188"/>
      <c r="E380" s="188"/>
      <c r="F380" s="188"/>
      <c r="G380" s="188"/>
      <c r="H380" s="188"/>
      <c r="I380" s="188"/>
      <c r="J380" s="189"/>
    </row>
    <row r="381" spans="1:10" ht="14.25" customHeight="1">
      <c r="A381" s="1" t="s">
        <v>2</v>
      </c>
      <c r="B381" s="1"/>
      <c r="C381" s="209" t="s">
        <v>380</v>
      </c>
      <c r="D381" s="209"/>
      <c r="E381" s="2"/>
      <c r="F381" s="3"/>
      <c r="G381" s="1" t="s">
        <v>4</v>
      </c>
      <c r="H381" s="191" t="s">
        <v>205</v>
      </c>
      <c r="I381" s="191"/>
      <c r="J381" s="191"/>
    </row>
    <row r="382" spans="1:10" ht="14.25" customHeight="1">
      <c r="A382" s="1" t="s">
        <v>6</v>
      </c>
      <c r="B382" s="1"/>
      <c r="C382" s="196" t="s">
        <v>764</v>
      </c>
      <c r="D382" s="196"/>
      <c r="E382" s="7"/>
      <c r="F382" s="3"/>
      <c r="G382" s="1" t="s">
        <v>8</v>
      </c>
      <c r="H382" s="193" t="s">
        <v>9</v>
      </c>
      <c r="I382" s="193"/>
      <c r="J382" s="193"/>
    </row>
    <row r="383" spans="1:10" ht="14.25" customHeight="1">
      <c r="A383" s="6" t="s">
        <v>10</v>
      </c>
      <c r="B383" s="6"/>
      <c r="C383" s="278" t="s">
        <v>765</v>
      </c>
      <c r="D383" s="209"/>
      <c r="E383" s="2"/>
      <c r="F383" s="3"/>
      <c r="G383" s="1" t="s">
        <v>12</v>
      </c>
      <c r="H383" s="195" t="s">
        <v>13</v>
      </c>
      <c r="I383" s="195"/>
      <c r="J383" s="195"/>
    </row>
    <row r="384" spans="1:10" ht="14.25" customHeight="1">
      <c r="A384" s="6" t="s">
        <v>14</v>
      </c>
      <c r="B384" s="6"/>
      <c r="C384" s="2" t="s">
        <v>15</v>
      </c>
      <c r="D384" s="2"/>
      <c r="E384" s="2"/>
      <c r="F384" s="3"/>
      <c r="G384" s="1" t="s">
        <v>16</v>
      </c>
      <c r="H384" s="196" t="s">
        <v>140</v>
      </c>
      <c r="I384" s="196"/>
      <c r="J384" s="196"/>
    </row>
    <row r="385" spans="1:10" ht="14.25" customHeight="1">
      <c r="A385" s="6">
        <v>30</v>
      </c>
      <c r="B385" s="6"/>
      <c r="C385" s="2">
        <f>A385-I385</f>
        <v>3</v>
      </c>
      <c r="D385" s="2"/>
      <c r="E385" s="2"/>
      <c r="F385" s="3"/>
      <c r="G385" s="8" t="s">
        <v>18</v>
      </c>
      <c r="H385" s="8"/>
      <c r="I385" s="9">
        <v>27</v>
      </c>
      <c r="J385" s="9"/>
    </row>
    <row r="386" spans="1:10" ht="14.25" customHeight="1">
      <c r="A386" s="198" t="s">
        <v>19</v>
      </c>
      <c r="B386" s="199"/>
      <c r="C386" s="200"/>
      <c r="D386" s="13" t="s">
        <v>20</v>
      </c>
      <c r="E386" s="14" t="s">
        <v>21</v>
      </c>
      <c r="F386" s="15"/>
      <c r="G386" s="16" t="s">
        <v>20</v>
      </c>
      <c r="H386" s="201" t="s">
        <v>22</v>
      </c>
      <c r="I386" s="202"/>
      <c r="J386" s="203"/>
    </row>
    <row r="387" spans="1:10" ht="14.25" customHeight="1">
      <c r="A387" s="17" t="s">
        <v>23</v>
      </c>
      <c r="B387" s="1"/>
      <c r="C387" s="1"/>
      <c r="D387" s="2">
        <v>20000</v>
      </c>
      <c r="E387" s="17" t="s">
        <v>24</v>
      </c>
      <c r="F387" s="1"/>
      <c r="G387" s="2" t="s">
        <v>25</v>
      </c>
      <c r="H387" s="18" t="s">
        <v>502</v>
      </c>
      <c r="I387" s="6"/>
      <c r="J387" s="19"/>
    </row>
    <row r="388" spans="1:10" ht="14.25" customHeight="1">
      <c r="A388" s="17" t="s">
        <v>77</v>
      </c>
      <c r="B388" s="228" t="s">
        <v>320</v>
      </c>
      <c r="C388" s="228"/>
      <c r="D388" s="2">
        <v>1333</v>
      </c>
      <c r="E388" s="17" t="s">
        <v>58</v>
      </c>
      <c r="F388" s="1"/>
      <c r="G388" s="2" t="s">
        <v>25</v>
      </c>
      <c r="H388" s="18" t="s">
        <v>504</v>
      </c>
      <c r="I388" s="6"/>
      <c r="J388" s="19"/>
    </row>
    <row r="389" spans="1:10" ht="14.25" customHeight="1">
      <c r="A389" s="17" t="s">
        <v>30</v>
      </c>
      <c r="B389" s="1"/>
      <c r="C389" s="1"/>
      <c r="D389" s="2" t="s">
        <v>25</v>
      </c>
      <c r="E389" s="17" t="s">
        <v>83</v>
      </c>
      <c r="F389" s="1"/>
      <c r="G389" s="2">
        <v>23733</v>
      </c>
      <c r="H389" s="18" t="s">
        <v>32</v>
      </c>
      <c r="I389" s="6"/>
      <c r="J389" s="19"/>
    </row>
    <row r="390" spans="1:10" ht="14.25" customHeight="1">
      <c r="A390" s="17" t="s">
        <v>629</v>
      </c>
      <c r="B390" s="1"/>
      <c r="C390" s="1"/>
      <c r="D390" s="2">
        <v>4500</v>
      </c>
      <c r="E390" s="17" t="s">
        <v>71</v>
      </c>
      <c r="F390" s="1"/>
      <c r="G390" s="2">
        <v>2000</v>
      </c>
      <c r="H390" s="18"/>
      <c r="I390" s="6"/>
      <c r="J390" s="19"/>
    </row>
    <row r="391" spans="1:10" ht="14.25" customHeight="1">
      <c r="A391" s="17" t="s">
        <v>78</v>
      </c>
      <c r="B391" s="1"/>
      <c r="C391" s="1"/>
      <c r="D391" s="2" t="s">
        <v>25</v>
      </c>
      <c r="E391" s="17" t="s">
        <v>61</v>
      </c>
      <c r="F391" s="1"/>
      <c r="G391" s="2" t="s">
        <v>25</v>
      </c>
      <c r="H391" s="18" t="s">
        <v>766</v>
      </c>
      <c r="I391" s="6"/>
      <c r="J391" s="26"/>
    </row>
    <row r="392" spans="1:10" ht="14.25" customHeight="1">
      <c r="A392" s="17" t="s">
        <v>136</v>
      </c>
      <c r="B392" s="1"/>
      <c r="C392" s="1"/>
      <c r="D392" s="2" t="s">
        <v>25</v>
      </c>
      <c r="E392" s="17" t="s">
        <v>39</v>
      </c>
      <c r="F392" s="1"/>
      <c r="G392" s="2">
        <v>100</v>
      </c>
      <c r="H392" s="18"/>
      <c r="I392" s="6"/>
      <c r="J392" s="26"/>
    </row>
    <row r="393" spans="1:10" ht="14.25" customHeight="1">
      <c r="A393" s="18" t="s">
        <v>40</v>
      </c>
      <c r="B393" s="6"/>
      <c r="C393" s="6"/>
      <c r="D393" s="2" t="s">
        <v>25</v>
      </c>
      <c r="E393" s="17" t="s">
        <v>78</v>
      </c>
      <c r="F393" s="1"/>
      <c r="G393" s="2" t="s">
        <v>25</v>
      </c>
      <c r="H393" s="18"/>
      <c r="I393" s="6"/>
      <c r="J393" s="26"/>
    </row>
    <row r="394" spans="1:10" ht="14.25" customHeight="1">
      <c r="A394" s="204" t="s">
        <v>63</v>
      </c>
      <c r="B394" s="205"/>
      <c r="C394" s="206"/>
      <c r="D394" s="229">
        <f>SUM(D387:D393)</f>
        <v>25833</v>
      </c>
      <c r="E394" s="1" t="s">
        <v>43</v>
      </c>
      <c r="F394" s="1"/>
      <c r="G394" s="2" t="s">
        <v>25</v>
      </c>
      <c r="H394" s="18"/>
      <c r="I394" s="6"/>
      <c r="J394" s="19"/>
    </row>
    <row r="395" spans="1:10" ht="14.25" customHeight="1">
      <c r="A395" s="207"/>
      <c r="B395" s="197"/>
      <c r="C395" s="208"/>
      <c r="D395" s="230"/>
      <c r="E395" s="21" t="s">
        <v>21</v>
      </c>
      <c r="F395" s="22"/>
      <c r="G395" s="13">
        <f>SUM(G387:G394)</f>
        <v>25833</v>
      </c>
      <c r="H395" s="21" t="s">
        <v>44</v>
      </c>
      <c r="I395" s="22"/>
      <c r="J395" s="13">
        <f>D394-G395</f>
        <v>0</v>
      </c>
    </row>
    <row r="396" spans="1:10" ht="14.25" customHeight="1">
      <c r="A396" s="3" t="s">
        <v>45</v>
      </c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4.25" customHeight="1">
      <c r="A398" s="184" t="s">
        <v>0</v>
      </c>
      <c r="B398" s="185"/>
      <c r="C398" s="185"/>
      <c r="D398" s="185"/>
      <c r="E398" s="185"/>
      <c r="F398" s="185"/>
      <c r="G398" s="185"/>
      <c r="H398" s="185"/>
      <c r="I398" s="185"/>
      <c r="J398" s="186"/>
    </row>
    <row r="399" spans="1:10" ht="14.25" customHeight="1">
      <c r="A399" s="187" t="s">
        <v>1</v>
      </c>
      <c r="B399" s="188"/>
      <c r="C399" s="188"/>
      <c r="D399" s="188"/>
      <c r="E399" s="188"/>
      <c r="F399" s="188"/>
      <c r="G399" s="188"/>
      <c r="H399" s="188"/>
      <c r="I399" s="188"/>
      <c r="J399" s="189"/>
    </row>
    <row r="400" spans="1:10" ht="14.25" customHeight="1">
      <c r="A400" s="97" t="s">
        <v>2</v>
      </c>
      <c r="B400" s="97"/>
      <c r="C400" s="332"/>
      <c r="D400" s="332"/>
      <c r="E400" s="28"/>
      <c r="F400" s="98"/>
      <c r="G400" s="97" t="s">
        <v>4</v>
      </c>
      <c r="H400" s="191" t="s">
        <v>205</v>
      </c>
      <c r="I400" s="191"/>
      <c r="J400" s="191"/>
    </row>
    <row r="401" spans="1:10" ht="14.25" customHeight="1">
      <c r="A401" s="97" t="s">
        <v>6</v>
      </c>
      <c r="B401" s="97"/>
      <c r="C401" s="99" t="s">
        <v>767</v>
      </c>
      <c r="D401" s="99"/>
      <c r="E401" s="28"/>
      <c r="F401" s="98"/>
      <c r="G401" s="97" t="s">
        <v>8</v>
      </c>
      <c r="H401" s="288" t="s">
        <v>9</v>
      </c>
      <c r="I401" s="288"/>
      <c r="J401" s="288"/>
    </row>
    <row r="402" spans="1:10" ht="14.25" customHeight="1">
      <c r="A402" s="100" t="s">
        <v>10</v>
      </c>
      <c r="B402" s="100"/>
      <c r="C402" s="100" t="s">
        <v>721</v>
      </c>
      <c r="D402" s="100"/>
      <c r="E402" s="28"/>
      <c r="F402" s="98"/>
      <c r="G402" s="97" t="s">
        <v>12</v>
      </c>
      <c r="H402" s="195" t="s">
        <v>13</v>
      </c>
      <c r="I402" s="195"/>
      <c r="J402" s="195"/>
    </row>
    <row r="403" spans="1:10" ht="14.25" customHeight="1">
      <c r="A403" s="28" t="s">
        <v>14</v>
      </c>
      <c r="B403" s="28"/>
      <c r="C403" s="28" t="s">
        <v>15</v>
      </c>
      <c r="D403" s="28"/>
      <c r="E403" s="28"/>
      <c r="F403" s="98"/>
      <c r="G403" s="97" t="s">
        <v>16</v>
      </c>
      <c r="H403" s="287" t="s">
        <v>140</v>
      </c>
      <c r="I403" s="287"/>
      <c r="J403" s="287"/>
    </row>
    <row r="404" spans="1:10" ht="14.25" customHeight="1">
      <c r="A404" s="28">
        <v>30</v>
      </c>
      <c r="B404" s="28"/>
      <c r="C404" s="28">
        <f>A404-H404</f>
        <v>12</v>
      </c>
      <c r="D404" s="28"/>
      <c r="E404" s="28"/>
      <c r="F404" s="98"/>
      <c r="G404" s="101" t="s">
        <v>18</v>
      </c>
      <c r="H404" s="291">
        <v>18</v>
      </c>
      <c r="I404" s="291"/>
      <c r="J404" s="291"/>
    </row>
    <row r="405" spans="1:10" ht="14.25" customHeight="1">
      <c r="A405" s="292" t="s">
        <v>19</v>
      </c>
      <c r="B405" s="293"/>
      <c r="C405" s="294"/>
      <c r="D405" s="102" t="s">
        <v>20</v>
      </c>
      <c r="E405" s="103" t="s">
        <v>21</v>
      </c>
      <c r="F405" s="104"/>
      <c r="G405" s="105" t="s">
        <v>20</v>
      </c>
      <c r="H405" s="295" t="s">
        <v>22</v>
      </c>
      <c r="I405" s="296"/>
      <c r="J405" s="297"/>
    </row>
    <row r="406" spans="1:10" ht="14.25" customHeight="1">
      <c r="A406" s="106" t="s">
        <v>23</v>
      </c>
      <c r="B406" s="97"/>
      <c r="C406" s="97"/>
      <c r="D406" s="28">
        <v>15000</v>
      </c>
      <c r="E406" s="106" t="s">
        <v>24</v>
      </c>
      <c r="F406" s="97"/>
      <c r="G406" s="28" t="s">
        <v>25</v>
      </c>
      <c r="H406" s="107" t="s">
        <v>502</v>
      </c>
      <c r="I406" s="100"/>
      <c r="J406" s="108"/>
    </row>
    <row r="407" spans="1:10" ht="14.25" customHeight="1">
      <c r="A407" s="106" t="s">
        <v>57</v>
      </c>
      <c r="B407" s="290" t="s">
        <v>355</v>
      </c>
      <c r="C407" s="290"/>
      <c r="D407" s="28">
        <v>2000</v>
      </c>
      <c r="E407" s="106" t="s">
        <v>58</v>
      </c>
      <c r="F407" s="97"/>
      <c r="G407" s="28" t="s">
        <v>25</v>
      </c>
      <c r="H407" s="107" t="s">
        <v>504</v>
      </c>
      <c r="I407" s="100"/>
      <c r="J407" s="108"/>
    </row>
    <row r="408" spans="1:10" ht="14.25" customHeight="1">
      <c r="A408" s="106" t="s">
        <v>30</v>
      </c>
      <c r="B408" s="97"/>
      <c r="C408" s="97"/>
      <c r="D408" s="28">
        <v>1000</v>
      </c>
      <c r="E408" s="106" t="s">
        <v>83</v>
      </c>
      <c r="F408" s="97"/>
      <c r="G408" s="28" t="s">
        <v>25</v>
      </c>
      <c r="H408" s="107" t="s">
        <v>32</v>
      </c>
      <c r="I408" s="100"/>
      <c r="J408" s="108"/>
    </row>
    <row r="409" spans="1:10" ht="14.25" customHeight="1">
      <c r="A409" s="106" t="s">
        <v>34</v>
      </c>
      <c r="B409" s="97"/>
      <c r="C409" s="97"/>
      <c r="D409" s="28" t="s">
        <v>25</v>
      </c>
      <c r="E409" s="106" t="s">
        <v>71</v>
      </c>
      <c r="F409" s="97"/>
      <c r="G409" s="28">
        <v>6000</v>
      </c>
      <c r="H409" s="107"/>
      <c r="I409" s="109"/>
      <c r="J409" s="110"/>
    </row>
    <row r="410" spans="1:10" ht="14.25" customHeight="1">
      <c r="A410" s="106" t="s">
        <v>629</v>
      </c>
      <c r="B410" s="97"/>
      <c r="C410" s="97"/>
      <c r="D410" s="28" t="s">
        <v>25</v>
      </c>
      <c r="E410" s="106" t="s">
        <v>61</v>
      </c>
      <c r="F410" s="97"/>
      <c r="G410" s="28">
        <v>700</v>
      </c>
      <c r="H410" s="44" t="s">
        <v>768</v>
      </c>
      <c r="I410" s="109"/>
      <c r="J410" s="111"/>
    </row>
    <row r="411" spans="1:10" ht="14.25" customHeight="1">
      <c r="A411" s="106" t="s">
        <v>136</v>
      </c>
      <c r="B411" s="97"/>
      <c r="C411" s="97"/>
      <c r="D411" s="28" t="s">
        <v>25</v>
      </c>
      <c r="E411" s="106" t="s">
        <v>39</v>
      </c>
      <c r="F411" s="97"/>
      <c r="G411" s="28">
        <v>100</v>
      </c>
      <c r="H411" s="44" t="s">
        <v>769</v>
      </c>
      <c r="I411" s="112"/>
      <c r="J411" s="111"/>
    </row>
    <row r="412" spans="1:10" ht="14.25" customHeight="1">
      <c r="A412" s="107" t="s">
        <v>40</v>
      </c>
      <c r="B412" s="100"/>
      <c r="C412" s="100"/>
      <c r="D412" s="28" t="s">
        <v>25</v>
      </c>
      <c r="E412" s="106" t="s">
        <v>78</v>
      </c>
      <c r="F412" s="97"/>
      <c r="G412" s="28" t="s">
        <v>25</v>
      </c>
      <c r="H412" s="44"/>
      <c r="I412" s="109"/>
      <c r="J412" s="113"/>
    </row>
    <row r="413" spans="1:10" ht="14.25" customHeight="1">
      <c r="A413" s="312" t="s">
        <v>63</v>
      </c>
      <c r="B413" s="313"/>
      <c r="C413" s="314"/>
      <c r="D413" s="298">
        <f>SUM(D406:D412)</f>
        <v>18000</v>
      </c>
      <c r="E413" s="97" t="s">
        <v>43</v>
      </c>
      <c r="F413" s="97"/>
      <c r="G413" s="28" t="s">
        <v>25</v>
      </c>
      <c r="H413" s="107"/>
      <c r="I413" s="100"/>
      <c r="J413" s="108"/>
    </row>
    <row r="414" spans="1:10" ht="14.25" customHeight="1">
      <c r="A414" s="315"/>
      <c r="B414" s="291"/>
      <c r="C414" s="316"/>
      <c r="D414" s="299"/>
      <c r="E414" s="114" t="s">
        <v>21</v>
      </c>
      <c r="F414" s="115"/>
      <c r="G414" s="102">
        <f>SUM(G406:G413)</f>
        <v>6800</v>
      </c>
      <c r="H414" s="114" t="s">
        <v>44</v>
      </c>
      <c r="I414" s="115"/>
      <c r="J414" s="102">
        <f>D413-G414</f>
        <v>11200</v>
      </c>
    </row>
    <row r="415" spans="1:10" ht="14.25" customHeight="1">
      <c r="A415" s="98" t="s">
        <v>45</v>
      </c>
      <c r="B415" s="98"/>
      <c r="C415" s="98"/>
      <c r="D415" s="98"/>
      <c r="E415" s="98"/>
      <c r="F415" s="98"/>
      <c r="G415" s="28"/>
      <c r="H415" s="97"/>
      <c r="I415" s="97"/>
      <c r="J415" s="28"/>
    </row>
    <row r="416" spans="1:10" ht="14.25" customHeight="1">
      <c r="A416" s="98"/>
      <c r="B416" s="98" t="s">
        <v>47</v>
      </c>
      <c r="C416" s="98"/>
      <c r="D416" s="98"/>
      <c r="E416" s="98" t="s">
        <v>48</v>
      </c>
      <c r="F416" s="98"/>
      <c r="G416" s="98"/>
      <c r="H416" s="98" t="s">
        <v>49</v>
      </c>
      <c r="I416" s="98"/>
      <c r="J416" s="98"/>
    </row>
    <row r="417" spans="1:10" ht="14.25" customHeight="1">
      <c r="A417" s="184" t="s">
        <v>0</v>
      </c>
      <c r="B417" s="185"/>
      <c r="C417" s="185"/>
      <c r="D417" s="185"/>
      <c r="E417" s="185"/>
      <c r="F417" s="185"/>
      <c r="G417" s="185"/>
      <c r="H417" s="185"/>
      <c r="I417" s="185"/>
      <c r="J417" s="186"/>
    </row>
    <row r="418" spans="1:10" ht="14.25" customHeight="1">
      <c r="A418" s="187" t="s">
        <v>1</v>
      </c>
      <c r="B418" s="188"/>
      <c r="C418" s="188"/>
      <c r="D418" s="188"/>
      <c r="E418" s="188"/>
      <c r="F418" s="188"/>
      <c r="G418" s="188"/>
      <c r="H418" s="188"/>
      <c r="I418" s="188"/>
      <c r="J418" s="189"/>
    </row>
    <row r="419" spans="1:10" ht="14.25" customHeight="1">
      <c r="A419" s="97" t="s">
        <v>2</v>
      </c>
      <c r="B419" s="97"/>
      <c r="C419" s="332"/>
      <c r="D419" s="332"/>
      <c r="E419" s="28"/>
      <c r="F419" s="98"/>
      <c r="G419" s="97" t="s">
        <v>4</v>
      </c>
      <c r="H419" s="191" t="s">
        <v>205</v>
      </c>
      <c r="I419" s="191"/>
      <c r="J419" s="191"/>
    </row>
    <row r="420" spans="1:10" ht="14.25" customHeight="1">
      <c r="A420" s="97" t="s">
        <v>6</v>
      </c>
      <c r="B420" s="97"/>
      <c r="C420" s="99" t="s">
        <v>770</v>
      </c>
      <c r="D420" s="99"/>
      <c r="E420" s="28"/>
      <c r="F420" s="98"/>
      <c r="G420" s="97" t="s">
        <v>8</v>
      </c>
      <c r="H420" s="288" t="s">
        <v>9</v>
      </c>
      <c r="I420" s="288"/>
      <c r="J420" s="288"/>
    </row>
    <row r="421" spans="1:10" ht="14.25" customHeight="1">
      <c r="A421" s="100" t="s">
        <v>10</v>
      </c>
      <c r="B421" s="100"/>
      <c r="C421" s="100" t="s">
        <v>721</v>
      </c>
      <c r="D421" s="100"/>
      <c r="E421" s="28"/>
      <c r="F421" s="98"/>
      <c r="G421" s="97" t="s">
        <v>12</v>
      </c>
      <c r="H421" s="195" t="s">
        <v>13</v>
      </c>
      <c r="I421" s="195"/>
      <c r="J421" s="195"/>
    </row>
    <row r="422" spans="1:10" ht="14.25" customHeight="1">
      <c r="A422" s="28" t="s">
        <v>14</v>
      </c>
      <c r="B422" s="28"/>
      <c r="C422" s="28" t="s">
        <v>15</v>
      </c>
      <c r="D422" s="28"/>
      <c r="E422" s="28"/>
      <c r="F422" s="98"/>
      <c r="G422" s="97" t="s">
        <v>16</v>
      </c>
      <c r="H422" s="287" t="s">
        <v>140</v>
      </c>
      <c r="I422" s="287"/>
      <c r="J422" s="287"/>
    </row>
    <row r="423" spans="1:10" ht="14.25" customHeight="1">
      <c r="A423" s="28">
        <v>30</v>
      </c>
      <c r="B423" s="28"/>
      <c r="C423" s="28">
        <f>A423-H423</f>
        <v>14</v>
      </c>
      <c r="D423" s="28"/>
      <c r="E423" s="28"/>
      <c r="F423" s="98"/>
      <c r="G423" s="101" t="s">
        <v>18</v>
      </c>
      <c r="H423" s="291">
        <v>16</v>
      </c>
      <c r="I423" s="291"/>
      <c r="J423" s="291"/>
    </row>
    <row r="424" spans="1:10" ht="14.25" customHeight="1">
      <c r="A424" s="292" t="s">
        <v>19</v>
      </c>
      <c r="B424" s="293"/>
      <c r="C424" s="294"/>
      <c r="D424" s="102" t="s">
        <v>20</v>
      </c>
      <c r="E424" s="103" t="s">
        <v>21</v>
      </c>
      <c r="F424" s="104"/>
      <c r="G424" s="105" t="s">
        <v>20</v>
      </c>
      <c r="H424" s="295" t="s">
        <v>22</v>
      </c>
      <c r="I424" s="296"/>
      <c r="J424" s="297"/>
    </row>
    <row r="425" spans="1:10" ht="14.25" customHeight="1">
      <c r="A425" s="106" t="s">
        <v>23</v>
      </c>
      <c r="B425" s="97"/>
      <c r="C425" s="97"/>
      <c r="D425" s="28">
        <v>18000</v>
      </c>
      <c r="E425" s="106" t="s">
        <v>24</v>
      </c>
      <c r="F425" s="97"/>
      <c r="G425" s="28" t="s">
        <v>25</v>
      </c>
      <c r="H425" s="107" t="s">
        <v>502</v>
      </c>
      <c r="I425" s="100"/>
      <c r="J425" s="108"/>
    </row>
    <row r="426" spans="1:10" ht="14.25" customHeight="1">
      <c r="A426" s="106" t="s">
        <v>57</v>
      </c>
      <c r="B426" s="290" t="s">
        <v>771</v>
      </c>
      <c r="C426" s="290"/>
      <c r="D426" s="28">
        <v>1600</v>
      </c>
      <c r="E426" s="106" t="s">
        <v>58</v>
      </c>
      <c r="F426" s="97"/>
      <c r="G426" s="28" t="s">
        <v>25</v>
      </c>
      <c r="H426" s="107" t="s">
        <v>504</v>
      </c>
      <c r="I426" s="100"/>
      <c r="J426" s="108"/>
    </row>
    <row r="427" spans="1:10" ht="14.25" customHeight="1">
      <c r="A427" s="106" t="s">
        <v>30</v>
      </c>
      <c r="B427" s="97"/>
      <c r="C427" s="97"/>
      <c r="D427" s="28" t="s">
        <v>25</v>
      </c>
      <c r="E427" s="106" t="s">
        <v>83</v>
      </c>
      <c r="F427" s="97"/>
      <c r="G427" s="28" t="s">
        <v>25</v>
      </c>
      <c r="H427" s="107" t="s">
        <v>32</v>
      </c>
      <c r="I427" s="100"/>
      <c r="J427" s="108"/>
    </row>
    <row r="428" spans="1:10" ht="14.25" customHeight="1">
      <c r="A428" s="106" t="s">
        <v>34</v>
      </c>
      <c r="B428" s="97"/>
      <c r="C428" s="97"/>
      <c r="D428" s="28" t="s">
        <v>25</v>
      </c>
      <c r="E428" s="106" t="s">
        <v>71</v>
      </c>
      <c r="F428" s="97"/>
      <c r="G428" s="28">
        <v>8400</v>
      </c>
      <c r="H428" s="107"/>
      <c r="I428" s="109"/>
      <c r="J428" s="110"/>
    </row>
    <row r="429" spans="1:10" ht="14.25" customHeight="1">
      <c r="A429" s="106" t="s">
        <v>629</v>
      </c>
      <c r="B429" s="97"/>
      <c r="C429" s="97"/>
      <c r="D429" s="28">
        <v>2667</v>
      </c>
      <c r="E429" s="106" t="s">
        <v>61</v>
      </c>
      <c r="F429" s="97"/>
      <c r="G429" s="28" t="s">
        <v>25</v>
      </c>
      <c r="H429" s="44" t="s">
        <v>772</v>
      </c>
      <c r="I429" s="109"/>
      <c r="J429" s="111"/>
    </row>
    <row r="430" spans="1:10" ht="14.25" customHeight="1">
      <c r="A430" s="106" t="s">
        <v>136</v>
      </c>
      <c r="B430" s="97"/>
      <c r="C430" s="97"/>
      <c r="D430" s="28" t="s">
        <v>25</v>
      </c>
      <c r="E430" s="106" t="s">
        <v>39</v>
      </c>
      <c r="F430" s="97"/>
      <c r="G430" s="28">
        <v>100</v>
      </c>
      <c r="H430" s="44"/>
      <c r="I430" s="112"/>
      <c r="J430" s="111"/>
    </row>
    <row r="431" spans="1:10" ht="14.25" customHeight="1">
      <c r="A431" s="107" t="s">
        <v>40</v>
      </c>
      <c r="B431" s="100"/>
      <c r="C431" s="100"/>
      <c r="D431" s="28" t="s">
        <v>25</v>
      </c>
      <c r="E431" s="106" t="s">
        <v>78</v>
      </c>
      <c r="F431" s="97"/>
      <c r="G431" s="28" t="s">
        <v>25</v>
      </c>
      <c r="H431" s="44" t="s">
        <v>1112</v>
      </c>
      <c r="I431" s="109"/>
      <c r="J431" s="113"/>
    </row>
    <row r="432" spans="1:10" ht="14.25" customHeight="1">
      <c r="A432" s="312" t="s">
        <v>63</v>
      </c>
      <c r="B432" s="313"/>
      <c r="C432" s="314"/>
      <c r="D432" s="298">
        <f>SUM(D425:D431)</f>
        <v>22267</v>
      </c>
      <c r="E432" s="97" t="s">
        <v>43</v>
      </c>
      <c r="F432" s="97"/>
      <c r="G432" s="28" t="s">
        <v>25</v>
      </c>
      <c r="H432" s="107"/>
      <c r="I432" s="100"/>
      <c r="J432" s="108"/>
    </row>
    <row r="433" spans="1:10" ht="14.25" customHeight="1">
      <c r="A433" s="315"/>
      <c r="B433" s="291"/>
      <c r="C433" s="316"/>
      <c r="D433" s="299"/>
      <c r="E433" s="114" t="s">
        <v>21</v>
      </c>
      <c r="F433" s="115"/>
      <c r="G433" s="102">
        <f>SUM(G425:G432)</f>
        <v>8500</v>
      </c>
      <c r="H433" s="114" t="s">
        <v>44</v>
      </c>
      <c r="I433" s="115"/>
      <c r="J433" s="102">
        <f>D432-G433</f>
        <v>13767</v>
      </c>
    </row>
    <row r="434" spans="1:10" ht="14.25" customHeight="1">
      <c r="A434" s="98" t="s">
        <v>45</v>
      </c>
      <c r="B434" s="98"/>
      <c r="C434" s="98"/>
      <c r="D434" s="98"/>
      <c r="E434" s="98"/>
      <c r="F434" s="98"/>
      <c r="G434" s="28"/>
      <c r="H434" s="97"/>
      <c r="I434" s="97"/>
      <c r="J434" s="28"/>
    </row>
    <row r="435" spans="1:10" ht="14.25" customHeight="1">
      <c r="A435" s="98"/>
      <c r="B435" s="98" t="s">
        <v>47</v>
      </c>
      <c r="C435" s="98"/>
      <c r="D435" s="98"/>
      <c r="E435" s="98" t="s">
        <v>48</v>
      </c>
      <c r="F435" s="98"/>
      <c r="G435" s="98"/>
      <c r="H435" s="98" t="s">
        <v>49</v>
      </c>
      <c r="I435" s="98"/>
      <c r="J435" s="98"/>
    </row>
    <row r="436" spans="1:10" ht="14.25" customHeight="1">
      <c r="A436" s="184" t="s">
        <v>0</v>
      </c>
      <c r="B436" s="185"/>
      <c r="C436" s="185"/>
      <c r="D436" s="185"/>
      <c r="E436" s="185"/>
      <c r="F436" s="185"/>
      <c r="G436" s="185"/>
      <c r="H436" s="185"/>
      <c r="I436" s="185"/>
      <c r="J436" s="186"/>
    </row>
    <row r="437" spans="1:10" ht="14.25" customHeight="1">
      <c r="A437" s="187" t="s">
        <v>1</v>
      </c>
      <c r="B437" s="188"/>
      <c r="C437" s="188"/>
      <c r="D437" s="188"/>
      <c r="E437" s="188"/>
      <c r="F437" s="188"/>
      <c r="G437" s="188"/>
      <c r="H437" s="188"/>
      <c r="I437" s="188"/>
      <c r="J437" s="189"/>
    </row>
    <row r="438" spans="1:10" ht="14.25" customHeight="1">
      <c r="A438" s="1" t="s">
        <v>2</v>
      </c>
      <c r="B438" s="1"/>
      <c r="C438" s="190" t="s">
        <v>737</v>
      </c>
      <c r="D438" s="190"/>
      <c r="E438" s="2"/>
      <c r="F438" s="3"/>
      <c r="G438" s="1" t="s">
        <v>4</v>
      </c>
      <c r="H438" s="193" t="s">
        <v>211</v>
      </c>
      <c r="I438" s="193"/>
      <c r="J438" s="193"/>
    </row>
    <row r="439" spans="1:10" ht="14.25" customHeight="1">
      <c r="A439" s="1" t="s">
        <v>6</v>
      </c>
      <c r="B439" s="1"/>
      <c r="C439" s="25" t="s">
        <v>773</v>
      </c>
      <c r="D439" s="25"/>
      <c r="E439" s="2"/>
      <c r="F439" s="3"/>
      <c r="G439" s="1" t="s">
        <v>8</v>
      </c>
      <c r="H439" s="193" t="s">
        <v>9</v>
      </c>
      <c r="I439" s="193"/>
      <c r="J439" s="193"/>
    </row>
    <row r="440" spans="1:10" ht="14.25" customHeight="1">
      <c r="A440" s="6" t="s">
        <v>10</v>
      </c>
      <c r="B440" s="6"/>
      <c r="C440" s="6" t="s">
        <v>731</v>
      </c>
      <c r="D440" s="6"/>
      <c r="E440" s="2"/>
      <c r="F440" s="3"/>
      <c r="G440" s="1" t="s">
        <v>12</v>
      </c>
      <c r="H440" s="195" t="s">
        <v>13</v>
      </c>
      <c r="I440" s="195"/>
      <c r="J440" s="195"/>
    </row>
    <row r="441" spans="1:10" ht="14.25" customHeight="1">
      <c r="A441" s="2" t="s">
        <v>14</v>
      </c>
      <c r="B441" s="2"/>
      <c r="C441" s="1" t="s">
        <v>15</v>
      </c>
      <c r="D441" s="1"/>
      <c r="E441" s="2"/>
      <c r="F441" s="3"/>
      <c r="G441" s="1" t="s">
        <v>16</v>
      </c>
      <c r="H441" s="209" t="s">
        <v>55</v>
      </c>
      <c r="I441" s="209"/>
      <c r="J441" s="209"/>
    </row>
    <row r="442" spans="1:10" ht="14.25" customHeight="1">
      <c r="A442" s="2">
        <v>30</v>
      </c>
      <c r="B442" s="2"/>
      <c r="C442" s="2">
        <f>A442-H442</f>
        <v>0</v>
      </c>
      <c r="D442" s="2"/>
      <c r="E442" s="2"/>
      <c r="F442" s="3"/>
      <c r="G442" s="8" t="s">
        <v>18</v>
      </c>
      <c r="H442" s="197">
        <v>30</v>
      </c>
      <c r="I442" s="197"/>
      <c r="J442" s="197"/>
    </row>
    <row r="443" spans="1:10" ht="14.25" customHeight="1">
      <c r="A443" s="198" t="s">
        <v>19</v>
      </c>
      <c r="B443" s="199"/>
      <c r="C443" s="200"/>
      <c r="D443" s="13" t="s">
        <v>20</v>
      </c>
      <c r="E443" s="14" t="s">
        <v>21</v>
      </c>
      <c r="F443" s="15"/>
      <c r="G443" s="16" t="s">
        <v>20</v>
      </c>
      <c r="H443" s="201" t="s">
        <v>22</v>
      </c>
      <c r="I443" s="202"/>
      <c r="J443" s="203"/>
    </row>
    <row r="444" spans="1:10" ht="14.25" customHeight="1">
      <c r="A444" s="17" t="s">
        <v>56</v>
      </c>
      <c r="B444" s="1"/>
      <c r="C444" s="1"/>
      <c r="D444" s="2">
        <v>25000</v>
      </c>
      <c r="E444" s="17" t="s">
        <v>24</v>
      </c>
      <c r="F444" s="1"/>
      <c r="G444" s="2" t="s">
        <v>25</v>
      </c>
      <c r="H444" s="18" t="s">
        <v>502</v>
      </c>
      <c r="I444" s="6"/>
      <c r="J444" s="19"/>
    </row>
    <row r="445" spans="1:10" ht="14.25" customHeight="1">
      <c r="A445" s="17" t="s">
        <v>57</v>
      </c>
      <c r="B445" s="209"/>
      <c r="C445" s="209"/>
      <c r="D445" s="2" t="s">
        <v>25</v>
      </c>
      <c r="E445" s="17" t="s">
        <v>376</v>
      </c>
      <c r="F445" s="1"/>
      <c r="G445" s="2" t="s">
        <v>25</v>
      </c>
      <c r="H445" s="18" t="s">
        <v>504</v>
      </c>
      <c r="I445" s="6"/>
      <c r="J445" s="19"/>
    </row>
    <row r="446" spans="1:10" ht="14.25" customHeight="1">
      <c r="A446" s="17" t="s">
        <v>30</v>
      </c>
      <c r="B446" s="1"/>
      <c r="C446" s="1"/>
      <c r="D446" s="2">
        <v>2000</v>
      </c>
      <c r="E446" s="17" t="s">
        <v>58</v>
      </c>
      <c r="F446" s="1"/>
      <c r="G446" s="2" t="s">
        <v>25</v>
      </c>
      <c r="H446" s="18" t="s">
        <v>32</v>
      </c>
      <c r="I446" s="6"/>
      <c r="J446" s="19"/>
    </row>
    <row r="447" spans="1:10" ht="14.25" customHeight="1">
      <c r="A447" s="17" t="s">
        <v>78</v>
      </c>
      <c r="B447" s="1"/>
      <c r="C447" s="1"/>
      <c r="D447" s="2" t="s">
        <v>25</v>
      </c>
      <c r="E447" s="17" t="s">
        <v>35</v>
      </c>
      <c r="F447" s="1"/>
      <c r="G447" s="2" t="s">
        <v>25</v>
      </c>
      <c r="H447" s="18"/>
      <c r="I447" s="6"/>
      <c r="J447" s="19"/>
    </row>
    <row r="448" spans="1:10" ht="14.25" customHeight="1">
      <c r="A448" s="17" t="s">
        <v>147</v>
      </c>
      <c r="B448" s="1"/>
      <c r="C448" s="1"/>
      <c r="D448" s="2" t="s">
        <v>25</v>
      </c>
      <c r="E448" s="17" t="s">
        <v>61</v>
      </c>
      <c r="F448" s="1"/>
      <c r="G448" s="2">
        <v>1200</v>
      </c>
      <c r="H448" s="18"/>
      <c r="I448" s="6"/>
      <c r="J448" s="19"/>
    </row>
    <row r="449" spans="1:10" ht="14.25" customHeight="1">
      <c r="A449" s="17" t="s">
        <v>72</v>
      </c>
      <c r="B449" s="1"/>
      <c r="C449" s="1"/>
      <c r="D449" s="2" t="s">
        <v>25</v>
      </c>
      <c r="E449" s="17" t="s">
        <v>39</v>
      </c>
      <c r="F449" s="1"/>
      <c r="G449" s="2">
        <v>100</v>
      </c>
      <c r="H449" s="18"/>
      <c r="I449" s="6"/>
      <c r="J449" s="19"/>
    </row>
    <row r="450" spans="1:10" ht="14.25" customHeight="1">
      <c r="A450" s="18" t="s">
        <v>40</v>
      </c>
      <c r="B450" s="6"/>
      <c r="C450" s="6"/>
      <c r="D450" s="2" t="s">
        <v>25</v>
      </c>
      <c r="E450" s="17" t="s">
        <v>78</v>
      </c>
      <c r="F450" s="1"/>
      <c r="G450" s="2" t="s">
        <v>25</v>
      </c>
      <c r="H450" s="18"/>
      <c r="I450" s="6"/>
      <c r="J450" s="19"/>
    </row>
    <row r="451" spans="1:10" ht="14.25" customHeight="1">
      <c r="A451" s="204" t="s">
        <v>63</v>
      </c>
      <c r="B451" s="205"/>
      <c r="C451" s="206"/>
      <c r="D451" s="229">
        <f>SUM(D444:D450)</f>
        <v>27000</v>
      </c>
      <c r="E451" s="1" t="s">
        <v>43</v>
      </c>
      <c r="F451" s="1"/>
      <c r="G451" s="2" t="s">
        <v>25</v>
      </c>
      <c r="H451" s="18"/>
      <c r="I451" s="6"/>
      <c r="J451" s="19"/>
    </row>
    <row r="452" spans="1:10" ht="14.25" customHeight="1">
      <c r="A452" s="207"/>
      <c r="B452" s="197"/>
      <c r="C452" s="208"/>
      <c r="D452" s="230"/>
      <c r="E452" s="21" t="s">
        <v>21</v>
      </c>
      <c r="F452" s="22"/>
      <c r="G452" s="13">
        <f>SUM(G444:G451)</f>
        <v>1300</v>
      </c>
      <c r="H452" s="21" t="s">
        <v>44</v>
      </c>
      <c r="I452" s="22"/>
      <c r="J452" s="13">
        <f>D451-G452</f>
        <v>25700</v>
      </c>
    </row>
    <row r="453" spans="1:10" ht="14.25" customHeight="1">
      <c r="A453" s="3" t="s">
        <v>45</v>
      </c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4.25" customHeight="1">
      <c r="A455" s="3"/>
      <c r="B455" s="3" t="s">
        <v>47</v>
      </c>
      <c r="C455" s="3"/>
      <c r="D455" s="3"/>
      <c r="E455" s="3" t="s">
        <v>48</v>
      </c>
      <c r="F455" s="3"/>
      <c r="G455" s="3"/>
      <c r="H455" s="3" t="s">
        <v>49</v>
      </c>
      <c r="I455" s="3"/>
      <c r="J455" s="3"/>
    </row>
    <row r="456" spans="1:10" ht="14.25" customHeight="1">
      <c r="A456" s="184" t="s">
        <v>0</v>
      </c>
      <c r="B456" s="185"/>
      <c r="C456" s="185"/>
      <c r="D456" s="185"/>
      <c r="E456" s="185"/>
      <c r="F456" s="185"/>
      <c r="G456" s="185"/>
      <c r="H456" s="185"/>
      <c r="I456" s="185"/>
      <c r="J456" s="186"/>
    </row>
    <row r="457" spans="1:10" ht="14.25" customHeight="1">
      <c r="A457" s="187" t="s">
        <v>1</v>
      </c>
      <c r="B457" s="188"/>
      <c r="C457" s="188"/>
      <c r="D457" s="188"/>
      <c r="E457" s="188"/>
      <c r="F457" s="188"/>
      <c r="G457" s="188"/>
      <c r="H457" s="188"/>
      <c r="I457" s="188"/>
      <c r="J457" s="189"/>
    </row>
    <row r="458" spans="1:10" ht="14.25" customHeight="1">
      <c r="A458" s="190" t="s">
        <v>2</v>
      </c>
      <c r="B458" s="190"/>
      <c r="C458" s="36"/>
      <c r="D458" s="36"/>
      <c r="E458" s="2"/>
      <c r="F458" s="3"/>
      <c r="G458" s="6" t="s">
        <v>4</v>
      </c>
      <c r="H458" s="193" t="s">
        <v>211</v>
      </c>
      <c r="I458" s="193"/>
      <c r="J458" s="193"/>
    </row>
    <row r="459" spans="1:10" ht="14.25" customHeight="1">
      <c r="A459" s="194" t="s">
        <v>6</v>
      </c>
      <c r="B459" s="194"/>
      <c r="C459" s="36" t="s">
        <v>774</v>
      </c>
      <c r="D459" s="36"/>
      <c r="E459" s="2"/>
      <c r="F459" s="3"/>
      <c r="G459" s="6" t="s">
        <v>8</v>
      </c>
      <c r="H459" s="193" t="s">
        <v>9</v>
      </c>
      <c r="I459" s="193"/>
      <c r="J459" s="193"/>
    </row>
    <row r="460" spans="1:10" ht="14.25" customHeight="1">
      <c r="A460" s="6" t="s">
        <v>10</v>
      </c>
      <c r="B460" s="6"/>
      <c r="C460" s="36" t="s">
        <v>721</v>
      </c>
      <c r="D460" s="36"/>
      <c r="E460" s="2"/>
      <c r="F460" s="3"/>
      <c r="G460" s="6" t="s">
        <v>12</v>
      </c>
      <c r="H460" s="195" t="s">
        <v>13</v>
      </c>
      <c r="I460" s="195"/>
      <c r="J460" s="195"/>
    </row>
    <row r="461" spans="1:10" ht="14.25" customHeight="1">
      <c r="A461" s="2" t="s">
        <v>14</v>
      </c>
      <c r="B461" s="2"/>
      <c r="C461" s="2" t="s">
        <v>15</v>
      </c>
      <c r="D461" s="2"/>
      <c r="E461" s="2"/>
      <c r="F461" s="3"/>
      <c r="G461" s="6" t="s">
        <v>16</v>
      </c>
      <c r="H461" s="196" t="s">
        <v>55</v>
      </c>
      <c r="I461" s="196"/>
      <c r="J461" s="196"/>
    </row>
    <row r="462" spans="1:10" ht="14.25" customHeight="1">
      <c r="A462" s="2">
        <v>30</v>
      </c>
      <c r="B462" s="2"/>
      <c r="C462" s="2">
        <f>A462-H462</f>
        <v>0</v>
      </c>
      <c r="D462" s="2"/>
      <c r="E462" s="2"/>
      <c r="F462" s="3"/>
      <c r="G462" s="116" t="s">
        <v>18</v>
      </c>
      <c r="H462" s="197">
        <v>30</v>
      </c>
      <c r="I462" s="197"/>
      <c r="J462" s="197"/>
    </row>
    <row r="463" spans="1:10" ht="14.25" customHeight="1">
      <c r="A463" s="201" t="s">
        <v>19</v>
      </c>
      <c r="B463" s="202"/>
      <c r="C463" s="333"/>
      <c r="D463" s="13" t="s">
        <v>20</v>
      </c>
      <c r="E463" s="201" t="s">
        <v>21</v>
      </c>
      <c r="F463" s="333"/>
      <c r="G463" s="16" t="s">
        <v>20</v>
      </c>
      <c r="H463" s="201" t="s">
        <v>22</v>
      </c>
      <c r="I463" s="202"/>
      <c r="J463" s="203"/>
    </row>
    <row r="464" spans="1:10" ht="14.25" customHeight="1">
      <c r="A464" s="117" t="s">
        <v>23</v>
      </c>
      <c r="B464" s="118"/>
      <c r="C464" s="118"/>
      <c r="D464" s="2">
        <v>15000</v>
      </c>
      <c r="E464" s="334" t="s">
        <v>775</v>
      </c>
      <c r="F464" s="335"/>
      <c r="G464" s="2" t="s">
        <v>25</v>
      </c>
      <c r="H464" s="18" t="s">
        <v>502</v>
      </c>
      <c r="I464" s="6"/>
      <c r="J464" s="19"/>
    </row>
    <row r="465" spans="1:10" ht="14.25" customHeight="1">
      <c r="A465" s="18" t="s">
        <v>77</v>
      </c>
      <c r="B465" s="209" t="s">
        <v>776</v>
      </c>
      <c r="C465" s="209"/>
      <c r="D465" s="2">
        <v>3000</v>
      </c>
      <c r="E465" s="211" t="s">
        <v>28</v>
      </c>
      <c r="F465" s="194"/>
      <c r="G465" s="2" t="s">
        <v>25</v>
      </c>
      <c r="H465" s="18" t="s">
        <v>777</v>
      </c>
      <c r="I465" s="6"/>
      <c r="J465" s="19"/>
    </row>
    <row r="466" spans="1:10" ht="14.25" customHeight="1">
      <c r="A466" s="18" t="s">
        <v>30</v>
      </c>
      <c r="B466" s="6"/>
      <c r="C466" s="2"/>
      <c r="D466" s="2">
        <v>3000</v>
      </c>
      <c r="E466" s="211" t="s">
        <v>722</v>
      </c>
      <c r="F466" s="194"/>
      <c r="G466" s="2">
        <v>5000</v>
      </c>
      <c r="H466" s="18"/>
      <c r="I466" s="6"/>
      <c r="J466" s="19"/>
    </row>
    <row r="467" spans="1:10" ht="14.25" customHeight="1">
      <c r="A467" s="18" t="s">
        <v>778</v>
      </c>
      <c r="B467" s="2"/>
      <c r="C467" s="6"/>
      <c r="D467" s="2">
        <v>2500</v>
      </c>
      <c r="E467" s="211" t="s">
        <v>35</v>
      </c>
      <c r="F467" s="194"/>
      <c r="G467" s="2" t="s">
        <v>25</v>
      </c>
      <c r="H467" s="18" t="s">
        <v>779</v>
      </c>
      <c r="I467" s="6"/>
      <c r="J467" s="19"/>
    </row>
    <row r="468" spans="1:10" ht="14.25" customHeight="1">
      <c r="A468" s="17" t="s">
        <v>629</v>
      </c>
      <c r="B468" s="6"/>
      <c r="C468" s="6"/>
      <c r="D468" s="2">
        <v>3000</v>
      </c>
      <c r="E468" s="211" t="s">
        <v>61</v>
      </c>
      <c r="F468" s="194"/>
      <c r="G468" s="2" t="s">
        <v>25</v>
      </c>
      <c r="H468" s="18"/>
      <c r="I468" s="6"/>
      <c r="J468" s="19"/>
    </row>
    <row r="469" spans="1:10" ht="14.25" customHeight="1">
      <c r="A469" s="18" t="s">
        <v>78</v>
      </c>
      <c r="B469" s="6"/>
      <c r="C469" s="6"/>
      <c r="D469" s="2" t="s">
        <v>25</v>
      </c>
      <c r="E469" s="211" t="s">
        <v>39</v>
      </c>
      <c r="F469" s="194"/>
      <c r="G469" s="2">
        <v>100</v>
      </c>
      <c r="H469" s="36"/>
      <c r="I469" s="6"/>
      <c r="J469" s="19"/>
    </row>
    <row r="470" spans="1:10" ht="14.25" customHeight="1">
      <c r="A470" s="18" t="s">
        <v>40</v>
      </c>
      <c r="B470" s="6"/>
      <c r="C470" s="6"/>
      <c r="D470" s="2" t="s">
        <v>25</v>
      </c>
      <c r="E470" s="211" t="s">
        <v>78</v>
      </c>
      <c r="F470" s="194"/>
      <c r="G470" s="2" t="s">
        <v>25</v>
      </c>
      <c r="H470" s="50"/>
      <c r="I470" s="6"/>
      <c r="J470" s="19"/>
    </row>
    <row r="471" spans="1:10" ht="14.25" customHeight="1">
      <c r="A471" s="338" t="s">
        <v>63</v>
      </c>
      <c r="B471" s="335"/>
      <c r="C471" s="339"/>
      <c r="D471" s="229">
        <f>SUM(D464:D470)</f>
        <v>26500</v>
      </c>
      <c r="E471" s="336" t="s">
        <v>43</v>
      </c>
      <c r="F471" s="337"/>
      <c r="G471" s="2" t="s">
        <v>25</v>
      </c>
      <c r="H471" s="18"/>
      <c r="I471" s="6"/>
      <c r="J471" s="19"/>
    </row>
    <row r="472" spans="1:10" ht="14.25" customHeight="1">
      <c r="A472" s="336"/>
      <c r="B472" s="337"/>
      <c r="C472" s="340"/>
      <c r="D472" s="230"/>
      <c r="E472" s="198" t="s">
        <v>21</v>
      </c>
      <c r="F472" s="200"/>
      <c r="G472" s="13">
        <f>SUM(G464:G471)</f>
        <v>5100</v>
      </c>
      <c r="H472" s="198" t="s">
        <v>44</v>
      </c>
      <c r="I472" s="200"/>
      <c r="J472" s="13">
        <f>SUM(D471-G472)</f>
        <v>21400</v>
      </c>
    </row>
    <row r="473" spans="1:10" ht="14.25" customHeight="1">
      <c r="A473" s="3" t="s">
        <v>45</v>
      </c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4.25" customHeight="1">
      <c r="A475" s="3"/>
      <c r="B475" s="3" t="s">
        <v>47</v>
      </c>
      <c r="C475" s="3"/>
      <c r="D475" s="3"/>
      <c r="E475" s="3" t="s">
        <v>48</v>
      </c>
      <c r="F475" s="3"/>
      <c r="G475" s="3"/>
      <c r="H475" s="3" t="s">
        <v>49</v>
      </c>
      <c r="I475" s="3"/>
      <c r="J475" s="3"/>
    </row>
    <row r="476" spans="1:10" ht="14.25" customHeight="1">
      <c r="A476" s="184" t="s">
        <v>0</v>
      </c>
      <c r="B476" s="185"/>
      <c r="C476" s="185"/>
      <c r="D476" s="185"/>
      <c r="E476" s="185"/>
      <c r="F476" s="185"/>
      <c r="G476" s="185"/>
      <c r="H476" s="185"/>
      <c r="I476" s="185"/>
      <c r="J476" s="186"/>
    </row>
    <row r="477" spans="1:10" ht="14.25" customHeight="1">
      <c r="A477" s="187" t="s">
        <v>1</v>
      </c>
      <c r="B477" s="188"/>
      <c r="C477" s="188"/>
      <c r="D477" s="188"/>
      <c r="E477" s="188"/>
      <c r="F477" s="188"/>
      <c r="G477" s="188"/>
      <c r="H477" s="188"/>
      <c r="I477" s="188"/>
      <c r="J477" s="189"/>
    </row>
    <row r="478" spans="1:10" ht="14.25" customHeight="1">
      <c r="A478" s="190" t="s">
        <v>2</v>
      </c>
      <c r="B478" s="190"/>
      <c r="C478" s="36"/>
      <c r="D478" s="36"/>
      <c r="E478" s="2"/>
      <c r="F478" s="3"/>
      <c r="G478" s="6" t="s">
        <v>4</v>
      </c>
      <c r="H478" s="193" t="s">
        <v>211</v>
      </c>
      <c r="I478" s="193"/>
      <c r="J478" s="193"/>
    </row>
    <row r="479" spans="1:10" ht="14.25" customHeight="1">
      <c r="A479" s="194" t="s">
        <v>6</v>
      </c>
      <c r="B479" s="194"/>
      <c r="C479" s="36" t="s">
        <v>780</v>
      </c>
      <c r="D479" s="36"/>
      <c r="E479" s="2"/>
      <c r="F479" s="3"/>
      <c r="G479" s="6" t="s">
        <v>8</v>
      </c>
      <c r="H479" s="193" t="s">
        <v>9</v>
      </c>
      <c r="I479" s="193"/>
      <c r="J479" s="193"/>
    </row>
    <row r="480" spans="1:10" ht="14.25" customHeight="1">
      <c r="A480" s="6" t="s">
        <v>10</v>
      </c>
      <c r="B480" s="6"/>
      <c r="C480" s="36" t="s">
        <v>721</v>
      </c>
      <c r="D480" s="36"/>
      <c r="E480" s="2"/>
      <c r="F480" s="3"/>
      <c r="G480" s="6" t="s">
        <v>12</v>
      </c>
      <c r="H480" s="195" t="s">
        <v>13</v>
      </c>
      <c r="I480" s="195"/>
      <c r="J480" s="195"/>
    </row>
    <row r="481" spans="1:10" ht="14.25" customHeight="1">
      <c r="A481" s="2" t="s">
        <v>14</v>
      </c>
      <c r="B481" s="2"/>
      <c r="C481" s="2" t="s">
        <v>15</v>
      </c>
      <c r="D481" s="2"/>
      <c r="E481" s="2"/>
      <c r="F481" s="3"/>
      <c r="G481" s="6" t="s">
        <v>16</v>
      </c>
      <c r="H481" s="196" t="s">
        <v>140</v>
      </c>
      <c r="I481" s="196"/>
      <c r="J481" s="196"/>
    </row>
    <row r="482" spans="1:10" ht="14.25" customHeight="1">
      <c r="A482" s="2">
        <v>30</v>
      </c>
      <c r="B482" s="2"/>
      <c r="C482" s="2">
        <f>A482-H482</f>
        <v>18</v>
      </c>
      <c r="D482" s="2"/>
      <c r="E482" s="2"/>
      <c r="F482" s="3"/>
      <c r="G482" s="116" t="s">
        <v>18</v>
      </c>
      <c r="H482" s="197">
        <v>12</v>
      </c>
      <c r="I482" s="197"/>
      <c r="J482" s="197"/>
    </row>
    <row r="483" spans="1:10" ht="14.25" customHeight="1">
      <c r="A483" s="201" t="s">
        <v>19</v>
      </c>
      <c r="B483" s="202"/>
      <c r="C483" s="333"/>
      <c r="D483" s="13" t="s">
        <v>20</v>
      </c>
      <c r="E483" s="201" t="s">
        <v>21</v>
      </c>
      <c r="F483" s="333"/>
      <c r="G483" s="16" t="s">
        <v>20</v>
      </c>
      <c r="H483" s="201" t="s">
        <v>22</v>
      </c>
      <c r="I483" s="202"/>
      <c r="J483" s="203"/>
    </row>
    <row r="484" spans="1:10" ht="14.25" customHeight="1">
      <c r="A484" s="117" t="s">
        <v>23</v>
      </c>
      <c r="B484" s="118"/>
      <c r="C484" s="118"/>
      <c r="D484" s="2">
        <v>15000</v>
      </c>
      <c r="E484" s="334" t="s">
        <v>775</v>
      </c>
      <c r="F484" s="335"/>
      <c r="G484" s="2" t="s">
        <v>25</v>
      </c>
      <c r="H484" s="18" t="s">
        <v>502</v>
      </c>
      <c r="I484" s="6"/>
      <c r="J484" s="19"/>
    </row>
    <row r="485" spans="1:10" ht="14.25" customHeight="1">
      <c r="A485" s="18" t="s">
        <v>77</v>
      </c>
      <c r="B485" s="209"/>
      <c r="C485" s="209"/>
      <c r="D485" s="2" t="s">
        <v>25</v>
      </c>
      <c r="E485" s="211" t="s">
        <v>28</v>
      </c>
      <c r="F485" s="194"/>
      <c r="G485" s="2" t="s">
        <v>25</v>
      </c>
      <c r="H485" s="18" t="s">
        <v>777</v>
      </c>
      <c r="I485" s="6"/>
      <c r="J485" s="19"/>
    </row>
    <row r="486" spans="1:10" ht="14.25" customHeight="1">
      <c r="A486" s="18" t="s">
        <v>30</v>
      </c>
      <c r="B486" s="6"/>
      <c r="C486" s="2"/>
      <c r="D486" s="2" t="s">
        <v>25</v>
      </c>
      <c r="E486" s="211" t="s">
        <v>722</v>
      </c>
      <c r="F486" s="194"/>
      <c r="G486" s="2">
        <v>7900</v>
      </c>
      <c r="H486" s="18"/>
      <c r="I486" s="6"/>
      <c r="J486" s="19"/>
    </row>
    <row r="487" spans="1:10" ht="14.25" customHeight="1">
      <c r="A487" s="18" t="s">
        <v>781</v>
      </c>
      <c r="B487" s="2"/>
      <c r="C487" s="6"/>
      <c r="D487" s="2" t="s">
        <v>25</v>
      </c>
      <c r="E487" s="211" t="s">
        <v>35</v>
      </c>
      <c r="F487" s="194"/>
      <c r="G487" s="2">
        <v>9000</v>
      </c>
      <c r="H487" s="18"/>
      <c r="I487" s="6"/>
      <c r="J487" s="19"/>
    </row>
    <row r="488" spans="1:10" ht="14.25" customHeight="1">
      <c r="A488" s="17" t="s">
        <v>629</v>
      </c>
      <c r="B488" s="6"/>
      <c r="C488" s="6"/>
      <c r="D488" s="171">
        <v>2000</v>
      </c>
      <c r="E488" s="211" t="s">
        <v>61</v>
      </c>
      <c r="F488" s="194"/>
      <c r="G488" s="2" t="s">
        <v>25</v>
      </c>
      <c r="H488" s="18"/>
      <c r="I488" s="6"/>
      <c r="J488" s="19"/>
    </row>
    <row r="489" spans="1:10" ht="14.25" customHeight="1">
      <c r="A489" s="18" t="s">
        <v>78</v>
      </c>
      <c r="B489" s="6"/>
      <c r="C489" s="6"/>
      <c r="D489" s="2" t="s">
        <v>25</v>
      </c>
      <c r="E489" s="211" t="s">
        <v>39</v>
      </c>
      <c r="F489" s="194"/>
      <c r="G489" s="2">
        <v>100</v>
      </c>
      <c r="H489" s="36"/>
      <c r="I489" s="6"/>
      <c r="J489" s="19"/>
    </row>
    <row r="490" spans="1:10" ht="14.25" customHeight="1">
      <c r="A490" s="18" t="s">
        <v>40</v>
      </c>
      <c r="B490" s="6"/>
      <c r="C490" s="6"/>
      <c r="D490" s="2" t="s">
        <v>25</v>
      </c>
      <c r="E490" s="211" t="s">
        <v>78</v>
      </c>
      <c r="F490" s="194"/>
      <c r="G490" s="2" t="s">
        <v>25</v>
      </c>
      <c r="H490" s="50"/>
      <c r="I490" s="6"/>
      <c r="J490" s="19"/>
    </row>
    <row r="491" spans="1:10" ht="14.25" customHeight="1">
      <c r="A491" s="338" t="s">
        <v>63</v>
      </c>
      <c r="B491" s="335"/>
      <c r="C491" s="339"/>
      <c r="D491" s="229">
        <f>SUM(D484:D490)</f>
        <v>17000</v>
      </c>
      <c r="E491" s="336" t="s">
        <v>43</v>
      </c>
      <c r="F491" s="337"/>
      <c r="G491" s="2" t="s">
        <v>25</v>
      </c>
      <c r="H491" s="18"/>
      <c r="I491" s="6"/>
      <c r="J491" s="19"/>
    </row>
    <row r="492" spans="1:10" ht="14.25" customHeight="1">
      <c r="A492" s="336"/>
      <c r="B492" s="337"/>
      <c r="C492" s="340"/>
      <c r="D492" s="230"/>
      <c r="E492" s="198" t="s">
        <v>21</v>
      </c>
      <c r="F492" s="200"/>
      <c r="G492" s="13">
        <f>SUM(G484:G491)</f>
        <v>17000</v>
      </c>
      <c r="H492" s="198" t="s">
        <v>44</v>
      </c>
      <c r="I492" s="200"/>
      <c r="J492" s="13">
        <f>SUM(D491-G492)</f>
        <v>0</v>
      </c>
    </row>
    <row r="493" spans="1:10" ht="14.25" customHeight="1">
      <c r="A493" s="3" t="s">
        <v>45</v>
      </c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4.25" customHeight="1">
      <c r="A495" s="3"/>
      <c r="B495" s="3" t="s">
        <v>47</v>
      </c>
      <c r="C495" s="3"/>
      <c r="D495" s="3"/>
      <c r="E495" s="3" t="s">
        <v>48</v>
      </c>
      <c r="F495" s="3"/>
      <c r="G495" s="3"/>
      <c r="H495" s="3" t="s">
        <v>49</v>
      </c>
      <c r="I495" s="3"/>
      <c r="J495" s="3"/>
    </row>
    <row r="496" spans="1:10" ht="14.25" customHeight="1">
      <c r="A496" s="184" t="s">
        <v>0</v>
      </c>
      <c r="B496" s="185"/>
      <c r="C496" s="185"/>
      <c r="D496" s="185"/>
      <c r="E496" s="185"/>
      <c r="F496" s="185"/>
      <c r="G496" s="185"/>
      <c r="H496" s="185"/>
      <c r="I496" s="185"/>
      <c r="J496" s="186"/>
    </row>
    <row r="497" spans="1:10" ht="14.25" customHeight="1">
      <c r="A497" s="187" t="s">
        <v>1</v>
      </c>
      <c r="B497" s="188"/>
      <c r="C497" s="188"/>
      <c r="D497" s="188"/>
      <c r="E497" s="188"/>
      <c r="F497" s="188"/>
      <c r="G497" s="188"/>
      <c r="H497" s="188"/>
      <c r="I497" s="188"/>
      <c r="J497" s="189"/>
    </row>
    <row r="498" spans="1:10" ht="14.25" customHeight="1">
      <c r="A498" s="1" t="s">
        <v>2</v>
      </c>
      <c r="B498" s="1"/>
      <c r="C498" s="209" t="s">
        <v>782</v>
      </c>
      <c r="D498" s="209"/>
      <c r="E498" s="2"/>
      <c r="F498" s="3"/>
      <c r="G498" s="1" t="s">
        <v>4</v>
      </c>
      <c r="H498" s="191" t="s">
        <v>215</v>
      </c>
      <c r="I498" s="191"/>
      <c r="J498" s="191"/>
    </row>
    <row r="499" spans="1:10" ht="14.25" customHeight="1">
      <c r="A499" s="1" t="s">
        <v>6</v>
      </c>
      <c r="B499" s="1"/>
      <c r="C499" s="196" t="s">
        <v>783</v>
      </c>
      <c r="D499" s="196"/>
      <c r="E499" s="2"/>
      <c r="F499" s="3"/>
      <c r="G499" s="1" t="s">
        <v>8</v>
      </c>
      <c r="H499" s="193" t="s">
        <v>211</v>
      </c>
      <c r="I499" s="193"/>
      <c r="J499" s="193"/>
    </row>
    <row r="500" spans="1:10" ht="14.25" customHeight="1">
      <c r="A500" s="6" t="s">
        <v>10</v>
      </c>
      <c r="B500" s="6"/>
      <c r="C500" s="6" t="s">
        <v>721</v>
      </c>
      <c r="D500" s="6"/>
      <c r="E500" s="2"/>
      <c r="F500" s="3"/>
      <c r="G500" s="1" t="s">
        <v>12</v>
      </c>
      <c r="H500" s="195" t="s">
        <v>13</v>
      </c>
      <c r="I500" s="195"/>
      <c r="J500" s="195"/>
    </row>
    <row r="501" spans="1:10" ht="14.25" customHeight="1">
      <c r="A501" s="6" t="s">
        <v>14</v>
      </c>
      <c r="B501" s="6"/>
      <c r="C501" s="2" t="s">
        <v>15</v>
      </c>
      <c r="D501" s="2"/>
      <c r="E501" s="36"/>
      <c r="F501" s="3"/>
      <c r="G501" s="1" t="s">
        <v>16</v>
      </c>
      <c r="H501" s="196" t="s">
        <v>55</v>
      </c>
      <c r="I501" s="196"/>
      <c r="J501" s="196"/>
    </row>
    <row r="502" spans="1:10" ht="14.25" customHeight="1">
      <c r="A502" s="6">
        <v>30</v>
      </c>
      <c r="B502" s="6"/>
      <c r="C502" s="2">
        <f>A502-I502</f>
        <v>2</v>
      </c>
      <c r="D502" s="2"/>
      <c r="E502" s="2"/>
      <c r="F502" s="3"/>
      <c r="G502" s="8" t="s">
        <v>18</v>
      </c>
      <c r="H502" s="8"/>
      <c r="I502" s="9">
        <v>28</v>
      </c>
      <c r="J502" s="9"/>
    </row>
    <row r="503" spans="1:10" ht="14.25" customHeight="1">
      <c r="A503" s="198" t="s">
        <v>19</v>
      </c>
      <c r="B503" s="199"/>
      <c r="C503" s="200"/>
      <c r="D503" s="13" t="s">
        <v>20</v>
      </c>
      <c r="E503" s="14" t="s">
        <v>21</v>
      </c>
      <c r="F503" s="15"/>
      <c r="G503" s="16" t="s">
        <v>20</v>
      </c>
      <c r="H503" s="201" t="s">
        <v>22</v>
      </c>
      <c r="I503" s="202"/>
      <c r="J503" s="203"/>
    </row>
    <row r="504" spans="1:10" ht="14.25" customHeight="1">
      <c r="A504" s="17" t="s">
        <v>23</v>
      </c>
      <c r="B504" s="1"/>
      <c r="C504" s="1"/>
      <c r="D504" s="2">
        <v>18000</v>
      </c>
      <c r="E504" s="17" t="s">
        <v>24</v>
      </c>
      <c r="F504" s="1"/>
      <c r="G504" s="2" t="s">
        <v>25</v>
      </c>
      <c r="H504" s="18" t="s">
        <v>502</v>
      </c>
      <c r="I504" s="6"/>
      <c r="J504" s="19"/>
    </row>
    <row r="505" spans="1:10" ht="14.25" customHeight="1">
      <c r="A505" s="17" t="s">
        <v>247</v>
      </c>
      <c r="B505" s="209" t="s">
        <v>320</v>
      </c>
      <c r="C505" s="209"/>
      <c r="D505" s="2">
        <v>1200</v>
      </c>
      <c r="E505" s="17" t="s">
        <v>141</v>
      </c>
      <c r="F505" s="1"/>
      <c r="G505" s="2" t="s">
        <v>25</v>
      </c>
      <c r="H505" s="18" t="s">
        <v>504</v>
      </c>
      <c r="I505" s="6"/>
      <c r="J505" s="19"/>
    </row>
    <row r="506" spans="1:10" ht="14.25" customHeight="1">
      <c r="A506" s="17" t="s">
        <v>30</v>
      </c>
      <c r="B506" s="1"/>
      <c r="C506" s="1"/>
      <c r="D506" s="2">
        <v>2000</v>
      </c>
      <c r="E506" s="17" t="s">
        <v>722</v>
      </c>
      <c r="F506" s="1"/>
      <c r="G506" s="2">
        <v>4000</v>
      </c>
      <c r="H506" s="18" t="s">
        <v>32</v>
      </c>
      <c r="I506" s="6"/>
      <c r="J506" s="19"/>
    </row>
    <row r="507" spans="1:10" ht="14.25" customHeight="1">
      <c r="A507" s="17" t="s">
        <v>629</v>
      </c>
      <c r="B507" s="1"/>
      <c r="C507" s="1"/>
      <c r="D507" s="2">
        <v>5000</v>
      </c>
      <c r="E507" s="17" t="s">
        <v>35</v>
      </c>
      <c r="F507" s="1"/>
      <c r="G507" s="2">
        <v>1200</v>
      </c>
      <c r="H507" s="18"/>
      <c r="I507" s="6"/>
      <c r="J507" s="19"/>
    </row>
    <row r="508" spans="1:10" ht="14.25" customHeight="1">
      <c r="A508" s="17" t="s">
        <v>72</v>
      </c>
      <c r="B508" s="1"/>
      <c r="C508" s="1"/>
      <c r="D508" s="2" t="s">
        <v>25</v>
      </c>
      <c r="E508" s="17" t="s">
        <v>61</v>
      </c>
      <c r="F508" s="1"/>
      <c r="G508" s="2" t="s">
        <v>25</v>
      </c>
      <c r="H508" s="18" t="s">
        <v>784</v>
      </c>
      <c r="I508" s="6"/>
      <c r="J508" s="26"/>
    </row>
    <row r="509" spans="1:10" ht="14.25" customHeight="1">
      <c r="A509" s="17" t="s">
        <v>663</v>
      </c>
      <c r="B509" s="1"/>
      <c r="C509" s="1"/>
      <c r="D509" s="2" t="s">
        <v>25</v>
      </c>
      <c r="E509" s="17" t="s">
        <v>39</v>
      </c>
      <c r="F509" s="1"/>
      <c r="G509" s="2">
        <v>100</v>
      </c>
      <c r="H509" s="18"/>
      <c r="I509" s="6"/>
      <c r="J509" s="26"/>
    </row>
    <row r="510" spans="1:10" ht="14.25" customHeight="1">
      <c r="A510" s="18" t="s">
        <v>40</v>
      </c>
      <c r="B510" s="6"/>
      <c r="C510" s="6"/>
      <c r="D510" s="2" t="s">
        <v>25</v>
      </c>
      <c r="E510" s="17" t="s">
        <v>62</v>
      </c>
      <c r="F510" s="2"/>
      <c r="G510" s="2" t="s">
        <v>25</v>
      </c>
      <c r="H510" s="18"/>
      <c r="I510" s="6"/>
      <c r="J510" s="19"/>
    </row>
    <row r="511" spans="1:10" ht="14.25" customHeight="1">
      <c r="A511" s="204" t="s">
        <v>63</v>
      </c>
      <c r="B511" s="205"/>
      <c r="C511" s="206"/>
      <c r="D511" s="229">
        <f>SUM(D504:D510)</f>
        <v>26200</v>
      </c>
      <c r="E511" s="1" t="s">
        <v>78</v>
      </c>
      <c r="F511" s="1"/>
      <c r="G511" s="2" t="s">
        <v>25</v>
      </c>
      <c r="H511" s="18"/>
      <c r="I511" s="6"/>
      <c r="J511" s="19"/>
    </row>
    <row r="512" spans="1:10" ht="14.25" customHeight="1">
      <c r="A512" s="207"/>
      <c r="B512" s="197"/>
      <c r="C512" s="208"/>
      <c r="D512" s="230"/>
      <c r="E512" s="21" t="s">
        <v>21</v>
      </c>
      <c r="F512" s="22"/>
      <c r="G512" s="13">
        <f>SUM(G504:G511)</f>
        <v>5300</v>
      </c>
      <c r="H512" s="21" t="s">
        <v>44</v>
      </c>
      <c r="I512" s="22"/>
      <c r="J512" s="13">
        <f>D511-G512</f>
        <v>20900</v>
      </c>
    </row>
    <row r="513" spans="1:10" ht="14.25" customHeight="1">
      <c r="A513" s="3" t="s">
        <v>45</v>
      </c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4.25" customHeight="1">
      <c r="A514" s="3"/>
      <c r="B514" s="3" t="s">
        <v>47</v>
      </c>
      <c r="C514" s="3"/>
      <c r="D514" s="3"/>
      <c r="E514" s="3" t="s">
        <v>48</v>
      </c>
      <c r="F514" s="3"/>
      <c r="G514" s="3"/>
      <c r="H514" s="3" t="s">
        <v>49</v>
      </c>
      <c r="I514" s="3"/>
      <c r="J514" s="3"/>
    </row>
    <row r="515" spans="1:10" ht="14.25" customHeight="1">
      <c r="A515" s="184" t="s">
        <v>0</v>
      </c>
      <c r="B515" s="185"/>
      <c r="C515" s="185"/>
      <c r="D515" s="185"/>
      <c r="E515" s="185"/>
      <c r="F515" s="185"/>
      <c r="G515" s="185"/>
      <c r="H515" s="185"/>
      <c r="I515" s="185"/>
      <c r="J515" s="186"/>
    </row>
    <row r="516" spans="1:10" ht="14.25" customHeight="1">
      <c r="A516" s="187" t="s">
        <v>1</v>
      </c>
      <c r="B516" s="188"/>
      <c r="C516" s="188"/>
      <c r="D516" s="188"/>
      <c r="E516" s="188"/>
      <c r="F516" s="188"/>
      <c r="G516" s="188"/>
      <c r="H516" s="188"/>
      <c r="I516" s="188"/>
      <c r="J516" s="189"/>
    </row>
    <row r="517" spans="1:10" ht="14.25" customHeight="1">
      <c r="A517" s="1" t="s">
        <v>2</v>
      </c>
      <c r="B517" s="1"/>
      <c r="C517" s="209" t="s">
        <v>782</v>
      </c>
      <c r="D517" s="209"/>
      <c r="E517" s="2"/>
      <c r="F517" s="3"/>
      <c r="G517" s="1" t="s">
        <v>4</v>
      </c>
      <c r="H517" s="191" t="s">
        <v>215</v>
      </c>
      <c r="I517" s="191"/>
      <c r="J517" s="191"/>
    </row>
    <row r="518" spans="1:10" ht="14.25" customHeight="1">
      <c r="A518" s="1" t="s">
        <v>6</v>
      </c>
      <c r="B518" s="1"/>
      <c r="C518" s="196" t="s">
        <v>785</v>
      </c>
      <c r="D518" s="196"/>
      <c r="E518" s="2"/>
      <c r="F518" s="3"/>
      <c r="G518" s="1" t="s">
        <v>8</v>
      </c>
      <c r="H518" s="193" t="s">
        <v>211</v>
      </c>
      <c r="I518" s="193"/>
      <c r="J518" s="193"/>
    </row>
    <row r="519" spans="1:10" ht="14.25" customHeight="1">
      <c r="A519" s="6" t="s">
        <v>10</v>
      </c>
      <c r="B519" s="6"/>
      <c r="C519" s="6" t="s">
        <v>721</v>
      </c>
      <c r="D519" s="6"/>
      <c r="E519" s="2"/>
      <c r="F519" s="3"/>
      <c r="G519" s="1" t="s">
        <v>12</v>
      </c>
      <c r="H519" s="195" t="s">
        <v>13</v>
      </c>
      <c r="I519" s="195"/>
      <c r="J519" s="195"/>
    </row>
    <row r="520" spans="1:10" ht="14.25" customHeight="1">
      <c r="A520" s="6" t="s">
        <v>14</v>
      </c>
      <c r="B520" s="6"/>
      <c r="C520" s="2" t="s">
        <v>15</v>
      </c>
      <c r="D520" s="2"/>
      <c r="E520" s="36"/>
      <c r="F520" s="3"/>
      <c r="G520" s="1" t="s">
        <v>16</v>
      </c>
      <c r="H520" s="196" t="s">
        <v>140</v>
      </c>
      <c r="I520" s="196"/>
      <c r="J520" s="196"/>
    </row>
    <row r="521" spans="1:10" ht="14.25" customHeight="1">
      <c r="A521" s="6">
        <v>30</v>
      </c>
      <c r="B521" s="6"/>
      <c r="C521" s="2">
        <f>A521-I521</f>
        <v>0</v>
      </c>
      <c r="D521" s="2"/>
      <c r="E521" s="2"/>
      <c r="F521" s="3"/>
      <c r="G521" s="8" t="s">
        <v>18</v>
      </c>
      <c r="H521" s="8"/>
      <c r="I521" s="9">
        <v>30</v>
      </c>
      <c r="J521" s="9"/>
    </row>
    <row r="522" spans="1:10" ht="14.25" customHeight="1">
      <c r="A522" s="198" t="s">
        <v>19</v>
      </c>
      <c r="B522" s="199"/>
      <c r="C522" s="200"/>
      <c r="D522" s="13" t="s">
        <v>20</v>
      </c>
      <c r="E522" s="14" t="s">
        <v>21</v>
      </c>
      <c r="F522" s="15"/>
      <c r="G522" s="16" t="s">
        <v>20</v>
      </c>
      <c r="H522" s="201" t="s">
        <v>22</v>
      </c>
      <c r="I522" s="202"/>
      <c r="J522" s="203"/>
    </row>
    <row r="523" spans="1:10" ht="14.25" customHeight="1">
      <c r="A523" s="17" t="s">
        <v>23</v>
      </c>
      <c r="B523" s="1"/>
      <c r="C523" s="1"/>
      <c r="D523" s="2">
        <v>18000</v>
      </c>
      <c r="E523" s="17" t="s">
        <v>24</v>
      </c>
      <c r="F523" s="1"/>
      <c r="G523" s="2" t="s">
        <v>25</v>
      </c>
      <c r="H523" s="18" t="s">
        <v>502</v>
      </c>
      <c r="I523" s="6"/>
      <c r="J523" s="19"/>
    </row>
    <row r="524" spans="1:10" ht="14.25" customHeight="1">
      <c r="A524" s="17" t="s">
        <v>247</v>
      </c>
      <c r="B524" s="209" t="s">
        <v>355</v>
      </c>
      <c r="C524" s="209"/>
      <c r="D524" s="2">
        <v>2400</v>
      </c>
      <c r="E524" s="17" t="s">
        <v>141</v>
      </c>
      <c r="F524" s="1"/>
      <c r="G524" s="2" t="s">
        <v>25</v>
      </c>
      <c r="H524" s="18" t="s">
        <v>504</v>
      </c>
      <c r="I524" s="6"/>
      <c r="J524" s="19"/>
    </row>
    <row r="525" spans="1:10" ht="14.25" customHeight="1">
      <c r="A525" s="17" t="s">
        <v>30</v>
      </c>
      <c r="B525" s="1"/>
      <c r="C525" s="1"/>
      <c r="D525" s="2">
        <v>1000</v>
      </c>
      <c r="E525" s="17" t="s">
        <v>722</v>
      </c>
      <c r="F525" s="1"/>
      <c r="G525" s="2">
        <v>2330</v>
      </c>
      <c r="H525" s="18" t="s">
        <v>32</v>
      </c>
      <c r="I525" s="6"/>
      <c r="J525" s="19"/>
    </row>
    <row r="526" spans="1:10" ht="14.25" customHeight="1">
      <c r="A526" s="17" t="s">
        <v>629</v>
      </c>
      <c r="B526" s="1"/>
      <c r="C526" s="1"/>
      <c r="D526" s="2" t="s">
        <v>25</v>
      </c>
      <c r="E526" s="17" t="s">
        <v>35</v>
      </c>
      <c r="F526" s="1"/>
      <c r="G526" s="2" t="s">
        <v>25</v>
      </c>
      <c r="H526" s="18"/>
      <c r="I526" s="6"/>
      <c r="J526" s="19"/>
    </row>
    <row r="527" spans="1:10" ht="14.25" customHeight="1">
      <c r="A527" s="17" t="s">
        <v>72</v>
      </c>
      <c r="B527" s="1"/>
      <c r="C527" s="1"/>
      <c r="D527" s="2" t="s">
        <v>25</v>
      </c>
      <c r="E527" s="17" t="s">
        <v>61</v>
      </c>
      <c r="F527" s="1"/>
      <c r="G527" s="2">
        <v>500</v>
      </c>
      <c r="H527" s="18"/>
      <c r="I527" s="6"/>
      <c r="J527" s="26"/>
    </row>
    <row r="528" spans="1:10" ht="14.25" customHeight="1">
      <c r="A528" s="17" t="s">
        <v>663</v>
      </c>
      <c r="B528" s="1"/>
      <c r="C528" s="1"/>
      <c r="D528" s="2" t="s">
        <v>25</v>
      </c>
      <c r="E528" s="17" t="s">
        <v>39</v>
      </c>
      <c r="F528" s="1"/>
      <c r="G528" s="2">
        <v>100</v>
      </c>
      <c r="H528" s="18"/>
      <c r="I528" s="6"/>
      <c r="J528" s="26"/>
    </row>
    <row r="529" spans="1:10" ht="14.25" customHeight="1">
      <c r="A529" s="18" t="s">
        <v>40</v>
      </c>
      <c r="B529" s="6"/>
      <c r="C529" s="6"/>
      <c r="D529" s="2" t="s">
        <v>25</v>
      </c>
      <c r="E529" s="17" t="s">
        <v>62</v>
      </c>
      <c r="F529" s="2"/>
      <c r="G529" s="2" t="s">
        <v>25</v>
      </c>
      <c r="H529" s="18"/>
      <c r="I529" s="6"/>
      <c r="J529" s="19"/>
    </row>
    <row r="530" spans="1:10" ht="14.25" customHeight="1">
      <c r="A530" s="204" t="s">
        <v>63</v>
      </c>
      <c r="B530" s="205"/>
      <c r="C530" s="206"/>
      <c r="D530" s="229">
        <f>SUM(D523:D529)</f>
        <v>21400</v>
      </c>
      <c r="E530" s="1" t="s">
        <v>78</v>
      </c>
      <c r="F530" s="1"/>
      <c r="G530" s="2" t="s">
        <v>25</v>
      </c>
      <c r="H530" s="18"/>
      <c r="I530" s="6"/>
      <c r="J530" s="19"/>
    </row>
    <row r="531" spans="1:10" ht="14.25" customHeight="1">
      <c r="A531" s="207"/>
      <c r="B531" s="197"/>
      <c r="C531" s="208"/>
      <c r="D531" s="230"/>
      <c r="E531" s="21" t="s">
        <v>21</v>
      </c>
      <c r="F531" s="22"/>
      <c r="G531" s="13">
        <f>SUM(G523:G530)</f>
        <v>2930</v>
      </c>
      <c r="H531" s="21" t="s">
        <v>44</v>
      </c>
      <c r="I531" s="22"/>
      <c r="J531" s="13">
        <f>D530-G531</f>
        <v>18470</v>
      </c>
    </row>
    <row r="532" spans="1:10" ht="14.25" customHeight="1">
      <c r="A532" s="3" t="s">
        <v>45</v>
      </c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4.25" customHeight="1">
      <c r="A533" s="3"/>
      <c r="B533" s="3" t="s">
        <v>47</v>
      </c>
      <c r="C533" s="3"/>
      <c r="D533" s="3"/>
      <c r="E533" s="3" t="s">
        <v>48</v>
      </c>
      <c r="F533" s="3"/>
      <c r="G533" s="3"/>
      <c r="H533" s="3" t="s">
        <v>49</v>
      </c>
      <c r="I533" s="3"/>
      <c r="J533" s="3"/>
    </row>
    <row r="534" spans="1:10" ht="14.25" customHeight="1">
      <c r="A534" s="184" t="s">
        <v>0</v>
      </c>
      <c r="B534" s="185"/>
      <c r="C534" s="185"/>
      <c r="D534" s="185"/>
      <c r="E534" s="185"/>
      <c r="F534" s="185"/>
      <c r="G534" s="185"/>
      <c r="H534" s="185"/>
      <c r="I534" s="185"/>
      <c r="J534" s="186"/>
    </row>
    <row r="535" spans="1:10" ht="14.25" customHeight="1">
      <c r="A535" s="187" t="s">
        <v>1</v>
      </c>
      <c r="B535" s="188"/>
      <c r="C535" s="188"/>
      <c r="D535" s="188"/>
      <c r="E535" s="188"/>
      <c r="F535" s="188"/>
      <c r="G535" s="188"/>
      <c r="H535" s="188"/>
      <c r="I535" s="188"/>
      <c r="J535" s="189"/>
    </row>
    <row r="536" spans="1:10" ht="14.25" customHeight="1">
      <c r="A536" s="1" t="s">
        <v>2</v>
      </c>
      <c r="B536" s="1"/>
      <c r="C536" s="190" t="s">
        <v>737</v>
      </c>
      <c r="D536" s="190"/>
      <c r="E536" s="2"/>
      <c r="F536" s="3"/>
      <c r="G536" s="1" t="s">
        <v>4</v>
      </c>
      <c r="H536" s="191" t="s">
        <v>221</v>
      </c>
      <c r="I536" s="191"/>
      <c r="J536" s="191"/>
    </row>
    <row r="537" spans="1:10" ht="14.25" customHeight="1">
      <c r="A537" s="1" t="s">
        <v>6</v>
      </c>
      <c r="B537" s="1"/>
      <c r="C537" s="25" t="s">
        <v>786</v>
      </c>
      <c r="D537" s="25"/>
      <c r="E537" s="2"/>
      <c r="F537" s="3"/>
      <c r="G537" s="1" t="s">
        <v>8</v>
      </c>
      <c r="H537" s="193" t="s">
        <v>9</v>
      </c>
      <c r="I537" s="193"/>
      <c r="J537" s="193"/>
    </row>
    <row r="538" spans="1:10" ht="14.25" customHeight="1">
      <c r="A538" s="6" t="s">
        <v>10</v>
      </c>
      <c r="B538" s="6"/>
      <c r="C538" s="6" t="s">
        <v>750</v>
      </c>
      <c r="D538" s="6"/>
      <c r="E538" s="2"/>
      <c r="F538" s="3"/>
      <c r="G538" s="1" t="s">
        <v>12</v>
      </c>
      <c r="H538" s="195" t="s">
        <v>13</v>
      </c>
      <c r="I538" s="195"/>
      <c r="J538" s="195"/>
    </row>
    <row r="539" spans="1:10" ht="14.25" customHeight="1">
      <c r="A539" s="2" t="s">
        <v>14</v>
      </c>
      <c r="B539" s="2"/>
      <c r="C539" s="1" t="s">
        <v>15</v>
      </c>
      <c r="D539" s="1"/>
      <c r="E539" s="2"/>
      <c r="F539" s="3"/>
      <c r="G539" s="1" t="s">
        <v>16</v>
      </c>
      <c r="H539" s="209" t="s">
        <v>55</v>
      </c>
      <c r="I539" s="209"/>
      <c r="J539" s="209"/>
    </row>
    <row r="540" spans="1:10" ht="14.25" customHeight="1">
      <c r="A540" s="2">
        <v>30</v>
      </c>
      <c r="B540" s="2"/>
      <c r="C540" s="2">
        <f>A540-H540</f>
        <v>0</v>
      </c>
      <c r="D540" s="2"/>
      <c r="E540" s="2"/>
      <c r="F540" s="3"/>
      <c r="G540" s="8" t="s">
        <v>18</v>
      </c>
      <c r="H540" s="197">
        <v>30</v>
      </c>
      <c r="I540" s="197"/>
      <c r="J540" s="197"/>
    </row>
    <row r="541" spans="1:10" ht="14.25" customHeight="1">
      <c r="A541" s="198" t="s">
        <v>19</v>
      </c>
      <c r="B541" s="199"/>
      <c r="C541" s="200"/>
      <c r="D541" s="13" t="s">
        <v>20</v>
      </c>
      <c r="E541" s="14" t="s">
        <v>21</v>
      </c>
      <c r="F541" s="15"/>
      <c r="G541" s="16" t="s">
        <v>20</v>
      </c>
      <c r="H541" s="201" t="s">
        <v>22</v>
      </c>
      <c r="I541" s="202"/>
      <c r="J541" s="203"/>
    </row>
    <row r="542" spans="1:10" ht="14.25" customHeight="1">
      <c r="A542" s="17" t="s">
        <v>56</v>
      </c>
      <c r="B542" s="1"/>
      <c r="C542" s="1"/>
      <c r="D542" s="2">
        <v>18000</v>
      </c>
      <c r="E542" s="17" t="s">
        <v>24</v>
      </c>
      <c r="F542" s="1"/>
      <c r="G542" s="2" t="s">
        <v>25</v>
      </c>
      <c r="H542" s="18" t="s">
        <v>502</v>
      </c>
      <c r="I542" s="6"/>
      <c r="J542" s="19"/>
    </row>
    <row r="543" spans="1:10" ht="14.25" customHeight="1">
      <c r="A543" s="17" t="s">
        <v>57</v>
      </c>
      <c r="B543" s="209" t="s">
        <v>787</v>
      </c>
      <c r="C543" s="209"/>
      <c r="D543" s="2">
        <v>3600</v>
      </c>
      <c r="E543" s="17" t="s">
        <v>83</v>
      </c>
      <c r="F543" s="1"/>
      <c r="G543" s="2">
        <v>5000</v>
      </c>
      <c r="H543" s="18" t="s">
        <v>504</v>
      </c>
      <c r="I543" s="6"/>
      <c r="J543" s="19"/>
    </row>
    <row r="544" spans="1:10" ht="14.25" customHeight="1">
      <c r="A544" s="17" t="s">
        <v>30</v>
      </c>
      <c r="B544" s="1"/>
      <c r="C544" s="1"/>
      <c r="D544" s="2">
        <v>3000</v>
      </c>
      <c r="E544" s="17" t="s">
        <v>58</v>
      </c>
      <c r="F544" s="1"/>
      <c r="G544" s="2">
        <v>1427</v>
      </c>
      <c r="H544" s="18" t="s">
        <v>32</v>
      </c>
      <c r="I544" s="6"/>
      <c r="J544" s="19"/>
    </row>
    <row r="545" spans="1:10" ht="14.25" customHeight="1">
      <c r="A545" s="17" t="s">
        <v>788</v>
      </c>
      <c r="B545" s="1"/>
      <c r="C545" s="1"/>
      <c r="D545" s="2">
        <v>3000</v>
      </c>
      <c r="E545" s="17" t="s">
        <v>394</v>
      </c>
      <c r="F545" s="1"/>
      <c r="G545" s="2" t="s">
        <v>25</v>
      </c>
      <c r="H545" s="18"/>
      <c r="I545" s="6"/>
      <c r="J545" s="19"/>
    </row>
    <row r="546" spans="1:10" ht="14.25" customHeight="1">
      <c r="A546" s="17" t="s">
        <v>147</v>
      </c>
      <c r="B546" s="1"/>
      <c r="C546" s="1"/>
      <c r="D546" s="2" t="s">
        <v>25</v>
      </c>
      <c r="E546" s="17" t="s">
        <v>61</v>
      </c>
      <c r="F546" s="1"/>
      <c r="G546" s="2" t="s">
        <v>25</v>
      </c>
      <c r="H546" s="18" t="s">
        <v>338</v>
      </c>
      <c r="I546" s="6"/>
      <c r="J546" s="19"/>
    </row>
    <row r="547" spans="1:10" ht="14.25" customHeight="1">
      <c r="A547" s="17" t="s">
        <v>789</v>
      </c>
      <c r="B547" s="1"/>
      <c r="C547" s="1"/>
      <c r="D547" s="2">
        <v>2300</v>
      </c>
      <c r="E547" s="17" t="s">
        <v>39</v>
      </c>
      <c r="F547" s="1"/>
      <c r="G547" s="2">
        <v>100</v>
      </c>
      <c r="H547" s="18"/>
      <c r="I547" s="6"/>
      <c r="J547" s="19"/>
    </row>
    <row r="548" spans="1:10" ht="14.25" customHeight="1">
      <c r="A548" s="18" t="s">
        <v>40</v>
      </c>
      <c r="B548" s="6"/>
      <c r="C548" s="6"/>
      <c r="D548" s="2" t="s">
        <v>25</v>
      </c>
      <c r="E548" s="17" t="s">
        <v>78</v>
      </c>
      <c r="F548" s="1"/>
      <c r="G548" s="2" t="s">
        <v>25</v>
      </c>
      <c r="H548" s="18"/>
      <c r="I548" s="6"/>
      <c r="J548" s="19"/>
    </row>
    <row r="549" spans="1:10" ht="14.25" customHeight="1">
      <c r="A549" s="204" t="s">
        <v>63</v>
      </c>
      <c r="B549" s="205"/>
      <c r="C549" s="206"/>
      <c r="D549" s="229">
        <f>SUM(D542:D548)</f>
        <v>29900</v>
      </c>
      <c r="E549" s="1" t="s">
        <v>43</v>
      </c>
      <c r="F549" s="1"/>
      <c r="G549" s="2" t="s">
        <v>25</v>
      </c>
      <c r="H549" s="18"/>
      <c r="I549" s="6"/>
      <c r="J549" s="19"/>
    </row>
    <row r="550" spans="1:10" ht="14.25" customHeight="1">
      <c r="A550" s="207"/>
      <c r="B550" s="197"/>
      <c r="C550" s="208"/>
      <c r="D550" s="230"/>
      <c r="E550" s="21" t="s">
        <v>21</v>
      </c>
      <c r="F550" s="22"/>
      <c r="G550" s="13">
        <f>SUM(G542:G549)</f>
        <v>6527</v>
      </c>
      <c r="H550" s="21" t="s">
        <v>44</v>
      </c>
      <c r="I550" s="22"/>
      <c r="J550" s="13">
        <f>D549-G550</f>
        <v>23373</v>
      </c>
    </row>
    <row r="551" spans="1:10" ht="14.25" customHeight="1">
      <c r="A551" s="3" t="s">
        <v>45</v>
      </c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4.25" customHeight="1">
      <c r="A553" s="3"/>
      <c r="B553" s="3" t="s">
        <v>47</v>
      </c>
      <c r="C553" s="3"/>
      <c r="D553" s="3"/>
      <c r="E553" s="3" t="s">
        <v>48</v>
      </c>
      <c r="F553" s="3"/>
      <c r="G553" s="3"/>
      <c r="H553" s="3" t="s">
        <v>49</v>
      </c>
      <c r="I553" s="3"/>
      <c r="J553" s="3"/>
    </row>
    <row r="554" spans="1:10" ht="14.25" customHeight="1">
      <c r="A554" s="184" t="s">
        <v>0</v>
      </c>
      <c r="B554" s="185"/>
      <c r="C554" s="185"/>
      <c r="D554" s="185"/>
      <c r="E554" s="185"/>
      <c r="F554" s="185"/>
      <c r="G554" s="185"/>
      <c r="H554" s="185"/>
      <c r="I554" s="185"/>
      <c r="J554" s="186"/>
    </row>
    <row r="555" spans="1:10" ht="14.25" customHeight="1">
      <c r="A555" s="187" t="s">
        <v>1</v>
      </c>
      <c r="B555" s="188"/>
      <c r="C555" s="188"/>
      <c r="D555" s="188"/>
      <c r="E555" s="188"/>
      <c r="F555" s="188"/>
      <c r="G555" s="188"/>
      <c r="H555" s="188"/>
      <c r="I555" s="188"/>
      <c r="J555" s="189"/>
    </row>
    <row r="556" spans="1:10" ht="14.25" customHeight="1">
      <c r="A556" s="190" t="s">
        <v>2</v>
      </c>
      <c r="B556" s="190"/>
      <c r="C556" s="36"/>
      <c r="D556" s="36"/>
      <c r="E556" s="2"/>
      <c r="F556" s="3"/>
      <c r="G556" s="6" t="s">
        <v>4</v>
      </c>
      <c r="H556" s="193" t="s">
        <v>518</v>
      </c>
      <c r="I556" s="193"/>
      <c r="J556" s="193"/>
    </row>
    <row r="557" spans="1:10" ht="14.25" customHeight="1">
      <c r="A557" s="194" t="s">
        <v>6</v>
      </c>
      <c r="B557" s="194"/>
      <c r="C557" s="36" t="s">
        <v>790</v>
      </c>
      <c r="D557" s="36"/>
      <c r="E557" s="2"/>
      <c r="F557" s="3"/>
      <c r="G557" s="6" t="s">
        <v>8</v>
      </c>
      <c r="H557" s="193" t="s">
        <v>9</v>
      </c>
      <c r="I557" s="193"/>
      <c r="J557" s="193"/>
    </row>
    <row r="558" spans="1:10" ht="14.25" customHeight="1">
      <c r="A558" s="6" t="s">
        <v>10</v>
      </c>
      <c r="B558" s="6"/>
      <c r="C558" s="36" t="s">
        <v>721</v>
      </c>
      <c r="D558" s="36"/>
      <c r="E558" s="2"/>
      <c r="F558" s="3"/>
      <c r="G558" s="6" t="s">
        <v>12</v>
      </c>
      <c r="H558" s="195" t="s">
        <v>13</v>
      </c>
      <c r="I558" s="195"/>
      <c r="J558" s="195"/>
    </row>
    <row r="559" spans="1:10" ht="14.25" customHeight="1">
      <c r="A559" s="2" t="s">
        <v>14</v>
      </c>
      <c r="B559" s="2"/>
      <c r="C559" s="2" t="s">
        <v>15</v>
      </c>
      <c r="D559" s="2"/>
      <c r="E559" s="2"/>
      <c r="F559" s="3"/>
      <c r="G559" s="6" t="s">
        <v>16</v>
      </c>
      <c r="H559" s="196" t="s">
        <v>55</v>
      </c>
      <c r="I559" s="196"/>
      <c r="J559" s="196"/>
    </row>
    <row r="560" spans="1:10" ht="14.25" customHeight="1">
      <c r="A560" s="2">
        <v>30</v>
      </c>
      <c r="B560" s="2"/>
      <c r="C560" s="2">
        <f>A560-H560</f>
        <v>15</v>
      </c>
      <c r="D560" s="2"/>
      <c r="E560" s="2"/>
      <c r="F560" s="3"/>
      <c r="G560" s="116" t="s">
        <v>18</v>
      </c>
      <c r="H560" s="197">
        <v>15</v>
      </c>
      <c r="I560" s="197"/>
      <c r="J560" s="197"/>
    </row>
    <row r="561" spans="1:10" ht="14.25" customHeight="1">
      <c r="A561" s="201" t="s">
        <v>19</v>
      </c>
      <c r="B561" s="202"/>
      <c r="C561" s="333"/>
      <c r="D561" s="13" t="s">
        <v>20</v>
      </c>
      <c r="E561" s="201" t="s">
        <v>21</v>
      </c>
      <c r="F561" s="333"/>
      <c r="G561" s="16" t="s">
        <v>20</v>
      </c>
      <c r="H561" s="201" t="s">
        <v>22</v>
      </c>
      <c r="I561" s="202"/>
      <c r="J561" s="203"/>
    </row>
    <row r="562" spans="1:10" ht="14.25" customHeight="1">
      <c r="A562" s="117" t="s">
        <v>23</v>
      </c>
      <c r="B562" s="118"/>
      <c r="C562" s="118"/>
      <c r="D562" s="2">
        <v>15000</v>
      </c>
      <c r="E562" s="334" t="s">
        <v>775</v>
      </c>
      <c r="F562" s="335"/>
      <c r="G562" s="2" t="s">
        <v>25</v>
      </c>
      <c r="H562" s="18" t="s">
        <v>502</v>
      </c>
      <c r="I562" s="6"/>
      <c r="J562" s="19"/>
    </row>
    <row r="563" spans="1:10" ht="14.25" customHeight="1">
      <c r="A563" s="18" t="s">
        <v>77</v>
      </c>
      <c r="B563" s="209"/>
      <c r="C563" s="209"/>
      <c r="D563" s="2" t="s">
        <v>25</v>
      </c>
      <c r="E563" s="211" t="s">
        <v>58</v>
      </c>
      <c r="F563" s="194"/>
      <c r="G563" s="2" t="s">
        <v>25</v>
      </c>
      <c r="H563" s="18" t="s">
        <v>777</v>
      </c>
      <c r="I563" s="6"/>
      <c r="J563" s="19"/>
    </row>
    <row r="564" spans="1:10" ht="14.25" customHeight="1">
      <c r="A564" s="18" t="s">
        <v>30</v>
      </c>
      <c r="B564" s="6"/>
      <c r="C564" s="2"/>
      <c r="D564" s="2" t="s">
        <v>25</v>
      </c>
      <c r="E564" s="211" t="s">
        <v>722</v>
      </c>
      <c r="F564" s="194"/>
      <c r="G564" s="2">
        <v>9900</v>
      </c>
      <c r="H564" s="18"/>
      <c r="I564" s="6"/>
      <c r="J564" s="19"/>
    </row>
    <row r="565" spans="1:10" ht="14.25" customHeight="1">
      <c r="A565" s="18" t="s">
        <v>147</v>
      </c>
      <c r="B565" s="2"/>
      <c r="C565" s="6"/>
      <c r="D565" s="2" t="s">
        <v>25</v>
      </c>
      <c r="E565" s="211" t="s">
        <v>35</v>
      </c>
      <c r="F565" s="194"/>
      <c r="G565" s="2">
        <v>7500</v>
      </c>
      <c r="H565" s="18"/>
      <c r="I565" s="6"/>
      <c r="J565" s="19"/>
    </row>
    <row r="566" spans="1:10" ht="14.25" customHeight="1">
      <c r="A566" s="17" t="s">
        <v>629</v>
      </c>
      <c r="B566" s="6"/>
      <c r="C566" s="6"/>
      <c r="D566" s="2">
        <v>2500</v>
      </c>
      <c r="E566" s="211" t="s">
        <v>61</v>
      </c>
      <c r="F566" s="194"/>
      <c r="G566" s="2" t="s">
        <v>25</v>
      </c>
      <c r="H566" s="18"/>
      <c r="I566" s="6"/>
      <c r="J566" s="19"/>
    </row>
    <row r="567" spans="1:10" ht="14.25" customHeight="1">
      <c r="A567" s="18" t="s">
        <v>78</v>
      </c>
      <c r="B567" s="6"/>
      <c r="C567" s="6"/>
      <c r="D567" s="2" t="s">
        <v>25</v>
      </c>
      <c r="E567" s="211" t="s">
        <v>39</v>
      </c>
      <c r="F567" s="194"/>
      <c r="G567" s="2">
        <v>100</v>
      </c>
      <c r="H567" s="36"/>
      <c r="I567" s="6"/>
      <c r="J567" s="19"/>
    </row>
    <row r="568" spans="1:10" ht="14.25" customHeight="1">
      <c r="A568" s="18" t="s">
        <v>40</v>
      </c>
      <c r="B568" s="6"/>
      <c r="C568" s="6"/>
      <c r="D568" s="2" t="s">
        <v>25</v>
      </c>
      <c r="E568" s="18" t="s">
        <v>62</v>
      </c>
      <c r="F568" s="2"/>
      <c r="G568" s="2" t="s">
        <v>25</v>
      </c>
      <c r="H568" s="50"/>
      <c r="I568" s="6"/>
      <c r="J568" s="19"/>
    </row>
    <row r="569" spans="1:10" ht="14.25" customHeight="1">
      <c r="A569" s="338" t="s">
        <v>63</v>
      </c>
      <c r="B569" s="335"/>
      <c r="C569" s="339"/>
      <c r="D569" s="229">
        <f>SUM(D562:D568)</f>
        <v>17500</v>
      </c>
      <c r="E569" s="336" t="s">
        <v>43</v>
      </c>
      <c r="F569" s="337"/>
      <c r="G569" s="2" t="s">
        <v>25</v>
      </c>
      <c r="H569" s="18"/>
      <c r="I569" s="6"/>
      <c r="J569" s="19"/>
    </row>
    <row r="570" spans="1:10" ht="14.25" customHeight="1">
      <c r="A570" s="336"/>
      <c r="B570" s="337"/>
      <c r="C570" s="340"/>
      <c r="D570" s="230"/>
      <c r="E570" s="198" t="s">
        <v>21</v>
      </c>
      <c r="F570" s="200"/>
      <c r="G570" s="13">
        <f>SUM(G562:G569)</f>
        <v>17500</v>
      </c>
      <c r="H570" s="198" t="s">
        <v>44</v>
      </c>
      <c r="I570" s="200"/>
      <c r="J570" s="13">
        <f>SUM(D569-G570)</f>
        <v>0</v>
      </c>
    </row>
    <row r="571" spans="1:10" ht="14.25" customHeight="1">
      <c r="A571" s="3" t="s">
        <v>45</v>
      </c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4.25" customHeight="1">
      <c r="A573" s="3"/>
      <c r="B573" s="3" t="s">
        <v>47</v>
      </c>
      <c r="C573" s="3"/>
      <c r="D573" s="3"/>
      <c r="E573" s="3" t="s">
        <v>48</v>
      </c>
      <c r="F573" s="3"/>
      <c r="G573" s="3"/>
      <c r="H573" s="3" t="s">
        <v>49</v>
      </c>
      <c r="I573" s="3"/>
      <c r="J573" s="3"/>
    </row>
    <row r="574" spans="1:10" ht="14.25" customHeight="1">
      <c r="A574" s="231" t="s">
        <v>0</v>
      </c>
      <c r="B574" s="232"/>
      <c r="C574" s="232"/>
      <c r="D574" s="232"/>
      <c r="E574" s="232"/>
      <c r="F574" s="232"/>
      <c r="G574" s="232"/>
      <c r="H574" s="232"/>
      <c r="I574" s="232"/>
      <c r="J574" s="233"/>
    </row>
    <row r="575" spans="1:10" ht="14.25" customHeight="1">
      <c r="A575" s="275" t="s">
        <v>1</v>
      </c>
      <c r="B575" s="276"/>
      <c r="C575" s="276"/>
      <c r="D575" s="276"/>
      <c r="E575" s="276"/>
      <c r="F575" s="276"/>
      <c r="G575" s="276"/>
      <c r="H575" s="276"/>
      <c r="I575" s="276"/>
      <c r="J575" s="277"/>
    </row>
    <row r="576" spans="1:10" ht="14.25" customHeight="1">
      <c r="A576" s="119" t="s">
        <v>2</v>
      </c>
      <c r="B576" s="119"/>
      <c r="C576" s="234" t="s">
        <v>791</v>
      </c>
      <c r="D576" s="234"/>
      <c r="E576" s="120"/>
      <c r="F576" s="121"/>
      <c r="G576" s="119" t="s">
        <v>4</v>
      </c>
      <c r="H576" s="209" t="s">
        <v>236</v>
      </c>
      <c r="I576" s="209"/>
      <c r="J576" s="209"/>
    </row>
    <row r="577" spans="1:10" ht="14.25" customHeight="1">
      <c r="A577" s="119" t="s">
        <v>6</v>
      </c>
      <c r="B577" s="119"/>
      <c r="C577" s="258" t="s">
        <v>792</v>
      </c>
      <c r="D577" s="258"/>
      <c r="E577" s="120"/>
      <c r="F577" s="121"/>
      <c r="G577" s="119" t="s">
        <v>8</v>
      </c>
      <c r="H577" s="257" t="s">
        <v>9</v>
      </c>
      <c r="I577" s="257"/>
      <c r="J577" s="257"/>
    </row>
    <row r="578" spans="1:10" ht="14.25" customHeight="1">
      <c r="A578" s="122" t="s">
        <v>10</v>
      </c>
      <c r="B578" s="122"/>
      <c r="C578" s="122" t="s">
        <v>765</v>
      </c>
      <c r="D578" s="122"/>
      <c r="E578" s="120"/>
      <c r="F578" s="121"/>
      <c r="G578" s="119" t="s">
        <v>12</v>
      </c>
      <c r="H578" s="195" t="s">
        <v>13</v>
      </c>
      <c r="I578" s="195"/>
      <c r="J578" s="195"/>
    </row>
    <row r="579" spans="1:10" ht="14.25" customHeight="1">
      <c r="A579" s="120" t="s">
        <v>14</v>
      </c>
      <c r="B579" s="120"/>
      <c r="C579" s="120" t="s">
        <v>15</v>
      </c>
      <c r="D579" s="120"/>
      <c r="E579" s="120"/>
      <c r="F579" s="121"/>
      <c r="G579" s="119" t="s">
        <v>16</v>
      </c>
      <c r="H579" s="258" t="s">
        <v>55</v>
      </c>
      <c r="I579" s="258"/>
      <c r="J579" s="258"/>
    </row>
    <row r="580" spans="1:10" ht="14.25" customHeight="1">
      <c r="A580" s="120">
        <v>30</v>
      </c>
      <c r="B580" s="120"/>
      <c r="C580" s="120">
        <f>A580-H580</f>
        <v>0</v>
      </c>
      <c r="D580" s="120"/>
      <c r="E580" s="120"/>
      <c r="F580" s="121"/>
      <c r="G580" s="123" t="s">
        <v>18</v>
      </c>
      <c r="H580" s="259">
        <v>30</v>
      </c>
      <c r="I580" s="259"/>
      <c r="J580" s="259"/>
    </row>
    <row r="581" spans="1:10" ht="14.25" customHeight="1">
      <c r="A581" s="260" t="s">
        <v>19</v>
      </c>
      <c r="B581" s="261"/>
      <c r="C581" s="262"/>
      <c r="D581" s="124" t="s">
        <v>20</v>
      </c>
      <c r="E581" s="125" t="s">
        <v>21</v>
      </c>
      <c r="F581" s="126"/>
      <c r="G581" s="127" t="s">
        <v>20</v>
      </c>
      <c r="H581" s="263" t="s">
        <v>22</v>
      </c>
      <c r="I581" s="264"/>
      <c r="J581" s="265"/>
    </row>
    <row r="582" spans="1:10" ht="14.25" customHeight="1">
      <c r="A582" s="128" t="s">
        <v>23</v>
      </c>
      <c r="B582" s="119"/>
      <c r="C582" s="119"/>
      <c r="D582" s="120">
        <v>20000</v>
      </c>
      <c r="E582" s="128" t="s">
        <v>24</v>
      </c>
      <c r="F582" s="119"/>
      <c r="G582" s="120" t="s">
        <v>25</v>
      </c>
      <c r="H582" s="129" t="s">
        <v>502</v>
      </c>
      <c r="I582" s="122"/>
      <c r="J582" s="130"/>
    </row>
    <row r="583" spans="1:10" ht="14.25" customHeight="1">
      <c r="A583" s="128" t="s">
        <v>57</v>
      </c>
      <c r="B583" s="266" t="s">
        <v>320</v>
      </c>
      <c r="C583" s="266"/>
      <c r="D583" s="120">
        <v>1333</v>
      </c>
      <c r="E583" s="128" t="s">
        <v>52</v>
      </c>
      <c r="F583" s="119"/>
      <c r="G583" s="120">
        <v>320</v>
      </c>
      <c r="H583" s="129" t="s">
        <v>504</v>
      </c>
      <c r="I583" s="122"/>
      <c r="J583" s="130"/>
    </row>
    <row r="584" spans="1:10" ht="14.25" customHeight="1">
      <c r="A584" s="176" t="s">
        <v>30</v>
      </c>
      <c r="B584" s="119"/>
      <c r="C584" s="119"/>
      <c r="D584" s="120">
        <v>3000</v>
      </c>
      <c r="E584" s="128" t="s">
        <v>83</v>
      </c>
      <c r="F584" s="119"/>
      <c r="G584" s="120">
        <v>5000</v>
      </c>
      <c r="H584" s="129" t="s">
        <v>32</v>
      </c>
      <c r="I584" s="122"/>
      <c r="J584" s="130"/>
    </row>
    <row r="585" spans="1:10" ht="14.25" customHeight="1">
      <c r="A585" s="128" t="s">
        <v>60</v>
      </c>
      <c r="B585" s="119"/>
      <c r="C585" s="119"/>
      <c r="D585" s="120">
        <v>3500</v>
      </c>
      <c r="E585" s="128" t="s">
        <v>35</v>
      </c>
      <c r="F585" s="119"/>
      <c r="G585" s="120" t="s">
        <v>25</v>
      </c>
      <c r="H585" s="129"/>
      <c r="I585" s="122"/>
      <c r="J585" s="130"/>
    </row>
    <row r="586" spans="1:10" ht="14.25" customHeight="1">
      <c r="A586" s="128" t="s">
        <v>629</v>
      </c>
      <c r="B586" s="119"/>
      <c r="C586" s="119"/>
      <c r="D586" s="120">
        <v>5000</v>
      </c>
      <c r="E586" s="128" t="s">
        <v>39</v>
      </c>
      <c r="F586" s="119"/>
      <c r="G586" s="120">
        <v>100</v>
      </c>
      <c r="H586" s="129" t="s">
        <v>793</v>
      </c>
      <c r="I586" s="122"/>
      <c r="J586" s="131"/>
    </row>
    <row r="587" spans="1:10" ht="14.25" customHeight="1">
      <c r="A587" s="128" t="s">
        <v>147</v>
      </c>
      <c r="B587" s="119"/>
      <c r="C587" s="119"/>
      <c r="D587" s="120" t="s">
        <v>25</v>
      </c>
      <c r="E587" s="128" t="s">
        <v>61</v>
      </c>
      <c r="F587" s="119"/>
      <c r="G587" s="120">
        <v>200</v>
      </c>
      <c r="H587" s="129"/>
      <c r="I587" s="122"/>
      <c r="J587" s="131"/>
    </row>
    <row r="588" spans="1:10" ht="14.25" customHeight="1">
      <c r="A588" s="129" t="s">
        <v>40</v>
      </c>
      <c r="B588" s="122"/>
      <c r="C588" s="122"/>
      <c r="D588" s="120" t="s">
        <v>25</v>
      </c>
      <c r="E588" s="128" t="s">
        <v>41</v>
      </c>
      <c r="F588" s="119"/>
      <c r="G588" s="120" t="s">
        <v>25</v>
      </c>
      <c r="H588" s="129"/>
      <c r="I588" s="122"/>
      <c r="J588" s="130"/>
    </row>
    <row r="589" spans="1:10" ht="14.25" customHeight="1">
      <c r="A589" s="270" t="s">
        <v>63</v>
      </c>
      <c r="B589" s="271"/>
      <c r="C589" s="272"/>
      <c r="D589" s="255">
        <f>SUM(D582:D588)</f>
        <v>32833</v>
      </c>
      <c r="E589" s="119" t="s">
        <v>43</v>
      </c>
      <c r="F589" s="119"/>
      <c r="G589" s="120" t="s">
        <v>25</v>
      </c>
      <c r="H589" s="129"/>
      <c r="I589" s="122"/>
      <c r="J589" s="130"/>
    </row>
    <row r="590" spans="1:10" ht="14.25" customHeight="1">
      <c r="A590" s="273"/>
      <c r="B590" s="259"/>
      <c r="C590" s="274"/>
      <c r="D590" s="256"/>
      <c r="E590" s="132" t="s">
        <v>21</v>
      </c>
      <c r="F590" s="133"/>
      <c r="G590" s="124">
        <f>SUM(G582:G589)</f>
        <v>5620</v>
      </c>
      <c r="H590" s="132" t="s">
        <v>44</v>
      </c>
      <c r="I590" s="133"/>
      <c r="J590" s="124">
        <f>D589-G590</f>
        <v>27213</v>
      </c>
    </row>
    <row r="591" spans="1:10" ht="14.25" customHeight="1">
      <c r="A591" s="121" t="s">
        <v>45</v>
      </c>
      <c r="B591" s="121"/>
      <c r="C591" s="121"/>
      <c r="D591" s="121"/>
      <c r="E591" s="121"/>
      <c r="F591" s="121"/>
      <c r="G591" s="121"/>
      <c r="H591" s="121"/>
      <c r="I591" s="121"/>
      <c r="J591" s="121"/>
    </row>
    <row r="592" spans="1:10" ht="14.25" customHeight="1"/>
    <row r="593" spans="1:10" ht="14.25" customHeight="1">
      <c r="A593" s="121"/>
      <c r="B593" s="121" t="s">
        <v>47</v>
      </c>
      <c r="C593" s="121"/>
      <c r="D593" s="121"/>
      <c r="E593" s="121" t="s">
        <v>48</v>
      </c>
      <c r="F593" s="121"/>
      <c r="G593" s="121"/>
      <c r="H593" s="121" t="s">
        <v>49</v>
      </c>
      <c r="I593" s="121"/>
      <c r="J593" s="121"/>
    </row>
    <row r="594" spans="1:10" ht="14.25" customHeight="1">
      <c r="A594" s="184" t="s">
        <v>0</v>
      </c>
      <c r="B594" s="185"/>
      <c r="C594" s="185"/>
      <c r="D594" s="185"/>
      <c r="E594" s="185"/>
      <c r="F594" s="185"/>
      <c r="G594" s="185"/>
      <c r="H594" s="185"/>
      <c r="I594" s="185"/>
      <c r="J594" s="186"/>
    </row>
    <row r="595" spans="1:10" ht="14.25" customHeight="1">
      <c r="A595" s="187" t="s">
        <v>1</v>
      </c>
      <c r="B595" s="188"/>
      <c r="C595" s="188"/>
      <c r="D595" s="188"/>
      <c r="E595" s="188"/>
      <c r="F595" s="188"/>
      <c r="G595" s="188"/>
      <c r="H595" s="188"/>
      <c r="I595" s="188"/>
      <c r="J595" s="189"/>
    </row>
    <row r="596" spans="1:10" ht="14.25" customHeight="1">
      <c r="A596" s="1" t="s">
        <v>2</v>
      </c>
      <c r="B596" s="1"/>
      <c r="C596" s="194" t="s">
        <v>794</v>
      </c>
      <c r="D596" s="194"/>
      <c r="E596" s="2"/>
      <c r="F596" s="3"/>
      <c r="G596" s="1" t="s">
        <v>4</v>
      </c>
      <c r="H596" s="209" t="s">
        <v>236</v>
      </c>
      <c r="I596" s="209"/>
      <c r="J596" s="209"/>
    </row>
    <row r="597" spans="1:10" ht="14.25" customHeight="1">
      <c r="A597" s="1" t="s">
        <v>6</v>
      </c>
      <c r="B597" s="1"/>
      <c r="C597" s="25" t="s">
        <v>455</v>
      </c>
      <c r="D597" s="25"/>
      <c r="E597" s="2"/>
      <c r="F597" s="3"/>
      <c r="G597" s="1" t="s">
        <v>8</v>
      </c>
      <c r="H597" s="193" t="s">
        <v>9</v>
      </c>
      <c r="I597" s="193"/>
      <c r="J597" s="193"/>
    </row>
    <row r="598" spans="1:10" ht="14.25" customHeight="1">
      <c r="A598" s="6" t="s">
        <v>10</v>
      </c>
      <c r="B598" s="6"/>
      <c r="C598" s="194" t="s">
        <v>721</v>
      </c>
      <c r="D598" s="194"/>
      <c r="E598" s="2"/>
      <c r="F598" s="3"/>
      <c r="G598" s="1" t="s">
        <v>12</v>
      </c>
      <c r="H598" s="195" t="s">
        <v>13</v>
      </c>
      <c r="I598" s="195"/>
      <c r="J598" s="195"/>
    </row>
    <row r="599" spans="1:10" ht="14.25" customHeight="1">
      <c r="A599" s="2"/>
      <c r="B599" s="2"/>
      <c r="C599" s="2" t="s">
        <v>15</v>
      </c>
      <c r="D599" s="2"/>
      <c r="E599" s="2"/>
      <c r="F599" s="3"/>
      <c r="G599" s="1" t="s">
        <v>16</v>
      </c>
      <c r="H599" s="196" t="s">
        <v>140</v>
      </c>
      <c r="I599" s="196"/>
      <c r="J599" s="196"/>
    </row>
    <row r="600" spans="1:10" ht="14.25" customHeight="1">
      <c r="A600" s="2">
        <v>30</v>
      </c>
      <c r="B600" s="2"/>
      <c r="C600" s="2">
        <f>A600-I600</f>
        <v>0</v>
      </c>
      <c r="D600" s="2"/>
      <c r="E600" s="2"/>
      <c r="F600" s="3"/>
      <c r="G600" s="8" t="s">
        <v>18</v>
      </c>
      <c r="H600" s="8"/>
      <c r="I600" s="9">
        <v>30</v>
      </c>
      <c r="J600" s="9"/>
    </row>
    <row r="601" spans="1:10" ht="14.25" customHeight="1">
      <c r="A601" s="198" t="s">
        <v>19</v>
      </c>
      <c r="B601" s="199"/>
      <c r="C601" s="200"/>
      <c r="D601" s="13" t="s">
        <v>20</v>
      </c>
      <c r="E601" s="14" t="s">
        <v>21</v>
      </c>
      <c r="F601" s="15"/>
      <c r="G601" s="16" t="s">
        <v>20</v>
      </c>
      <c r="H601" s="201" t="s">
        <v>22</v>
      </c>
      <c r="I601" s="202"/>
      <c r="J601" s="203"/>
    </row>
    <row r="602" spans="1:10" ht="14.25" customHeight="1">
      <c r="A602" s="17" t="s">
        <v>23</v>
      </c>
      <c r="B602" s="1"/>
      <c r="C602" s="1"/>
      <c r="D602" s="2">
        <v>18000</v>
      </c>
      <c r="E602" s="17" t="s">
        <v>24</v>
      </c>
      <c r="F602" s="1"/>
      <c r="G602" s="2" t="s">
        <v>25</v>
      </c>
      <c r="H602" s="18" t="s">
        <v>502</v>
      </c>
      <c r="I602" s="6"/>
      <c r="J602" s="19"/>
    </row>
    <row r="603" spans="1:10" ht="14.25" customHeight="1">
      <c r="A603" s="17" t="s">
        <v>69</v>
      </c>
      <c r="B603" s="209" t="s">
        <v>320</v>
      </c>
      <c r="C603" s="209"/>
      <c r="D603" s="2">
        <v>1200</v>
      </c>
      <c r="E603" s="17" t="s">
        <v>58</v>
      </c>
      <c r="F603" s="1"/>
      <c r="G603" s="2" t="s">
        <v>25</v>
      </c>
      <c r="H603" s="18" t="s">
        <v>504</v>
      </c>
      <c r="I603" s="6"/>
      <c r="J603" s="19"/>
    </row>
    <row r="604" spans="1:10" ht="14.25" customHeight="1">
      <c r="A604" s="17" t="s">
        <v>30</v>
      </c>
      <c r="B604" s="1"/>
      <c r="C604" s="1"/>
      <c r="D604" s="2">
        <v>2000</v>
      </c>
      <c r="E604" s="17" t="s">
        <v>83</v>
      </c>
      <c r="F604" s="1"/>
      <c r="G604" s="2">
        <v>3872</v>
      </c>
      <c r="H604" s="18" t="s">
        <v>32</v>
      </c>
      <c r="I604" s="6"/>
      <c r="J604" s="19"/>
    </row>
    <row r="605" spans="1:10" ht="14.25" customHeight="1">
      <c r="A605" s="17" t="s">
        <v>147</v>
      </c>
      <c r="B605" s="6"/>
      <c r="C605" s="6"/>
      <c r="D605" s="2" t="s">
        <v>25</v>
      </c>
      <c r="E605" s="17" t="s">
        <v>71</v>
      </c>
      <c r="F605" s="1"/>
      <c r="G605" s="2" t="s">
        <v>25</v>
      </c>
      <c r="H605" s="18"/>
      <c r="I605" s="6"/>
      <c r="J605" s="19"/>
    </row>
    <row r="606" spans="1:10" ht="14.25" customHeight="1">
      <c r="A606" s="17" t="s">
        <v>27</v>
      </c>
      <c r="B606" s="1"/>
      <c r="C606" s="1"/>
      <c r="D606" s="2" t="s">
        <v>25</v>
      </c>
      <c r="E606" s="17" t="s">
        <v>61</v>
      </c>
      <c r="F606" s="1"/>
      <c r="G606" s="2">
        <v>400</v>
      </c>
      <c r="H606" s="18" t="s">
        <v>795</v>
      </c>
      <c r="I606" s="6"/>
      <c r="J606" s="40"/>
    </row>
    <row r="607" spans="1:10" ht="14.25" customHeight="1">
      <c r="A607" s="17" t="s">
        <v>136</v>
      </c>
      <c r="B607" s="1"/>
      <c r="C607" s="1"/>
      <c r="D607" s="2" t="s">
        <v>25</v>
      </c>
      <c r="E607" s="17" t="s">
        <v>39</v>
      </c>
      <c r="F607" s="1"/>
      <c r="G607" s="2">
        <v>100</v>
      </c>
      <c r="H607" s="18"/>
      <c r="I607" s="6"/>
      <c r="J607" s="40"/>
    </row>
    <row r="608" spans="1:10" ht="14.25" customHeight="1">
      <c r="A608" s="18" t="s">
        <v>40</v>
      </c>
      <c r="B608" s="6"/>
      <c r="C608" s="6"/>
      <c r="D608" s="2" t="s">
        <v>25</v>
      </c>
      <c r="E608" s="17" t="s">
        <v>62</v>
      </c>
      <c r="F608" s="1"/>
      <c r="G608" s="2" t="s">
        <v>25</v>
      </c>
      <c r="H608" s="18"/>
      <c r="I608" s="6"/>
      <c r="J608" s="40"/>
    </row>
    <row r="609" spans="1:10" ht="14.25" customHeight="1">
      <c r="A609" s="204" t="s">
        <v>63</v>
      </c>
      <c r="B609" s="205"/>
      <c r="C609" s="206"/>
      <c r="D609" s="229">
        <f>SUM(D602:D608)</f>
        <v>21200</v>
      </c>
      <c r="E609" s="1" t="s">
        <v>43</v>
      </c>
      <c r="F609" s="1"/>
      <c r="G609" s="2" t="s">
        <v>25</v>
      </c>
      <c r="H609" s="18"/>
      <c r="I609" s="6"/>
      <c r="J609" s="40"/>
    </row>
    <row r="610" spans="1:10" ht="14.25" customHeight="1">
      <c r="A610" s="207"/>
      <c r="B610" s="197"/>
      <c r="C610" s="208"/>
      <c r="D610" s="230"/>
      <c r="E610" s="21" t="s">
        <v>21</v>
      </c>
      <c r="F610" s="22"/>
      <c r="G610" s="13">
        <f>SUM(G602:G609)</f>
        <v>4372</v>
      </c>
      <c r="H610" s="21" t="s">
        <v>44</v>
      </c>
      <c r="I610" s="22"/>
      <c r="J610" s="13">
        <f>D609-G610</f>
        <v>16828</v>
      </c>
    </row>
    <row r="611" spans="1:10" ht="14.25" customHeight="1">
      <c r="A611" s="2"/>
      <c r="B611" s="2"/>
      <c r="C611" s="2"/>
      <c r="D611" s="2"/>
      <c r="E611" s="1"/>
      <c r="F611" s="1"/>
      <c r="G611" s="2"/>
      <c r="H611" s="1"/>
      <c r="I611" s="1"/>
      <c r="J611" s="2"/>
    </row>
    <row r="612" spans="1:10" ht="14.25" customHeight="1">
      <c r="A612" s="3" t="s">
        <v>45</v>
      </c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4.25" customHeight="1">
      <c r="A613" s="3"/>
      <c r="B613" s="3" t="s">
        <v>47</v>
      </c>
      <c r="C613" s="3"/>
      <c r="D613" s="3" t="s">
        <v>73</v>
      </c>
      <c r="E613" s="3" t="s">
        <v>48</v>
      </c>
      <c r="F613" s="3"/>
      <c r="G613" s="3"/>
      <c r="H613" s="3" t="s">
        <v>49</v>
      </c>
      <c r="I613" s="3"/>
      <c r="J613" s="3"/>
    </row>
    <row r="614" spans="1:10" ht="13.5" customHeight="1">
      <c r="A614" s="184" t="s">
        <v>0</v>
      </c>
      <c r="B614" s="185"/>
      <c r="C614" s="185"/>
      <c r="D614" s="185"/>
      <c r="E614" s="185"/>
      <c r="F614" s="185"/>
      <c r="G614" s="185"/>
      <c r="H614" s="185"/>
      <c r="I614" s="185"/>
      <c r="J614" s="186"/>
    </row>
    <row r="615" spans="1:10" ht="13.5" customHeight="1">
      <c r="A615" s="187" t="s">
        <v>1</v>
      </c>
      <c r="B615" s="188"/>
      <c r="C615" s="188"/>
      <c r="D615" s="188"/>
      <c r="E615" s="188"/>
      <c r="F615" s="188"/>
      <c r="G615" s="188"/>
      <c r="H615" s="188"/>
      <c r="I615" s="188"/>
      <c r="J615" s="189"/>
    </row>
    <row r="616" spans="1:10" ht="13.5" customHeight="1">
      <c r="A616" s="1" t="s">
        <v>2</v>
      </c>
      <c r="B616" s="1"/>
      <c r="C616" s="194"/>
      <c r="D616" s="194"/>
      <c r="E616" s="2"/>
      <c r="F616" s="3"/>
      <c r="G616" s="1" t="s">
        <v>4</v>
      </c>
      <c r="H616" s="191" t="s">
        <v>227</v>
      </c>
      <c r="I616" s="191"/>
      <c r="J616" s="191"/>
    </row>
    <row r="617" spans="1:10" ht="13.5" customHeight="1">
      <c r="A617" s="1" t="s">
        <v>6</v>
      </c>
      <c r="B617" s="1"/>
      <c r="C617" s="25" t="s">
        <v>552</v>
      </c>
      <c r="D617" s="25"/>
      <c r="E617" s="2"/>
      <c r="F617" s="3"/>
      <c r="G617" s="1" t="s">
        <v>8</v>
      </c>
      <c r="H617" s="193" t="s">
        <v>9</v>
      </c>
      <c r="I617" s="193"/>
      <c r="J617" s="193"/>
    </row>
    <row r="618" spans="1:10" ht="13.5" customHeight="1">
      <c r="A618" s="6" t="s">
        <v>10</v>
      </c>
      <c r="B618" s="6"/>
      <c r="C618" s="194" t="s">
        <v>731</v>
      </c>
      <c r="D618" s="194"/>
      <c r="E618" s="2"/>
      <c r="F618" s="3"/>
      <c r="G618" s="1" t="s">
        <v>12</v>
      </c>
      <c r="H618" s="195" t="s">
        <v>13</v>
      </c>
      <c r="I618" s="195"/>
      <c r="J618" s="195"/>
    </row>
    <row r="619" spans="1:10" ht="13.5" customHeight="1">
      <c r="A619" s="2" t="s">
        <v>14</v>
      </c>
      <c r="B619" s="2"/>
      <c r="C619" s="2" t="s">
        <v>15</v>
      </c>
      <c r="D619" s="2"/>
      <c r="E619" s="2"/>
      <c r="F619" s="3"/>
      <c r="G619" s="1" t="s">
        <v>16</v>
      </c>
      <c r="H619" s="196" t="s">
        <v>446</v>
      </c>
      <c r="I619" s="196"/>
      <c r="J619" s="196"/>
    </row>
    <row r="620" spans="1:10" ht="13.5" customHeight="1">
      <c r="A620" s="2">
        <v>30</v>
      </c>
      <c r="B620" s="2"/>
      <c r="C620" s="2">
        <f>A620-H620</f>
        <v>0</v>
      </c>
      <c r="D620" s="2"/>
      <c r="E620" s="2"/>
      <c r="F620" s="3"/>
      <c r="G620" s="8" t="s">
        <v>18</v>
      </c>
      <c r="H620" s="197">
        <v>30</v>
      </c>
      <c r="I620" s="197"/>
      <c r="J620" s="197"/>
    </row>
    <row r="621" spans="1:10" ht="13.5" customHeight="1">
      <c r="A621" s="198" t="s">
        <v>19</v>
      </c>
      <c r="B621" s="199"/>
      <c r="C621" s="200"/>
      <c r="D621" s="13" t="s">
        <v>20</v>
      </c>
      <c r="E621" s="14" t="s">
        <v>21</v>
      </c>
      <c r="F621" s="15"/>
      <c r="G621" s="16" t="s">
        <v>20</v>
      </c>
      <c r="H621" s="201" t="s">
        <v>22</v>
      </c>
      <c r="I621" s="202"/>
      <c r="J621" s="203"/>
    </row>
    <row r="622" spans="1:10" ht="13.5" customHeight="1">
      <c r="A622" s="17" t="s">
        <v>23</v>
      </c>
      <c r="B622" s="1"/>
      <c r="C622" s="1"/>
      <c r="D622" s="2">
        <v>18000</v>
      </c>
      <c r="E622" s="17" t="s">
        <v>58</v>
      </c>
      <c r="F622" s="1"/>
      <c r="G622" s="2" t="s">
        <v>25</v>
      </c>
      <c r="H622" s="18" t="s">
        <v>502</v>
      </c>
      <c r="I622" s="6"/>
      <c r="J622" s="19"/>
    </row>
    <row r="623" spans="1:10" ht="13.5" customHeight="1">
      <c r="A623" s="17" t="s">
        <v>77</v>
      </c>
      <c r="B623" s="209"/>
      <c r="C623" s="209"/>
      <c r="D623" s="2" t="s">
        <v>25</v>
      </c>
      <c r="E623" s="17" t="s">
        <v>722</v>
      </c>
      <c r="F623" s="1"/>
      <c r="G623" s="2">
        <v>4000</v>
      </c>
      <c r="H623" s="18" t="s">
        <v>504</v>
      </c>
      <c r="I623" s="6"/>
      <c r="J623" s="19"/>
    </row>
    <row r="624" spans="1:10" ht="13.5" customHeight="1">
      <c r="A624" s="17" t="s">
        <v>30</v>
      </c>
      <c r="B624" s="1"/>
      <c r="C624" s="1"/>
      <c r="D624" s="2">
        <v>2000</v>
      </c>
      <c r="E624" s="17" t="s">
        <v>394</v>
      </c>
      <c r="F624" s="1"/>
      <c r="G624" s="2" t="s">
        <v>25</v>
      </c>
      <c r="H624" s="18" t="s">
        <v>32</v>
      </c>
      <c r="I624" s="6"/>
      <c r="J624" s="19"/>
    </row>
    <row r="625" spans="1:10" ht="13.5" customHeight="1">
      <c r="A625" s="17" t="s">
        <v>796</v>
      </c>
      <c r="B625" s="6"/>
      <c r="C625" s="6"/>
      <c r="D625" s="2" t="s">
        <v>25</v>
      </c>
      <c r="E625" s="17" t="s">
        <v>35</v>
      </c>
      <c r="F625" s="1"/>
      <c r="G625" s="2" t="s">
        <v>25</v>
      </c>
      <c r="H625" s="18"/>
      <c r="I625" s="6"/>
      <c r="J625" s="19"/>
    </row>
    <row r="626" spans="1:10" ht="13.5" customHeight="1">
      <c r="A626" s="17" t="s">
        <v>78</v>
      </c>
      <c r="B626" s="1"/>
      <c r="C626" s="1"/>
      <c r="D626" s="2" t="s">
        <v>25</v>
      </c>
      <c r="E626" s="17" t="s">
        <v>39</v>
      </c>
      <c r="F626" s="1"/>
      <c r="G626" s="2" t="s">
        <v>25</v>
      </c>
      <c r="H626" s="18"/>
      <c r="I626" s="6"/>
      <c r="J626" s="40"/>
    </row>
    <row r="627" spans="1:10" ht="13.5" customHeight="1">
      <c r="A627" s="17" t="s">
        <v>136</v>
      </c>
      <c r="B627" s="1"/>
      <c r="C627" s="1"/>
      <c r="D627" s="2" t="s">
        <v>25</v>
      </c>
      <c r="E627" s="17" t="s">
        <v>37</v>
      </c>
      <c r="F627" s="1"/>
      <c r="G627" s="2">
        <v>100</v>
      </c>
      <c r="H627" s="18"/>
      <c r="I627" s="6"/>
      <c r="J627" s="40"/>
    </row>
    <row r="628" spans="1:10" ht="13.5" customHeight="1">
      <c r="A628" s="18" t="s">
        <v>40</v>
      </c>
      <c r="B628" s="6"/>
      <c r="C628" s="6"/>
      <c r="D628" s="2" t="s">
        <v>25</v>
      </c>
      <c r="E628" s="17" t="s">
        <v>41</v>
      </c>
      <c r="F628" s="1"/>
      <c r="G628" s="2" t="s">
        <v>25</v>
      </c>
      <c r="H628" s="18"/>
      <c r="I628" s="6"/>
      <c r="J628" s="19"/>
    </row>
    <row r="629" spans="1:10" ht="13.5" customHeight="1">
      <c r="A629" s="204" t="s">
        <v>63</v>
      </c>
      <c r="B629" s="205"/>
      <c r="C629" s="206"/>
      <c r="D629" s="229">
        <f>SUM(D622:D628)</f>
        <v>20000</v>
      </c>
      <c r="E629" s="1" t="s">
        <v>43</v>
      </c>
      <c r="F629" s="1"/>
      <c r="G629" s="2" t="s">
        <v>25</v>
      </c>
      <c r="H629" s="18"/>
      <c r="I629" s="6"/>
      <c r="J629" s="19"/>
    </row>
    <row r="630" spans="1:10" ht="13.5" customHeight="1">
      <c r="A630" s="207"/>
      <c r="B630" s="197"/>
      <c r="C630" s="208"/>
      <c r="D630" s="230"/>
      <c r="E630" s="21" t="s">
        <v>21</v>
      </c>
      <c r="F630" s="22"/>
      <c r="G630" s="13">
        <f>SUM(G622:G629)</f>
        <v>4100</v>
      </c>
      <c r="H630" s="21" t="s">
        <v>44</v>
      </c>
      <c r="I630" s="22"/>
      <c r="J630" s="13">
        <f>D629-G630</f>
        <v>15900</v>
      </c>
    </row>
    <row r="631" spans="1:10" ht="13.5" customHeight="1">
      <c r="A631" s="3" t="s">
        <v>45</v>
      </c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3.5" customHeight="1">
      <c r="A633" s="3"/>
      <c r="B633" s="3" t="s">
        <v>47</v>
      </c>
      <c r="C633" s="3"/>
      <c r="D633" s="3"/>
      <c r="E633" s="3" t="s">
        <v>48</v>
      </c>
      <c r="F633" s="3"/>
      <c r="G633" s="3"/>
      <c r="H633" s="3" t="s">
        <v>49</v>
      </c>
      <c r="I633" s="3"/>
      <c r="J633" s="3"/>
    </row>
    <row r="634" spans="1:10" ht="13.5" customHeight="1">
      <c r="A634" s="184" t="s">
        <v>0</v>
      </c>
      <c r="B634" s="185"/>
      <c r="C634" s="185"/>
      <c r="D634" s="185"/>
      <c r="E634" s="185"/>
      <c r="F634" s="185"/>
      <c r="G634" s="185"/>
      <c r="H634" s="185"/>
      <c r="I634" s="185"/>
      <c r="J634" s="186"/>
    </row>
    <row r="635" spans="1:10" ht="13.5" customHeight="1">
      <c r="A635" s="187" t="s">
        <v>1</v>
      </c>
      <c r="B635" s="188"/>
      <c r="C635" s="188"/>
      <c r="D635" s="188"/>
      <c r="E635" s="188"/>
      <c r="F635" s="188"/>
      <c r="G635" s="188"/>
      <c r="H635" s="188"/>
      <c r="I635" s="188"/>
      <c r="J635" s="189"/>
    </row>
    <row r="636" spans="1:10" ht="13.5" customHeight="1">
      <c r="A636" s="1" t="s">
        <v>2</v>
      </c>
      <c r="B636" s="1"/>
      <c r="C636" s="194" t="s">
        <v>794</v>
      </c>
      <c r="D636" s="194"/>
      <c r="E636" s="2"/>
      <c r="F636" s="3"/>
      <c r="G636" s="1" t="s">
        <v>4</v>
      </c>
      <c r="H636" s="191" t="s">
        <v>227</v>
      </c>
      <c r="I636" s="191"/>
      <c r="J636" s="191"/>
    </row>
    <row r="637" spans="1:10" ht="13.5" customHeight="1">
      <c r="A637" s="1" t="s">
        <v>6</v>
      </c>
      <c r="B637" s="1"/>
      <c r="C637" s="25" t="s">
        <v>797</v>
      </c>
      <c r="D637" s="25"/>
      <c r="E637" s="2"/>
      <c r="F637" s="3"/>
      <c r="G637" s="1" t="s">
        <v>8</v>
      </c>
      <c r="H637" s="193" t="s">
        <v>9</v>
      </c>
      <c r="I637" s="193"/>
      <c r="J637" s="193"/>
    </row>
    <row r="638" spans="1:10" ht="13.5" customHeight="1">
      <c r="A638" s="6" t="s">
        <v>10</v>
      </c>
      <c r="B638" s="6"/>
      <c r="C638" s="194" t="s">
        <v>721</v>
      </c>
      <c r="D638" s="194"/>
      <c r="E638" s="2"/>
      <c r="F638" s="3"/>
      <c r="G638" s="1" t="s">
        <v>12</v>
      </c>
      <c r="H638" s="195" t="s">
        <v>13</v>
      </c>
      <c r="I638" s="195"/>
      <c r="J638" s="195"/>
    </row>
    <row r="639" spans="1:10" ht="13.5" customHeight="1">
      <c r="A639" s="2"/>
      <c r="B639" s="2"/>
      <c r="C639" s="2" t="s">
        <v>15</v>
      </c>
      <c r="D639" s="2"/>
      <c r="E639" s="2"/>
      <c r="F639" s="3"/>
      <c r="G639" s="1" t="s">
        <v>16</v>
      </c>
      <c r="H639" s="196" t="s">
        <v>140</v>
      </c>
      <c r="I639" s="196"/>
      <c r="J639" s="196"/>
    </row>
    <row r="640" spans="1:10" ht="13.5" customHeight="1">
      <c r="A640" s="2">
        <v>30</v>
      </c>
      <c r="B640" s="2"/>
      <c r="C640" s="2">
        <f>A640-I640</f>
        <v>0</v>
      </c>
      <c r="D640" s="2"/>
      <c r="E640" s="2"/>
      <c r="F640" s="3"/>
      <c r="G640" s="8" t="s">
        <v>18</v>
      </c>
      <c r="H640" s="8"/>
      <c r="I640" s="9">
        <v>30</v>
      </c>
      <c r="J640" s="9"/>
    </row>
    <row r="641" spans="1:10" ht="13.5" customHeight="1">
      <c r="A641" s="198" t="s">
        <v>19</v>
      </c>
      <c r="B641" s="199"/>
      <c r="C641" s="200"/>
      <c r="D641" s="13" t="s">
        <v>20</v>
      </c>
      <c r="E641" s="14" t="s">
        <v>21</v>
      </c>
      <c r="F641" s="15"/>
      <c r="G641" s="16" t="s">
        <v>20</v>
      </c>
      <c r="H641" s="201" t="s">
        <v>22</v>
      </c>
      <c r="I641" s="202"/>
      <c r="J641" s="203"/>
    </row>
    <row r="642" spans="1:10" ht="13.5" customHeight="1">
      <c r="A642" s="17" t="s">
        <v>23</v>
      </c>
      <c r="B642" s="1"/>
      <c r="C642" s="1"/>
      <c r="D642" s="2">
        <v>17000</v>
      </c>
      <c r="E642" s="17" t="s">
        <v>24</v>
      </c>
      <c r="F642" s="1"/>
      <c r="G642" s="2" t="s">
        <v>25</v>
      </c>
      <c r="H642" s="18" t="s">
        <v>502</v>
      </c>
      <c r="I642" s="6"/>
      <c r="J642" s="19"/>
    </row>
    <row r="643" spans="1:10" ht="13.5" customHeight="1">
      <c r="A643" s="17" t="s">
        <v>69</v>
      </c>
      <c r="B643" s="209" t="s">
        <v>320</v>
      </c>
      <c r="C643" s="209"/>
      <c r="D643" s="2">
        <v>1133</v>
      </c>
      <c r="E643" s="17" t="s">
        <v>28</v>
      </c>
      <c r="F643" s="1"/>
      <c r="G643" s="2" t="s">
        <v>25</v>
      </c>
      <c r="H643" s="18" t="s">
        <v>504</v>
      </c>
      <c r="I643" s="6"/>
      <c r="J643" s="19"/>
    </row>
    <row r="644" spans="1:10" ht="13.5" customHeight="1">
      <c r="A644" s="17" t="s">
        <v>30</v>
      </c>
      <c r="B644" s="1"/>
      <c r="C644" s="1"/>
      <c r="D644" s="2" t="s">
        <v>25</v>
      </c>
      <c r="E644" s="17" t="s">
        <v>83</v>
      </c>
      <c r="F644" s="1"/>
      <c r="G644" s="2">
        <v>5000</v>
      </c>
      <c r="H644" s="18" t="s">
        <v>32</v>
      </c>
      <c r="I644" s="6"/>
      <c r="J644" s="19"/>
    </row>
    <row r="645" spans="1:10" ht="13.5" customHeight="1">
      <c r="A645" s="17" t="s">
        <v>147</v>
      </c>
      <c r="B645" s="6"/>
      <c r="C645" s="6"/>
      <c r="D645" s="2" t="s">
        <v>25</v>
      </c>
      <c r="E645" s="17" t="s">
        <v>798</v>
      </c>
      <c r="F645" s="1"/>
      <c r="G645" s="2" t="s">
        <v>25</v>
      </c>
      <c r="H645" s="18"/>
      <c r="I645" s="6"/>
      <c r="J645" s="19"/>
    </row>
    <row r="646" spans="1:10" ht="13.5" customHeight="1">
      <c r="A646" s="17" t="s">
        <v>629</v>
      </c>
      <c r="B646" s="1"/>
      <c r="C646" s="1"/>
      <c r="D646" s="2">
        <v>5000</v>
      </c>
      <c r="E646" s="17" t="s">
        <v>61</v>
      </c>
      <c r="F646" s="1"/>
      <c r="G646" s="2">
        <v>200</v>
      </c>
      <c r="H646" s="18" t="s">
        <v>799</v>
      </c>
      <c r="I646" s="6"/>
      <c r="J646" s="40"/>
    </row>
    <row r="647" spans="1:10" ht="13.5" customHeight="1">
      <c r="A647" s="17" t="s">
        <v>136</v>
      </c>
      <c r="B647" s="1"/>
      <c r="C647" s="1"/>
      <c r="D647" s="2" t="s">
        <v>25</v>
      </c>
      <c r="E647" s="17" t="s">
        <v>39</v>
      </c>
      <c r="F647" s="1"/>
      <c r="G647" s="2">
        <v>100</v>
      </c>
      <c r="H647" s="18" t="s">
        <v>800</v>
      </c>
      <c r="I647" s="6"/>
      <c r="J647" s="40"/>
    </row>
    <row r="648" spans="1:10" ht="13.5" customHeight="1">
      <c r="A648" s="18" t="s">
        <v>40</v>
      </c>
      <c r="B648" s="6"/>
      <c r="C648" s="6"/>
      <c r="D648" s="2" t="s">
        <v>25</v>
      </c>
      <c r="E648" s="17" t="s">
        <v>62</v>
      </c>
      <c r="F648" s="1"/>
      <c r="G648" s="2" t="s">
        <v>25</v>
      </c>
      <c r="H648" s="18"/>
      <c r="I648" s="6"/>
      <c r="J648" s="40"/>
    </row>
    <row r="649" spans="1:10" ht="13.5" customHeight="1">
      <c r="A649" s="204" t="s">
        <v>63</v>
      </c>
      <c r="B649" s="205"/>
      <c r="C649" s="206"/>
      <c r="D649" s="229">
        <f>SUM(D642:D648)</f>
        <v>23133</v>
      </c>
      <c r="E649" s="1" t="s">
        <v>43</v>
      </c>
      <c r="F649" s="1"/>
      <c r="G649" s="2" t="s">
        <v>25</v>
      </c>
      <c r="H649" s="50" t="s">
        <v>437</v>
      </c>
      <c r="I649" s="6"/>
      <c r="J649" s="40"/>
    </row>
    <row r="650" spans="1:10" ht="13.5" customHeight="1">
      <c r="A650" s="207"/>
      <c r="B650" s="197"/>
      <c r="C650" s="208"/>
      <c r="D650" s="230"/>
      <c r="E650" s="21" t="s">
        <v>21</v>
      </c>
      <c r="F650" s="22"/>
      <c r="G650" s="13">
        <f>SUM(G642:G649)</f>
        <v>5300</v>
      </c>
      <c r="H650" s="21" t="s">
        <v>44</v>
      </c>
      <c r="I650" s="22"/>
      <c r="J650" s="13">
        <f>D649-G650</f>
        <v>17833</v>
      </c>
    </row>
    <row r="651" spans="1:10" ht="13.5" customHeight="1">
      <c r="A651" s="2"/>
      <c r="B651" s="2"/>
      <c r="C651" s="2"/>
      <c r="D651" s="2"/>
      <c r="E651" s="1"/>
      <c r="F651" s="1"/>
      <c r="G651" s="2"/>
      <c r="H651" s="1"/>
      <c r="I651" s="1"/>
      <c r="J651" s="2"/>
    </row>
    <row r="652" spans="1:10" ht="13.5" customHeight="1">
      <c r="A652" s="3" t="s">
        <v>45</v>
      </c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3.5" customHeight="1">
      <c r="A653" s="3"/>
      <c r="B653" s="3" t="s">
        <v>47</v>
      </c>
      <c r="C653" s="3"/>
      <c r="D653" s="3" t="s">
        <v>73</v>
      </c>
      <c r="E653" s="3" t="s">
        <v>48</v>
      </c>
      <c r="F653" s="3"/>
      <c r="G653" s="3"/>
      <c r="H653" s="3" t="s">
        <v>49</v>
      </c>
      <c r="I653" s="3"/>
      <c r="J653" s="3"/>
    </row>
    <row r="654" spans="1:10" ht="13.5" customHeight="1">
      <c r="A654" s="184" t="s">
        <v>0</v>
      </c>
      <c r="B654" s="185"/>
      <c r="C654" s="185"/>
      <c r="D654" s="185"/>
      <c r="E654" s="185"/>
      <c r="F654" s="185"/>
      <c r="G654" s="185"/>
      <c r="H654" s="185"/>
      <c r="I654" s="185"/>
      <c r="J654" s="186"/>
    </row>
    <row r="655" spans="1:10" ht="13.5" customHeight="1">
      <c r="A655" s="187" t="s">
        <v>1</v>
      </c>
      <c r="B655" s="188"/>
      <c r="C655" s="188"/>
      <c r="D655" s="188"/>
      <c r="E655" s="188"/>
      <c r="F655" s="188"/>
      <c r="G655" s="188"/>
      <c r="H655" s="188"/>
      <c r="I655" s="188"/>
      <c r="J655" s="189"/>
    </row>
    <row r="656" spans="1:10" ht="13.5" customHeight="1">
      <c r="A656" s="1" t="s">
        <v>2</v>
      </c>
      <c r="B656" s="1"/>
      <c r="C656" s="194"/>
      <c r="D656" s="194"/>
      <c r="E656" s="2"/>
      <c r="F656" s="3"/>
      <c r="G656" s="1" t="s">
        <v>4</v>
      </c>
      <c r="H656" s="191" t="s">
        <v>227</v>
      </c>
      <c r="I656" s="191"/>
      <c r="J656" s="191"/>
    </row>
    <row r="657" spans="1:10" ht="13.5" customHeight="1">
      <c r="A657" s="1" t="s">
        <v>6</v>
      </c>
      <c r="B657" s="1"/>
      <c r="C657" s="25" t="s">
        <v>801</v>
      </c>
      <c r="D657" s="25"/>
      <c r="E657" s="2"/>
      <c r="F657" s="3"/>
      <c r="G657" s="1" t="s">
        <v>8</v>
      </c>
      <c r="H657" s="193" t="s">
        <v>9</v>
      </c>
      <c r="I657" s="193"/>
      <c r="J657" s="193"/>
    </row>
    <row r="658" spans="1:10" ht="13.5" customHeight="1">
      <c r="A658" s="6" t="s">
        <v>10</v>
      </c>
      <c r="B658" s="6"/>
      <c r="C658" s="194" t="s">
        <v>731</v>
      </c>
      <c r="D658" s="194"/>
      <c r="E658" s="2"/>
      <c r="F658" s="3"/>
      <c r="G658" s="1" t="s">
        <v>12</v>
      </c>
      <c r="H658" s="195" t="s">
        <v>13</v>
      </c>
      <c r="I658" s="195"/>
      <c r="J658" s="195"/>
    </row>
    <row r="659" spans="1:10" ht="13.5" customHeight="1">
      <c r="A659" s="2" t="s">
        <v>14</v>
      </c>
      <c r="B659" s="2"/>
      <c r="C659" s="2" t="s">
        <v>15</v>
      </c>
      <c r="D659" s="2"/>
      <c r="E659" s="2"/>
      <c r="F659" s="3"/>
      <c r="G659" s="1" t="s">
        <v>16</v>
      </c>
      <c r="H659" s="196" t="s">
        <v>140</v>
      </c>
      <c r="I659" s="196"/>
      <c r="J659" s="196"/>
    </row>
    <row r="660" spans="1:10" ht="13.5" customHeight="1">
      <c r="A660" s="2">
        <v>30</v>
      </c>
      <c r="B660" s="2"/>
      <c r="C660" s="2">
        <f>A660-H660</f>
        <v>0</v>
      </c>
      <c r="D660" s="2"/>
      <c r="E660" s="2"/>
      <c r="F660" s="3"/>
      <c r="G660" s="8" t="s">
        <v>18</v>
      </c>
      <c r="H660" s="197">
        <v>30</v>
      </c>
      <c r="I660" s="197"/>
      <c r="J660" s="197"/>
    </row>
    <row r="661" spans="1:10" ht="13.5" customHeight="1">
      <c r="A661" s="198" t="s">
        <v>19</v>
      </c>
      <c r="B661" s="199"/>
      <c r="C661" s="200"/>
      <c r="D661" s="13" t="s">
        <v>20</v>
      </c>
      <c r="E661" s="14" t="s">
        <v>21</v>
      </c>
      <c r="F661" s="15"/>
      <c r="G661" s="16" t="s">
        <v>20</v>
      </c>
      <c r="H661" s="201" t="s">
        <v>22</v>
      </c>
      <c r="I661" s="202"/>
      <c r="J661" s="203"/>
    </row>
    <row r="662" spans="1:10" ht="13.5" customHeight="1">
      <c r="A662" s="17" t="s">
        <v>23</v>
      </c>
      <c r="B662" s="1"/>
      <c r="C662" s="1"/>
      <c r="D662" s="2">
        <v>18000</v>
      </c>
      <c r="E662" s="17" t="s">
        <v>58</v>
      </c>
      <c r="F662" s="1"/>
      <c r="G662" s="2" t="s">
        <v>25</v>
      </c>
      <c r="H662" s="18" t="s">
        <v>502</v>
      </c>
      <c r="I662" s="6"/>
      <c r="J662" s="19"/>
    </row>
    <row r="663" spans="1:10" ht="13.5" customHeight="1">
      <c r="A663" s="17" t="s">
        <v>77</v>
      </c>
      <c r="B663" s="209"/>
      <c r="C663" s="209"/>
      <c r="D663" s="2" t="s">
        <v>25</v>
      </c>
      <c r="E663" s="17" t="s">
        <v>722</v>
      </c>
      <c r="F663" s="1"/>
      <c r="G663" s="2" t="s">
        <v>25</v>
      </c>
      <c r="H663" s="18" t="s">
        <v>504</v>
      </c>
      <c r="I663" s="6"/>
      <c r="J663" s="19"/>
    </row>
    <row r="664" spans="1:10" ht="13.5" customHeight="1">
      <c r="A664" s="17" t="s">
        <v>30</v>
      </c>
      <c r="B664" s="1"/>
      <c r="C664" s="1"/>
      <c r="D664" s="2">
        <v>2000</v>
      </c>
      <c r="E664" s="17" t="s">
        <v>394</v>
      </c>
      <c r="F664" s="1"/>
      <c r="G664" s="2" t="s">
        <v>25</v>
      </c>
      <c r="H664" s="18" t="s">
        <v>32</v>
      </c>
      <c r="I664" s="6"/>
      <c r="J664" s="19"/>
    </row>
    <row r="665" spans="1:10" ht="13.5" customHeight="1">
      <c r="A665" s="17" t="s">
        <v>796</v>
      </c>
      <c r="B665" s="6"/>
      <c r="C665" s="6"/>
      <c r="D665" s="2" t="s">
        <v>25</v>
      </c>
      <c r="E665" s="17" t="s">
        <v>35</v>
      </c>
      <c r="F665" s="1"/>
      <c r="G665" s="2" t="s">
        <v>25</v>
      </c>
      <c r="H665" s="18"/>
      <c r="I665" s="6"/>
      <c r="J665" s="19"/>
    </row>
    <row r="666" spans="1:10" ht="13.5" customHeight="1">
      <c r="A666" s="17" t="s">
        <v>78</v>
      </c>
      <c r="B666" s="1"/>
      <c r="C666" s="1"/>
      <c r="D666" s="2" t="s">
        <v>25</v>
      </c>
      <c r="E666" s="17" t="s">
        <v>39</v>
      </c>
      <c r="F666" s="1"/>
      <c r="G666" s="2">
        <v>100</v>
      </c>
      <c r="H666" s="18"/>
      <c r="I666" s="6"/>
      <c r="J666" s="40"/>
    </row>
    <row r="667" spans="1:10" ht="13.5" customHeight="1">
      <c r="A667" s="17" t="s">
        <v>136</v>
      </c>
      <c r="B667" s="1"/>
      <c r="C667" s="1"/>
      <c r="D667" s="2" t="s">
        <v>25</v>
      </c>
      <c r="E667" s="17" t="s">
        <v>37</v>
      </c>
      <c r="F667" s="1"/>
      <c r="G667" s="2">
        <v>200</v>
      </c>
      <c r="H667" s="18"/>
      <c r="I667" s="6"/>
      <c r="J667" s="40"/>
    </row>
    <row r="668" spans="1:10" ht="13.5" customHeight="1">
      <c r="A668" s="18" t="s">
        <v>40</v>
      </c>
      <c r="B668" s="6"/>
      <c r="C668" s="6"/>
      <c r="D668" s="2" t="s">
        <v>25</v>
      </c>
      <c r="E668" s="17" t="s">
        <v>41</v>
      </c>
      <c r="F668" s="1"/>
      <c r="G668" s="2" t="s">
        <v>25</v>
      </c>
      <c r="H668" s="18"/>
      <c r="I668" s="6"/>
      <c r="J668" s="19"/>
    </row>
    <row r="669" spans="1:10" ht="13.5" customHeight="1">
      <c r="A669" s="204" t="s">
        <v>63</v>
      </c>
      <c r="B669" s="205"/>
      <c r="C669" s="206"/>
      <c r="D669" s="229">
        <f>SUM(D662:D668)</f>
        <v>20000</v>
      </c>
      <c r="E669" s="1" t="s">
        <v>43</v>
      </c>
      <c r="F669" s="1"/>
      <c r="G669" s="2" t="s">
        <v>25</v>
      </c>
      <c r="H669" s="18"/>
      <c r="I669" s="6"/>
      <c r="J669" s="19"/>
    </row>
    <row r="670" spans="1:10" ht="13.5" customHeight="1">
      <c r="A670" s="207"/>
      <c r="B670" s="197"/>
      <c r="C670" s="208"/>
      <c r="D670" s="230"/>
      <c r="E670" s="21" t="s">
        <v>21</v>
      </c>
      <c r="F670" s="22"/>
      <c r="G670" s="13">
        <f>SUM(G662:G669)</f>
        <v>300</v>
      </c>
      <c r="H670" s="21" t="s">
        <v>44</v>
      </c>
      <c r="I670" s="22"/>
      <c r="J670" s="13">
        <f>D669-G670</f>
        <v>19700</v>
      </c>
    </row>
    <row r="671" spans="1:10" ht="13.5" customHeight="1">
      <c r="A671" s="3" t="s">
        <v>45</v>
      </c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3.5" customHeight="1">
      <c r="A673" s="3"/>
      <c r="B673" s="3" t="s">
        <v>47</v>
      </c>
      <c r="C673" s="3"/>
      <c r="D673" s="3"/>
      <c r="E673" s="3" t="s">
        <v>48</v>
      </c>
      <c r="F673" s="3"/>
      <c r="G673" s="3"/>
      <c r="H673" s="3" t="s">
        <v>49</v>
      </c>
      <c r="I673" s="3"/>
      <c r="J673" s="3"/>
    </row>
    <row r="674" spans="1:10" ht="14.25" customHeight="1">
      <c r="A674" s="184" t="s">
        <v>0</v>
      </c>
      <c r="B674" s="185"/>
      <c r="C674" s="185"/>
      <c r="D674" s="185"/>
      <c r="E674" s="185"/>
      <c r="F674" s="185"/>
      <c r="G674" s="185"/>
      <c r="H674" s="185"/>
      <c r="I674" s="185"/>
      <c r="J674" s="186"/>
    </row>
    <row r="675" spans="1:10" ht="14.25" customHeight="1">
      <c r="A675" s="187" t="s">
        <v>1</v>
      </c>
      <c r="B675" s="188"/>
      <c r="C675" s="188"/>
      <c r="D675" s="188"/>
      <c r="E675" s="188"/>
      <c r="F675" s="188"/>
      <c r="G675" s="188"/>
      <c r="H675" s="188"/>
      <c r="I675" s="188"/>
      <c r="J675" s="189"/>
    </row>
    <row r="676" spans="1:10" ht="14.25" customHeight="1">
      <c r="A676" s="1" t="s">
        <v>2</v>
      </c>
      <c r="B676" s="1"/>
      <c r="C676" s="192" t="s">
        <v>802</v>
      </c>
      <c r="D676" s="192"/>
      <c r="E676" s="2"/>
      <c r="F676" s="3"/>
      <c r="G676" s="1" t="s">
        <v>4</v>
      </c>
      <c r="H676" s="209" t="s">
        <v>240</v>
      </c>
      <c r="I676" s="209"/>
      <c r="J676" s="209"/>
    </row>
    <row r="677" spans="1:10" ht="14.25" customHeight="1">
      <c r="A677" s="1" t="s">
        <v>6</v>
      </c>
      <c r="B677" s="1"/>
      <c r="C677" s="194" t="s">
        <v>803</v>
      </c>
      <c r="D677" s="194"/>
      <c r="E677" s="2"/>
      <c r="F677" s="3"/>
      <c r="G677" s="1" t="s">
        <v>8</v>
      </c>
      <c r="H677" s="193" t="s">
        <v>9</v>
      </c>
      <c r="I677" s="193"/>
      <c r="J677" s="193"/>
    </row>
    <row r="678" spans="1:10" ht="14.25" customHeight="1">
      <c r="A678" s="6" t="s">
        <v>10</v>
      </c>
      <c r="B678" s="6"/>
      <c r="C678" s="194" t="s">
        <v>721</v>
      </c>
      <c r="D678" s="194"/>
      <c r="E678" s="2"/>
      <c r="F678" s="3"/>
      <c r="G678" s="1" t="s">
        <v>12</v>
      </c>
      <c r="H678" s="195" t="s">
        <v>13</v>
      </c>
      <c r="I678" s="195"/>
      <c r="J678" s="195"/>
    </row>
    <row r="679" spans="1:10" ht="14.25" customHeight="1">
      <c r="A679" s="2" t="s">
        <v>14</v>
      </c>
      <c r="B679" s="2"/>
      <c r="C679" s="2" t="s">
        <v>15</v>
      </c>
      <c r="D679" s="2"/>
      <c r="E679" s="2"/>
      <c r="F679" s="3"/>
      <c r="G679" s="1" t="s">
        <v>16</v>
      </c>
      <c r="H679" s="196" t="s">
        <v>140</v>
      </c>
      <c r="I679" s="196"/>
      <c r="J679" s="196"/>
    </row>
    <row r="680" spans="1:10" ht="14.25" customHeight="1">
      <c r="A680" s="2">
        <v>30</v>
      </c>
      <c r="B680" s="2"/>
      <c r="C680" s="2">
        <f>A680-H680</f>
        <v>0</v>
      </c>
      <c r="D680" s="2"/>
      <c r="E680" s="2"/>
      <c r="F680" s="3"/>
      <c r="G680" s="8" t="s">
        <v>18</v>
      </c>
      <c r="H680" s="197">
        <v>30</v>
      </c>
      <c r="I680" s="197"/>
      <c r="J680" s="197"/>
    </row>
    <row r="681" spans="1:10" ht="14.25" customHeight="1">
      <c r="A681" s="198" t="s">
        <v>19</v>
      </c>
      <c r="B681" s="199"/>
      <c r="C681" s="200"/>
      <c r="D681" s="13" t="s">
        <v>20</v>
      </c>
      <c r="E681" s="14" t="s">
        <v>21</v>
      </c>
      <c r="F681" s="15"/>
      <c r="G681" s="16" t="s">
        <v>20</v>
      </c>
      <c r="H681" s="201" t="s">
        <v>22</v>
      </c>
      <c r="I681" s="202"/>
      <c r="J681" s="203"/>
    </row>
    <row r="682" spans="1:10" ht="14.25" customHeight="1">
      <c r="A682" s="17" t="s">
        <v>23</v>
      </c>
      <c r="B682" s="1"/>
      <c r="C682" s="1"/>
      <c r="D682" s="2">
        <v>15000</v>
      </c>
      <c r="E682" s="17" t="s">
        <v>394</v>
      </c>
      <c r="F682" s="1"/>
      <c r="G682" s="2" t="s">
        <v>25</v>
      </c>
      <c r="H682" s="18" t="s">
        <v>502</v>
      </c>
      <c r="I682" s="6"/>
      <c r="J682" s="19"/>
    </row>
    <row r="683" spans="1:10" ht="14.25" customHeight="1">
      <c r="A683" s="17" t="s">
        <v>77</v>
      </c>
      <c r="B683" s="209" t="s">
        <v>120</v>
      </c>
      <c r="C683" s="209"/>
      <c r="D683" s="2">
        <v>500</v>
      </c>
      <c r="E683" s="17" t="s">
        <v>83</v>
      </c>
      <c r="F683" s="1"/>
      <c r="G683" s="2" t="s">
        <v>25</v>
      </c>
      <c r="H683" s="18" t="s">
        <v>504</v>
      </c>
      <c r="I683" s="6"/>
      <c r="J683" s="19"/>
    </row>
    <row r="684" spans="1:10" ht="14.25" customHeight="1">
      <c r="A684" s="17" t="s">
        <v>30</v>
      </c>
      <c r="B684" s="1"/>
      <c r="C684" s="1"/>
      <c r="D684" s="2" t="s">
        <v>25</v>
      </c>
      <c r="E684" s="17" t="s">
        <v>58</v>
      </c>
      <c r="F684" s="1"/>
      <c r="G684" s="2" t="s">
        <v>25</v>
      </c>
      <c r="H684" s="18" t="s">
        <v>32</v>
      </c>
      <c r="I684" s="6"/>
      <c r="J684" s="19"/>
    </row>
    <row r="685" spans="1:10" ht="14.25" customHeight="1">
      <c r="A685" s="17" t="s">
        <v>72</v>
      </c>
      <c r="B685" s="1"/>
      <c r="C685" s="1"/>
      <c r="D685" s="2" t="s">
        <v>25</v>
      </c>
      <c r="E685" s="17" t="s">
        <v>71</v>
      </c>
      <c r="F685" s="1"/>
      <c r="G685" s="2" t="s">
        <v>25</v>
      </c>
      <c r="H685" s="42"/>
      <c r="I685" s="36"/>
      <c r="J685" s="19"/>
    </row>
    <row r="686" spans="1:10" ht="14.25" customHeight="1">
      <c r="A686" s="17" t="s">
        <v>78</v>
      </c>
      <c r="B686" s="1"/>
      <c r="C686" s="1"/>
      <c r="D686" s="2" t="s">
        <v>25</v>
      </c>
      <c r="E686" s="17" t="s">
        <v>61</v>
      </c>
      <c r="F686" s="1"/>
      <c r="G686" s="2" t="s">
        <v>25</v>
      </c>
      <c r="H686" s="42" t="s">
        <v>804</v>
      </c>
      <c r="I686" s="36"/>
      <c r="J686" s="43"/>
    </row>
    <row r="687" spans="1:10" ht="14.25" customHeight="1">
      <c r="A687" s="17" t="s">
        <v>136</v>
      </c>
      <c r="B687" s="1"/>
      <c r="C687" s="1"/>
      <c r="D687" s="2" t="s">
        <v>25</v>
      </c>
      <c r="E687" s="17" t="s">
        <v>39</v>
      </c>
      <c r="F687" s="1"/>
      <c r="G687" s="2">
        <v>100</v>
      </c>
      <c r="H687" s="42"/>
      <c r="I687" s="92"/>
      <c r="J687" s="43"/>
    </row>
    <row r="688" spans="1:10" ht="14.25" customHeight="1">
      <c r="A688" s="18" t="s">
        <v>40</v>
      </c>
      <c r="B688" s="6"/>
      <c r="C688" s="6"/>
      <c r="D688" s="2" t="s">
        <v>25</v>
      </c>
      <c r="E688" s="17" t="s">
        <v>78</v>
      </c>
      <c r="F688" s="1"/>
      <c r="G688" s="2" t="s">
        <v>25</v>
      </c>
      <c r="H688" s="174" t="s">
        <v>437</v>
      </c>
      <c r="I688" s="36"/>
      <c r="J688" s="43"/>
    </row>
    <row r="689" spans="1:10" ht="14.25" customHeight="1">
      <c r="A689" s="204" t="s">
        <v>63</v>
      </c>
      <c r="B689" s="205"/>
      <c r="C689" s="206"/>
      <c r="D689" s="229">
        <f>SUM(D682:D688)</f>
        <v>15500</v>
      </c>
      <c r="E689" s="1" t="s">
        <v>43</v>
      </c>
      <c r="F689" s="1"/>
      <c r="G689" s="2" t="s">
        <v>25</v>
      </c>
      <c r="H689" s="18"/>
      <c r="I689" s="6"/>
      <c r="J689" s="19"/>
    </row>
    <row r="690" spans="1:10" ht="14.25" customHeight="1">
      <c r="A690" s="207"/>
      <c r="B690" s="197"/>
      <c r="C690" s="208"/>
      <c r="D690" s="230"/>
      <c r="E690" s="21" t="s">
        <v>21</v>
      </c>
      <c r="F690" s="22"/>
      <c r="G690" s="13">
        <f>SUM(G682:G689)</f>
        <v>100</v>
      </c>
      <c r="H690" s="21" t="s">
        <v>44</v>
      </c>
      <c r="I690" s="22"/>
      <c r="J690" s="13">
        <f>D689-G690</f>
        <v>15400</v>
      </c>
    </row>
    <row r="691" spans="1:10" ht="14.25" customHeight="1">
      <c r="A691" s="3" t="s">
        <v>45</v>
      </c>
      <c r="B691" s="3"/>
      <c r="C691" s="3"/>
      <c r="D691" s="3"/>
      <c r="E691" s="3"/>
      <c r="F691" s="3"/>
      <c r="G691" s="2"/>
      <c r="H691" s="1"/>
      <c r="I691" s="1"/>
      <c r="J691" s="2"/>
    </row>
    <row r="692" spans="1:10" ht="14.25" customHeight="1">
      <c r="A692" s="3"/>
      <c r="B692" s="3"/>
      <c r="C692" s="3"/>
      <c r="D692" s="3"/>
      <c r="E692" s="3"/>
      <c r="F692" s="3"/>
      <c r="G692" s="2"/>
      <c r="H692" s="1"/>
      <c r="I692" s="1"/>
      <c r="J692" s="2"/>
    </row>
    <row r="693" spans="1:10" ht="14.25" customHeight="1">
      <c r="A693" s="3"/>
      <c r="B693" s="3" t="s">
        <v>47</v>
      </c>
      <c r="C693" s="3"/>
      <c r="D693" s="3"/>
      <c r="E693" s="3" t="s">
        <v>48</v>
      </c>
      <c r="F693" s="3"/>
      <c r="G693" s="3"/>
      <c r="H693" s="3" t="s">
        <v>49</v>
      </c>
      <c r="I693" s="3"/>
      <c r="J693" s="2"/>
    </row>
    <row r="694" spans="1:10" ht="14.25" customHeight="1">
      <c r="A694" s="184" t="s">
        <v>0</v>
      </c>
      <c r="B694" s="185"/>
      <c r="C694" s="185"/>
      <c r="D694" s="185"/>
      <c r="E694" s="185"/>
      <c r="F694" s="185"/>
      <c r="G694" s="185"/>
      <c r="H694" s="185"/>
      <c r="I694" s="185"/>
      <c r="J694" s="186"/>
    </row>
    <row r="695" spans="1:10" ht="14.25" customHeight="1">
      <c r="A695" s="187" t="s">
        <v>1</v>
      </c>
      <c r="B695" s="188"/>
      <c r="C695" s="188"/>
      <c r="D695" s="188"/>
      <c r="E695" s="188"/>
      <c r="F695" s="188"/>
      <c r="G695" s="188"/>
      <c r="H695" s="188"/>
      <c r="I695" s="188"/>
      <c r="J695" s="189"/>
    </row>
    <row r="696" spans="1:10" ht="14.25" customHeight="1">
      <c r="A696" s="1" t="s">
        <v>2</v>
      </c>
      <c r="B696" s="1"/>
      <c r="C696" s="194"/>
      <c r="D696" s="194"/>
      <c r="E696" s="2"/>
      <c r="F696" s="3"/>
      <c r="G696" s="1" t="s">
        <v>4</v>
      </c>
      <c r="H696" s="209" t="s">
        <v>240</v>
      </c>
      <c r="I696" s="209"/>
      <c r="J696" s="209"/>
    </row>
    <row r="697" spans="1:10" ht="14.25" customHeight="1">
      <c r="A697" s="1" t="s">
        <v>6</v>
      </c>
      <c r="B697" s="1"/>
      <c r="C697" s="192" t="s">
        <v>805</v>
      </c>
      <c r="D697" s="192"/>
      <c r="E697" s="2"/>
      <c r="F697" s="3"/>
      <c r="G697" s="1" t="s">
        <v>8</v>
      </c>
      <c r="H697" s="193" t="s">
        <v>9</v>
      </c>
      <c r="I697" s="193"/>
      <c r="J697" s="193"/>
    </row>
    <row r="698" spans="1:10" ht="14.25" customHeight="1">
      <c r="A698" s="6" t="s">
        <v>10</v>
      </c>
      <c r="B698" s="6"/>
      <c r="C698" s="194" t="s">
        <v>750</v>
      </c>
      <c r="D698" s="194"/>
      <c r="E698" s="2"/>
      <c r="F698" s="3"/>
      <c r="G698" s="1" t="s">
        <v>12</v>
      </c>
      <c r="H698" s="195" t="s">
        <v>13</v>
      </c>
      <c r="I698" s="195"/>
      <c r="J698" s="195"/>
    </row>
    <row r="699" spans="1:10" ht="14.25" customHeight="1">
      <c r="A699" s="2" t="s">
        <v>14</v>
      </c>
      <c r="B699" s="2"/>
      <c r="C699" s="1" t="s">
        <v>15</v>
      </c>
      <c r="D699" s="1"/>
      <c r="E699" s="2"/>
      <c r="F699" s="3"/>
      <c r="G699" s="1" t="s">
        <v>16</v>
      </c>
      <c r="H699" s="209" t="s">
        <v>55</v>
      </c>
      <c r="I699" s="209"/>
      <c r="J699" s="209"/>
    </row>
    <row r="700" spans="1:10" ht="14.25" customHeight="1">
      <c r="A700" s="2">
        <v>30</v>
      </c>
      <c r="B700" s="2"/>
      <c r="C700" s="2">
        <f>A700-H700</f>
        <v>0</v>
      </c>
      <c r="D700" s="2"/>
      <c r="E700" s="2"/>
      <c r="F700" s="3"/>
      <c r="G700" s="8" t="s">
        <v>18</v>
      </c>
      <c r="H700" s="197">
        <v>30</v>
      </c>
      <c r="I700" s="197"/>
      <c r="J700" s="197"/>
    </row>
    <row r="701" spans="1:10" ht="14.25" customHeight="1">
      <c r="A701" s="198" t="s">
        <v>19</v>
      </c>
      <c r="B701" s="199"/>
      <c r="C701" s="200"/>
      <c r="D701" s="13" t="s">
        <v>20</v>
      </c>
      <c r="E701" s="14" t="s">
        <v>21</v>
      </c>
      <c r="F701" s="15"/>
      <c r="G701" s="16" t="s">
        <v>20</v>
      </c>
      <c r="H701" s="201" t="s">
        <v>22</v>
      </c>
      <c r="I701" s="202"/>
      <c r="J701" s="203"/>
    </row>
    <row r="702" spans="1:10" ht="14.25" customHeight="1">
      <c r="A702" s="17" t="s">
        <v>56</v>
      </c>
      <c r="B702" s="1"/>
      <c r="C702" s="1"/>
      <c r="D702" s="2">
        <v>15000</v>
      </c>
      <c r="E702" s="17" t="s">
        <v>394</v>
      </c>
      <c r="F702" s="1"/>
      <c r="G702" s="2" t="s">
        <v>25</v>
      </c>
      <c r="H702" s="18" t="s">
        <v>502</v>
      </c>
      <c r="I702" s="6"/>
      <c r="J702" s="19"/>
    </row>
    <row r="703" spans="1:10" ht="14.25" customHeight="1">
      <c r="A703" s="17" t="s">
        <v>57</v>
      </c>
      <c r="B703" s="209"/>
      <c r="C703" s="209"/>
      <c r="D703" s="2" t="s">
        <v>25</v>
      </c>
      <c r="E703" s="211" t="s">
        <v>58</v>
      </c>
      <c r="F703" s="194"/>
      <c r="G703" s="2">
        <v>245</v>
      </c>
      <c r="H703" s="18" t="s">
        <v>504</v>
      </c>
      <c r="I703" s="6"/>
      <c r="J703" s="19"/>
    </row>
    <row r="704" spans="1:10" ht="14.25" customHeight="1">
      <c r="A704" s="17" t="s">
        <v>30</v>
      </c>
      <c r="B704" s="1"/>
      <c r="C704" s="1"/>
      <c r="D704" s="2" t="s">
        <v>25</v>
      </c>
      <c r="E704" s="17" t="s">
        <v>722</v>
      </c>
      <c r="F704" s="1"/>
      <c r="G704" s="2" t="s">
        <v>25</v>
      </c>
      <c r="H704" s="18" t="s">
        <v>32</v>
      </c>
      <c r="I704" s="6"/>
      <c r="J704" s="19"/>
    </row>
    <row r="705" spans="1:10" ht="14.25" customHeight="1">
      <c r="A705" s="17" t="s">
        <v>758</v>
      </c>
      <c r="B705" s="1"/>
      <c r="C705" s="1"/>
      <c r="D705" s="2">
        <v>5000</v>
      </c>
      <c r="E705" s="17" t="s">
        <v>35</v>
      </c>
      <c r="F705" s="1"/>
      <c r="G705" s="2" t="s">
        <v>25</v>
      </c>
      <c r="H705" s="18"/>
      <c r="I705" s="93"/>
      <c r="J705" s="19"/>
    </row>
    <row r="706" spans="1:10" ht="14.25" customHeight="1">
      <c r="A706" s="17" t="s">
        <v>60</v>
      </c>
      <c r="B706" s="1"/>
      <c r="C706" s="1"/>
      <c r="D706" s="2" t="s">
        <v>25</v>
      </c>
      <c r="E706" s="17" t="s">
        <v>61</v>
      </c>
      <c r="F706" s="1"/>
      <c r="G706" s="2">
        <v>200</v>
      </c>
      <c r="H706" s="18"/>
      <c r="I706" s="6"/>
      <c r="J706" s="19"/>
    </row>
    <row r="707" spans="1:10" ht="14.25" customHeight="1">
      <c r="A707" s="17" t="s">
        <v>27</v>
      </c>
      <c r="B707" s="1"/>
      <c r="C707" s="1"/>
      <c r="D707" s="2" t="s">
        <v>25</v>
      </c>
      <c r="E707" s="17" t="s">
        <v>39</v>
      </c>
      <c r="F707" s="1"/>
      <c r="G707" s="2">
        <v>100</v>
      </c>
      <c r="H707" s="50" t="s">
        <v>437</v>
      </c>
      <c r="I707" s="6"/>
      <c r="J707" s="19"/>
    </row>
    <row r="708" spans="1:10" ht="14.25" customHeight="1">
      <c r="A708" s="18" t="s">
        <v>40</v>
      </c>
      <c r="B708" s="6"/>
      <c r="C708" s="6"/>
      <c r="D708" s="2" t="s">
        <v>25</v>
      </c>
      <c r="E708" s="17" t="s">
        <v>62</v>
      </c>
      <c r="F708" s="1"/>
      <c r="G708" s="2" t="s">
        <v>25</v>
      </c>
      <c r="H708" s="94"/>
      <c r="I708" s="6"/>
      <c r="J708" s="40"/>
    </row>
    <row r="709" spans="1:10" ht="14.25" customHeight="1">
      <c r="A709" s="204" t="s">
        <v>63</v>
      </c>
      <c r="B709" s="205"/>
      <c r="C709" s="206"/>
      <c r="D709" s="229">
        <f>SUM(D702:D708)</f>
        <v>20000</v>
      </c>
      <c r="E709" s="1" t="s">
        <v>64</v>
      </c>
      <c r="F709" s="1"/>
      <c r="G709" s="2" t="s">
        <v>25</v>
      </c>
      <c r="H709" s="18"/>
      <c r="I709" s="6"/>
      <c r="J709" s="40"/>
    </row>
    <row r="710" spans="1:10" ht="14.25" customHeight="1">
      <c r="A710" s="207"/>
      <c r="B710" s="197"/>
      <c r="C710" s="208"/>
      <c r="D710" s="230"/>
      <c r="E710" s="21" t="s">
        <v>21</v>
      </c>
      <c r="F710" s="22"/>
      <c r="G710" s="13">
        <f>SUM(G702:G709)</f>
        <v>545</v>
      </c>
      <c r="H710" s="21" t="s">
        <v>44</v>
      </c>
      <c r="I710" s="22"/>
      <c r="J710" s="13">
        <f>D709-G710</f>
        <v>19455</v>
      </c>
    </row>
    <row r="711" spans="1:10" ht="14.25" customHeight="1">
      <c r="A711" s="3" t="s">
        <v>45</v>
      </c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9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4.25" customHeight="1">
      <c r="A713" s="3"/>
      <c r="B713" s="3" t="s">
        <v>47</v>
      </c>
      <c r="C713" s="3"/>
      <c r="D713" s="3"/>
      <c r="E713" s="3" t="s">
        <v>48</v>
      </c>
      <c r="F713" s="3"/>
      <c r="G713" s="3"/>
      <c r="H713" s="3" t="s">
        <v>49</v>
      </c>
      <c r="I713" s="3"/>
      <c r="J713" s="3"/>
    </row>
    <row r="714" spans="1:10" ht="14.25" customHeight="1">
      <c r="A714" s="184" t="s">
        <v>0</v>
      </c>
      <c r="B714" s="185"/>
      <c r="C714" s="185"/>
      <c r="D714" s="185"/>
      <c r="E714" s="185"/>
      <c r="F714" s="185"/>
      <c r="G714" s="185"/>
      <c r="H714" s="185"/>
      <c r="I714" s="185"/>
      <c r="J714" s="186"/>
    </row>
    <row r="715" spans="1:10" ht="14.25" customHeight="1">
      <c r="A715" s="187" t="s">
        <v>1</v>
      </c>
      <c r="B715" s="188"/>
      <c r="C715" s="188"/>
      <c r="D715" s="188"/>
      <c r="E715" s="188"/>
      <c r="F715" s="188"/>
      <c r="G715" s="188"/>
      <c r="H715" s="188"/>
      <c r="I715" s="188"/>
      <c r="J715" s="189"/>
    </row>
    <row r="716" spans="1:10" ht="14.25" customHeight="1">
      <c r="A716" s="1" t="s">
        <v>2</v>
      </c>
      <c r="B716" s="1"/>
      <c r="C716" s="194" t="s">
        <v>806</v>
      </c>
      <c r="D716" s="194"/>
      <c r="E716" s="2"/>
      <c r="F716" s="3"/>
      <c r="G716" s="1" t="s">
        <v>4</v>
      </c>
      <c r="H716" s="341" t="s">
        <v>358</v>
      </c>
      <c r="I716" s="341"/>
      <c r="J716" s="341"/>
    </row>
    <row r="717" spans="1:10" ht="14.25" customHeight="1">
      <c r="A717" s="1" t="s">
        <v>6</v>
      </c>
      <c r="B717" s="1"/>
      <c r="C717" s="25" t="s">
        <v>807</v>
      </c>
      <c r="D717" s="25"/>
      <c r="E717" s="2"/>
      <c r="F717" s="3"/>
      <c r="G717" s="1" t="s">
        <v>8</v>
      </c>
      <c r="H717" s="193" t="s">
        <v>9</v>
      </c>
      <c r="I717" s="193"/>
      <c r="J717" s="193"/>
    </row>
    <row r="718" spans="1:10" ht="14.25" customHeight="1">
      <c r="A718" s="6" t="s">
        <v>10</v>
      </c>
      <c r="B718" s="6"/>
      <c r="C718" s="194" t="s">
        <v>750</v>
      </c>
      <c r="D718" s="194"/>
      <c r="E718" s="2"/>
      <c r="F718" s="3"/>
      <c r="G718" s="1" t="s">
        <v>12</v>
      </c>
      <c r="H718" s="195" t="s">
        <v>13</v>
      </c>
      <c r="I718" s="195"/>
      <c r="J718" s="195"/>
    </row>
    <row r="719" spans="1:10" ht="14.25" customHeight="1">
      <c r="A719" s="2" t="s">
        <v>14</v>
      </c>
      <c r="B719" s="2"/>
      <c r="C719" s="2" t="s">
        <v>15</v>
      </c>
      <c r="D719" s="2"/>
      <c r="E719" s="2"/>
      <c r="F719" s="3"/>
      <c r="G719" s="1" t="s">
        <v>16</v>
      </c>
      <c r="H719" s="196" t="s">
        <v>140</v>
      </c>
      <c r="I719" s="196"/>
      <c r="J719" s="196"/>
    </row>
    <row r="720" spans="1:10" ht="14.25" customHeight="1">
      <c r="A720" s="2">
        <v>30</v>
      </c>
      <c r="B720" s="2"/>
      <c r="C720" s="2">
        <f>A720-H720</f>
        <v>20</v>
      </c>
      <c r="D720" s="2"/>
      <c r="E720" s="2"/>
      <c r="F720" s="3"/>
      <c r="G720" s="8" t="s">
        <v>18</v>
      </c>
      <c r="H720" s="197">
        <v>10</v>
      </c>
      <c r="I720" s="197"/>
      <c r="J720" s="197"/>
    </row>
    <row r="721" spans="1:10" ht="14.25" customHeight="1">
      <c r="A721" s="198" t="s">
        <v>19</v>
      </c>
      <c r="B721" s="199"/>
      <c r="C721" s="200"/>
      <c r="D721" s="13" t="s">
        <v>20</v>
      </c>
      <c r="E721" s="14" t="s">
        <v>21</v>
      </c>
      <c r="F721" s="15"/>
      <c r="G721" s="16" t="s">
        <v>20</v>
      </c>
      <c r="H721" s="201" t="s">
        <v>22</v>
      </c>
      <c r="I721" s="202"/>
      <c r="J721" s="203"/>
    </row>
    <row r="722" spans="1:10" ht="14.25" customHeight="1">
      <c r="A722" s="17" t="s">
        <v>23</v>
      </c>
      <c r="B722" s="1"/>
      <c r="C722" s="1"/>
      <c r="D722" s="2">
        <v>20000</v>
      </c>
      <c r="E722" s="17" t="s">
        <v>24</v>
      </c>
      <c r="F722" s="1"/>
      <c r="G722" s="2" t="s">
        <v>25</v>
      </c>
      <c r="H722" s="18" t="s">
        <v>502</v>
      </c>
      <c r="I722" s="6"/>
      <c r="J722" s="19"/>
    </row>
    <row r="723" spans="1:10" ht="14.25" customHeight="1">
      <c r="A723" s="17" t="s">
        <v>77</v>
      </c>
      <c r="B723" s="209" t="s">
        <v>120</v>
      </c>
      <c r="C723" s="209"/>
      <c r="D723" s="2">
        <v>667</v>
      </c>
      <c r="E723" s="17" t="s">
        <v>722</v>
      </c>
      <c r="F723" s="1"/>
      <c r="G723" s="2" t="s">
        <v>25</v>
      </c>
      <c r="H723" s="18" t="s">
        <v>504</v>
      </c>
      <c r="I723" s="6"/>
      <c r="J723" s="19"/>
    </row>
    <row r="724" spans="1:10" ht="14.25" customHeight="1">
      <c r="A724" s="17" t="s">
        <v>30</v>
      </c>
      <c r="B724" s="1"/>
      <c r="C724" s="1"/>
      <c r="D724" s="2" t="s">
        <v>25</v>
      </c>
      <c r="E724" s="17" t="s">
        <v>376</v>
      </c>
      <c r="F724" s="1"/>
      <c r="G724" s="2" t="s">
        <v>25</v>
      </c>
      <c r="H724" s="18" t="s">
        <v>32</v>
      </c>
      <c r="I724" s="6"/>
      <c r="J724" s="19"/>
    </row>
    <row r="725" spans="1:10" ht="14.25" customHeight="1">
      <c r="A725" s="17" t="s">
        <v>629</v>
      </c>
      <c r="B725" s="6"/>
      <c r="C725" s="6"/>
      <c r="D725" s="2">
        <v>1669</v>
      </c>
      <c r="E725" s="17" t="s">
        <v>35</v>
      </c>
      <c r="F725" s="1"/>
      <c r="G725" s="2">
        <v>13333</v>
      </c>
      <c r="H725" s="18"/>
      <c r="I725" s="6"/>
      <c r="J725" s="19"/>
    </row>
    <row r="726" spans="1:10" ht="14.25" customHeight="1">
      <c r="A726" s="17" t="s">
        <v>345</v>
      </c>
      <c r="B726" s="1"/>
      <c r="C726" s="1"/>
      <c r="D726" s="2" t="s">
        <v>25</v>
      </c>
      <c r="E726" s="17" t="s">
        <v>39</v>
      </c>
      <c r="F726" s="1"/>
      <c r="G726" s="2">
        <v>100</v>
      </c>
      <c r="H726" s="18" t="s">
        <v>808</v>
      </c>
      <c r="I726" s="6"/>
      <c r="J726" s="40"/>
    </row>
    <row r="727" spans="1:10" ht="14.25" customHeight="1">
      <c r="A727" s="17" t="s">
        <v>136</v>
      </c>
      <c r="B727" s="1"/>
      <c r="C727" s="1"/>
      <c r="D727" s="2" t="s">
        <v>25</v>
      </c>
      <c r="E727" s="17" t="s">
        <v>61</v>
      </c>
      <c r="F727" s="1"/>
      <c r="G727" s="2">
        <v>600</v>
      </c>
      <c r="H727" s="18"/>
      <c r="I727" s="6"/>
      <c r="J727" s="40"/>
    </row>
    <row r="728" spans="1:10" ht="14.25" customHeight="1">
      <c r="A728" s="18" t="s">
        <v>40</v>
      </c>
      <c r="B728" s="6"/>
      <c r="C728" s="6"/>
      <c r="D728" s="2" t="s">
        <v>25</v>
      </c>
      <c r="E728" s="17" t="s">
        <v>41</v>
      </c>
      <c r="F728" s="1"/>
      <c r="G728" s="2" t="s">
        <v>25</v>
      </c>
      <c r="H728" s="18"/>
      <c r="I728" s="6"/>
      <c r="J728" s="19"/>
    </row>
    <row r="729" spans="1:10" ht="14.25" customHeight="1">
      <c r="A729" s="204" t="s">
        <v>63</v>
      </c>
      <c r="B729" s="205"/>
      <c r="C729" s="206"/>
      <c r="D729" s="229">
        <f>SUM(D722:D728)</f>
        <v>22336</v>
      </c>
      <c r="E729" s="1" t="s">
        <v>43</v>
      </c>
      <c r="F729" s="1"/>
      <c r="G729" s="2" t="s">
        <v>25</v>
      </c>
      <c r="H729" s="18"/>
      <c r="I729" s="6"/>
      <c r="J729" s="19"/>
    </row>
    <row r="730" spans="1:10" ht="14.25" customHeight="1">
      <c r="A730" s="207"/>
      <c r="B730" s="197"/>
      <c r="C730" s="208"/>
      <c r="D730" s="230"/>
      <c r="E730" s="21" t="s">
        <v>21</v>
      </c>
      <c r="F730" s="22"/>
      <c r="G730" s="13">
        <f>SUM(G722:G729)</f>
        <v>14033</v>
      </c>
      <c r="H730" s="21" t="s">
        <v>44</v>
      </c>
      <c r="I730" s="22"/>
      <c r="J730" s="13">
        <f>D729-G730</f>
        <v>8303</v>
      </c>
    </row>
    <row r="731" spans="1:10" ht="14.25" customHeight="1">
      <c r="A731" s="3" t="s">
        <v>45</v>
      </c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4.25" customHeight="1">
      <c r="A733" s="3"/>
      <c r="B733" s="3" t="s">
        <v>47</v>
      </c>
      <c r="C733" s="3"/>
      <c r="D733" s="3"/>
      <c r="E733" s="3" t="s">
        <v>48</v>
      </c>
      <c r="F733" s="3"/>
      <c r="G733" s="3"/>
      <c r="H733" s="3" t="s">
        <v>49</v>
      </c>
      <c r="I733" s="3"/>
      <c r="J733" s="3"/>
    </row>
    <row r="734" spans="1:10" ht="14.25" customHeight="1">
      <c r="A734" s="184" t="s">
        <v>0</v>
      </c>
      <c r="B734" s="185"/>
      <c r="C734" s="185"/>
      <c r="D734" s="185"/>
      <c r="E734" s="185"/>
      <c r="F734" s="185"/>
      <c r="G734" s="185"/>
      <c r="H734" s="185"/>
      <c r="I734" s="185"/>
      <c r="J734" s="186"/>
    </row>
    <row r="735" spans="1:10" ht="14.25" customHeight="1">
      <c r="A735" s="187" t="s">
        <v>1</v>
      </c>
      <c r="B735" s="188"/>
      <c r="C735" s="188"/>
      <c r="D735" s="188"/>
      <c r="E735" s="188"/>
      <c r="F735" s="188"/>
      <c r="G735" s="188"/>
      <c r="H735" s="188"/>
      <c r="I735" s="188"/>
      <c r="J735" s="189"/>
    </row>
    <row r="736" spans="1:10" ht="14.25" customHeight="1">
      <c r="A736" s="97" t="s">
        <v>2</v>
      </c>
      <c r="B736" s="97"/>
      <c r="C736" s="332"/>
      <c r="D736" s="332"/>
      <c r="E736" s="28"/>
      <c r="F736" s="98"/>
      <c r="G736" s="97" t="s">
        <v>4</v>
      </c>
      <c r="H736" s="341" t="s">
        <v>358</v>
      </c>
      <c r="I736" s="341"/>
      <c r="J736" s="341"/>
    </row>
    <row r="737" spans="1:10" ht="14.25" customHeight="1">
      <c r="A737" s="97" t="s">
        <v>6</v>
      </c>
      <c r="B737" s="97"/>
      <c r="C737" s="99" t="s">
        <v>809</v>
      </c>
      <c r="D737" s="99"/>
      <c r="E737" s="28"/>
      <c r="F737" s="98"/>
      <c r="G737" s="97" t="s">
        <v>8</v>
      </c>
      <c r="H737" s="288" t="s">
        <v>9</v>
      </c>
      <c r="I737" s="288"/>
      <c r="J737" s="288"/>
    </row>
    <row r="738" spans="1:10" ht="14.25" customHeight="1">
      <c r="A738" s="100" t="s">
        <v>10</v>
      </c>
      <c r="B738" s="100"/>
      <c r="C738" s="100" t="s">
        <v>765</v>
      </c>
      <c r="D738" s="100"/>
      <c r="E738" s="28"/>
      <c r="F738" s="98"/>
      <c r="G738" s="97" t="s">
        <v>12</v>
      </c>
      <c r="H738" s="195" t="s">
        <v>13</v>
      </c>
      <c r="I738" s="195"/>
      <c r="J738" s="195"/>
    </row>
    <row r="739" spans="1:10" ht="14.25" customHeight="1">
      <c r="A739" s="28" t="s">
        <v>14</v>
      </c>
      <c r="B739" s="28"/>
      <c r="C739" s="28" t="s">
        <v>15</v>
      </c>
      <c r="D739" s="28"/>
      <c r="E739" s="28"/>
      <c r="F739" s="98"/>
      <c r="G739" s="97" t="s">
        <v>16</v>
      </c>
      <c r="H739" s="287" t="s">
        <v>55</v>
      </c>
      <c r="I739" s="287"/>
      <c r="J739" s="287"/>
    </row>
    <row r="740" spans="1:10" ht="14.25" customHeight="1">
      <c r="A740" s="28">
        <v>30</v>
      </c>
      <c r="B740" s="28"/>
      <c r="C740" s="28">
        <f>A740-H740</f>
        <v>0</v>
      </c>
      <c r="D740" s="28"/>
      <c r="E740" s="28"/>
      <c r="F740" s="98"/>
      <c r="G740" s="101" t="s">
        <v>18</v>
      </c>
      <c r="H740" s="291">
        <v>30</v>
      </c>
      <c r="I740" s="291"/>
      <c r="J740" s="291"/>
    </row>
    <row r="741" spans="1:10" ht="14.25" customHeight="1">
      <c r="A741" s="292" t="s">
        <v>19</v>
      </c>
      <c r="B741" s="293"/>
      <c r="C741" s="294"/>
      <c r="D741" s="102" t="s">
        <v>20</v>
      </c>
      <c r="E741" s="103" t="s">
        <v>21</v>
      </c>
      <c r="F741" s="104"/>
      <c r="G741" s="105" t="s">
        <v>20</v>
      </c>
      <c r="H741" s="295" t="s">
        <v>22</v>
      </c>
      <c r="I741" s="296"/>
      <c r="J741" s="297"/>
    </row>
    <row r="742" spans="1:10" ht="14.25" customHeight="1">
      <c r="A742" s="106" t="s">
        <v>23</v>
      </c>
      <c r="B742" s="97"/>
      <c r="C742" s="97"/>
      <c r="D742" s="28">
        <v>15000</v>
      </c>
      <c r="E742" s="106" t="s">
        <v>24</v>
      </c>
      <c r="F742" s="97"/>
      <c r="G742" s="28" t="s">
        <v>25</v>
      </c>
      <c r="H742" s="107" t="s">
        <v>502</v>
      </c>
      <c r="I742" s="100"/>
      <c r="J742" s="108"/>
    </row>
    <row r="743" spans="1:10" ht="14.25" customHeight="1">
      <c r="A743" s="106" t="s">
        <v>57</v>
      </c>
      <c r="B743" s="290" t="s">
        <v>393</v>
      </c>
      <c r="C743" s="290"/>
      <c r="D743" s="28">
        <v>2500</v>
      </c>
      <c r="E743" s="106" t="s">
        <v>58</v>
      </c>
      <c r="F743" s="97"/>
      <c r="G743" s="28" t="s">
        <v>25</v>
      </c>
      <c r="H743" s="107" t="s">
        <v>504</v>
      </c>
      <c r="I743" s="100"/>
      <c r="J743" s="108"/>
    </row>
    <row r="744" spans="1:10" ht="14.25" customHeight="1">
      <c r="A744" s="106" t="s">
        <v>30</v>
      </c>
      <c r="B744" s="97"/>
      <c r="C744" s="97"/>
      <c r="D744" s="28" t="s">
        <v>25</v>
      </c>
      <c r="E744" s="106" t="s">
        <v>83</v>
      </c>
      <c r="F744" s="97"/>
      <c r="G744" s="28" t="s">
        <v>25</v>
      </c>
      <c r="H744" s="107" t="s">
        <v>32</v>
      </c>
      <c r="I744" s="100"/>
      <c r="J744" s="108"/>
    </row>
    <row r="745" spans="1:10" ht="14.25" customHeight="1">
      <c r="A745" s="17" t="s">
        <v>629</v>
      </c>
      <c r="B745" s="97"/>
      <c r="C745" s="97"/>
      <c r="D745" s="173" t="s">
        <v>25</v>
      </c>
      <c r="E745" s="106" t="s">
        <v>71</v>
      </c>
      <c r="F745" s="97"/>
      <c r="G745" s="28" t="s">
        <v>25</v>
      </c>
      <c r="H745" s="107"/>
      <c r="I745" s="109"/>
      <c r="J745" s="110"/>
    </row>
    <row r="746" spans="1:10" ht="14.25" customHeight="1">
      <c r="A746" s="106" t="s">
        <v>78</v>
      </c>
      <c r="B746" s="97"/>
      <c r="C746" s="97"/>
      <c r="D746" s="28" t="s">
        <v>25</v>
      </c>
      <c r="E746" s="106" t="s">
        <v>61</v>
      </c>
      <c r="F746" s="97"/>
      <c r="G746" s="28">
        <v>200</v>
      </c>
      <c r="H746" s="44" t="s">
        <v>810</v>
      </c>
      <c r="I746" s="109"/>
      <c r="J746" s="111"/>
    </row>
    <row r="747" spans="1:10" ht="14.25" customHeight="1">
      <c r="A747" s="106" t="s">
        <v>60</v>
      </c>
      <c r="B747" s="97"/>
      <c r="C747" s="97"/>
      <c r="D747" s="28">
        <v>3500</v>
      </c>
      <c r="E747" s="106" t="s">
        <v>39</v>
      </c>
      <c r="F747" s="97"/>
      <c r="G747" s="28">
        <v>100</v>
      </c>
      <c r="H747" s="44" t="s">
        <v>811</v>
      </c>
      <c r="I747" s="112"/>
      <c r="J747" s="111"/>
    </row>
    <row r="748" spans="1:10" ht="14.25" customHeight="1">
      <c r="A748" s="107" t="s">
        <v>40</v>
      </c>
      <c r="B748" s="100"/>
      <c r="C748" s="100"/>
      <c r="D748" s="28" t="s">
        <v>25</v>
      </c>
      <c r="E748" s="106" t="s">
        <v>78</v>
      </c>
      <c r="F748" s="97"/>
      <c r="G748" s="28" t="s">
        <v>25</v>
      </c>
      <c r="H748" s="44"/>
      <c r="I748" s="109"/>
      <c r="J748" s="113"/>
    </row>
    <row r="749" spans="1:10" ht="14.25" customHeight="1">
      <c r="A749" s="312" t="s">
        <v>63</v>
      </c>
      <c r="B749" s="313"/>
      <c r="C749" s="314"/>
      <c r="D749" s="298">
        <f>SUM(D742:D748)</f>
        <v>21000</v>
      </c>
      <c r="E749" s="97" t="s">
        <v>43</v>
      </c>
      <c r="F749" s="97"/>
      <c r="G749" s="28" t="s">
        <v>25</v>
      </c>
      <c r="H749" s="107"/>
      <c r="I749" s="100"/>
      <c r="J749" s="108"/>
    </row>
    <row r="750" spans="1:10" ht="14.25" customHeight="1">
      <c r="A750" s="315"/>
      <c r="B750" s="291"/>
      <c r="C750" s="316"/>
      <c r="D750" s="299"/>
      <c r="E750" s="114" t="s">
        <v>21</v>
      </c>
      <c r="F750" s="115"/>
      <c r="G750" s="102">
        <f>SUM(G742:G749)</f>
        <v>300</v>
      </c>
      <c r="H750" s="114" t="s">
        <v>44</v>
      </c>
      <c r="I750" s="115"/>
      <c r="J750" s="102">
        <f>D749-G750</f>
        <v>20700</v>
      </c>
    </row>
    <row r="751" spans="1:10" ht="14.25" customHeight="1">
      <c r="A751" s="98" t="s">
        <v>45</v>
      </c>
      <c r="B751" s="98"/>
      <c r="C751" s="98"/>
      <c r="D751" s="98"/>
      <c r="E751" s="98"/>
      <c r="F751" s="98"/>
      <c r="G751" s="28"/>
      <c r="H751" s="97"/>
      <c r="I751" s="97"/>
      <c r="J751" s="28"/>
    </row>
    <row r="752" spans="1:10" ht="14.25" customHeight="1">
      <c r="A752" s="98"/>
      <c r="B752" s="98" t="s">
        <v>47</v>
      </c>
      <c r="C752" s="98"/>
      <c r="D752" s="98"/>
      <c r="E752" s="98" t="s">
        <v>48</v>
      </c>
      <c r="F752" s="98"/>
      <c r="G752" s="98"/>
      <c r="H752" s="98" t="s">
        <v>49</v>
      </c>
      <c r="I752" s="98"/>
      <c r="J752" s="98"/>
    </row>
    <row r="753" spans="1:10" ht="14.25" customHeight="1">
      <c r="A753" s="213" t="s">
        <v>0</v>
      </c>
      <c r="B753" s="214"/>
      <c r="C753" s="214"/>
      <c r="D753" s="214"/>
      <c r="E753" s="214"/>
      <c r="F753" s="214"/>
      <c r="G753" s="214"/>
      <c r="H753" s="214"/>
      <c r="I753" s="214"/>
      <c r="J753" s="215"/>
    </row>
    <row r="754" spans="1:10" ht="14.25" customHeight="1">
      <c r="A754" s="187" t="s">
        <v>1</v>
      </c>
      <c r="B754" s="188"/>
      <c r="C754" s="188"/>
      <c r="D754" s="188"/>
      <c r="E754" s="188"/>
      <c r="F754" s="188"/>
      <c r="G754" s="188"/>
      <c r="H754" s="188"/>
      <c r="I754" s="188"/>
      <c r="J754" s="189"/>
    </row>
    <row r="755" spans="1:10" ht="14.25" customHeight="1">
      <c r="A755" s="134" t="s">
        <v>2</v>
      </c>
      <c r="B755" s="134"/>
      <c r="C755" s="218" t="s">
        <v>806</v>
      </c>
      <c r="D755" s="218"/>
      <c r="E755" s="135"/>
      <c r="F755" s="136"/>
      <c r="G755" s="134" t="s">
        <v>4</v>
      </c>
      <c r="H755" s="240" t="s">
        <v>259</v>
      </c>
      <c r="I755" s="241"/>
      <c r="J755" s="242"/>
    </row>
    <row r="756" spans="1:10" ht="14.25" customHeight="1">
      <c r="A756" s="134" t="s">
        <v>6</v>
      </c>
      <c r="B756" s="134"/>
      <c r="C756" s="286" t="s">
        <v>812</v>
      </c>
      <c r="D756" s="286"/>
      <c r="E756" s="135"/>
      <c r="F756" s="136"/>
      <c r="G756" s="134" t="s">
        <v>8</v>
      </c>
      <c r="H756" s="217" t="s">
        <v>9</v>
      </c>
      <c r="I756" s="217"/>
      <c r="J756" s="217"/>
    </row>
    <row r="757" spans="1:10" ht="14.25" customHeight="1">
      <c r="A757" s="23" t="s">
        <v>10</v>
      </c>
      <c r="B757" s="23"/>
      <c r="C757" s="218" t="s">
        <v>721</v>
      </c>
      <c r="D757" s="218"/>
      <c r="E757" s="135"/>
      <c r="F757" s="136"/>
      <c r="G757" s="134" t="s">
        <v>12</v>
      </c>
      <c r="H757" s="195" t="s">
        <v>13</v>
      </c>
      <c r="I757" s="195"/>
      <c r="J757" s="195"/>
    </row>
    <row r="758" spans="1:10" ht="14.25" customHeight="1">
      <c r="A758" s="135" t="s">
        <v>14</v>
      </c>
      <c r="B758" s="135"/>
      <c r="C758" s="135" t="s">
        <v>15</v>
      </c>
      <c r="D758" s="135"/>
      <c r="E758" s="135"/>
      <c r="F758" s="136"/>
      <c r="G758" s="134" t="s">
        <v>16</v>
      </c>
      <c r="H758" s="219" t="s">
        <v>263</v>
      </c>
      <c r="I758" s="219"/>
      <c r="J758" s="219"/>
    </row>
    <row r="759" spans="1:10" ht="14.25" customHeight="1">
      <c r="A759" s="135">
        <v>30</v>
      </c>
      <c r="B759" s="135"/>
      <c r="C759" s="135">
        <f>A759-H759</f>
        <v>0</v>
      </c>
      <c r="D759" s="135"/>
      <c r="E759" s="135"/>
      <c r="F759" s="136"/>
      <c r="G759" s="137" t="s">
        <v>18</v>
      </c>
      <c r="H759" s="247">
        <v>30</v>
      </c>
      <c r="I759" s="247"/>
      <c r="J759" s="247"/>
    </row>
    <row r="760" spans="1:10" ht="14.25" customHeight="1">
      <c r="A760" s="221" t="s">
        <v>19</v>
      </c>
      <c r="B760" s="222"/>
      <c r="C760" s="223"/>
      <c r="D760" s="138" t="s">
        <v>20</v>
      </c>
      <c r="E760" s="139" t="s">
        <v>21</v>
      </c>
      <c r="F760" s="140"/>
      <c r="G760" s="141" t="s">
        <v>20</v>
      </c>
      <c r="H760" s="224" t="s">
        <v>22</v>
      </c>
      <c r="I760" s="225"/>
      <c r="J760" s="226"/>
    </row>
    <row r="761" spans="1:10" ht="14.25" customHeight="1">
      <c r="A761" s="142" t="s">
        <v>23</v>
      </c>
      <c r="B761" s="134"/>
      <c r="C761" s="134"/>
      <c r="D761" s="135">
        <v>18000</v>
      </c>
      <c r="E761" s="142" t="s">
        <v>24</v>
      </c>
      <c r="F761" s="134"/>
      <c r="G761" s="135" t="s">
        <v>25</v>
      </c>
      <c r="H761" s="143" t="s">
        <v>502</v>
      </c>
      <c r="I761" s="23"/>
      <c r="J761" s="24"/>
    </row>
    <row r="762" spans="1:10" ht="14.25" customHeight="1">
      <c r="A762" s="142" t="s">
        <v>57</v>
      </c>
      <c r="B762" s="285"/>
      <c r="C762" s="285"/>
      <c r="D762" s="135" t="s">
        <v>25</v>
      </c>
      <c r="E762" s="142" t="s">
        <v>58</v>
      </c>
      <c r="F762" s="134"/>
      <c r="G762" s="135">
        <v>961</v>
      </c>
      <c r="H762" s="143" t="s">
        <v>504</v>
      </c>
      <c r="I762" s="23"/>
      <c r="J762" s="24"/>
    </row>
    <row r="763" spans="1:10" ht="14.25" customHeight="1">
      <c r="A763" s="142" t="s">
        <v>30</v>
      </c>
      <c r="B763" s="134"/>
      <c r="C763" s="134"/>
      <c r="D763" s="135" t="s">
        <v>25</v>
      </c>
      <c r="E763" s="142" t="s">
        <v>83</v>
      </c>
      <c r="F763" s="134"/>
      <c r="G763" s="135" t="s">
        <v>25</v>
      </c>
      <c r="H763" s="143" t="s">
        <v>32</v>
      </c>
      <c r="I763" s="23"/>
      <c r="J763" s="24"/>
    </row>
    <row r="764" spans="1:10" ht="14.25" customHeight="1">
      <c r="A764" s="142" t="s">
        <v>147</v>
      </c>
      <c r="B764" s="134"/>
      <c r="C764" s="134"/>
      <c r="D764" s="135" t="s">
        <v>25</v>
      </c>
      <c r="E764" s="142" t="s">
        <v>35</v>
      </c>
      <c r="F764" s="134"/>
      <c r="G764" s="135" t="s">
        <v>25</v>
      </c>
      <c r="H764" s="143"/>
      <c r="I764" s="23"/>
      <c r="J764" s="24"/>
    </row>
    <row r="765" spans="1:10" ht="14.25" customHeight="1">
      <c r="A765" s="142" t="s">
        <v>629</v>
      </c>
      <c r="B765" s="134"/>
      <c r="C765" s="134"/>
      <c r="D765" s="135" t="s">
        <v>25</v>
      </c>
      <c r="E765" s="142" t="s">
        <v>39</v>
      </c>
      <c r="F765" s="134"/>
      <c r="G765" s="135">
        <v>100</v>
      </c>
      <c r="H765" s="144"/>
      <c r="I765" s="23"/>
      <c r="J765" s="145"/>
    </row>
    <row r="766" spans="1:10" ht="14.25" customHeight="1">
      <c r="A766" s="142" t="s">
        <v>136</v>
      </c>
      <c r="B766" s="134"/>
      <c r="C766" s="134"/>
      <c r="D766" s="135" t="s">
        <v>25</v>
      </c>
      <c r="E766" s="142" t="s">
        <v>61</v>
      </c>
      <c r="F766" s="134"/>
      <c r="G766" s="135" t="s">
        <v>25</v>
      </c>
      <c r="H766" s="143"/>
      <c r="I766" s="23"/>
      <c r="J766" s="145"/>
    </row>
    <row r="767" spans="1:10" ht="14.25" customHeight="1">
      <c r="A767" s="143" t="s">
        <v>40</v>
      </c>
      <c r="B767" s="23"/>
      <c r="C767" s="23"/>
      <c r="D767" s="135" t="s">
        <v>25</v>
      </c>
      <c r="E767" s="142" t="s">
        <v>41</v>
      </c>
      <c r="F767" s="134"/>
      <c r="G767" s="135" t="s">
        <v>25</v>
      </c>
      <c r="H767" s="143"/>
      <c r="I767" s="23"/>
      <c r="J767" s="24"/>
    </row>
    <row r="768" spans="1:10" ht="14.25" customHeight="1">
      <c r="A768" s="243" t="s">
        <v>63</v>
      </c>
      <c r="B768" s="244"/>
      <c r="C768" s="245"/>
      <c r="D768" s="238">
        <f>SUM(D761:D767)</f>
        <v>18000</v>
      </c>
      <c r="E768" s="134" t="s">
        <v>43</v>
      </c>
      <c r="F768" s="134"/>
      <c r="G768" s="135" t="s">
        <v>25</v>
      </c>
      <c r="H768" s="143"/>
      <c r="I768" s="23"/>
      <c r="J768" s="24"/>
    </row>
    <row r="769" spans="1:10" ht="14.25" customHeight="1">
      <c r="A769" s="246"/>
      <c r="B769" s="247"/>
      <c r="C769" s="248"/>
      <c r="D769" s="239"/>
      <c r="E769" s="146" t="s">
        <v>21</v>
      </c>
      <c r="F769" s="147"/>
      <c r="G769" s="138">
        <f>SUM(G761:G768)</f>
        <v>1061</v>
      </c>
      <c r="H769" s="146" t="s">
        <v>44</v>
      </c>
      <c r="I769" s="147"/>
      <c r="J769" s="138">
        <f>D768-G769</f>
        <v>16939</v>
      </c>
    </row>
    <row r="770" spans="1:10" ht="14.25" customHeight="1">
      <c r="A770" s="136" t="s">
        <v>45</v>
      </c>
      <c r="B770" s="136"/>
      <c r="C770" s="136"/>
      <c r="D770" s="136"/>
      <c r="E770" s="136"/>
      <c r="F770" s="136"/>
      <c r="G770" s="136"/>
      <c r="H770" s="136"/>
      <c r="I770" s="136"/>
      <c r="J770" s="136"/>
    </row>
    <row r="771" spans="1:10" ht="14.2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</row>
    <row r="772" spans="1:10" ht="14.25" customHeight="1">
      <c r="A772" s="213" t="s">
        <v>0</v>
      </c>
      <c r="B772" s="214"/>
      <c r="C772" s="214"/>
      <c r="D772" s="214"/>
      <c r="E772" s="214"/>
      <c r="F772" s="214"/>
      <c r="G772" s="214"/>
      <c r="H772" s="214"/>
      <c r="I772" s="214"/>
      <c r="J772" s="215"/>
    </row>
    <row r="773" spans="1:10" ht="14.25" customHeight="1">
      <c r="A773" s="187" t="s">
        <v>1</v>
      </c>
      <c r="B773" s="188"/>
      <c r="C773" s="188"/>
      <c r="D773" s="188"/>
      <c r="E773" s="188"/>
      <c r="F773" s="188"/>
      <c r="G773" s="188"/>
      <c r="H773" s="188"/>
      <c r="I773" s="188"/>
      <c r="J773" s="189"/>
    </row>
    <row r="774" spans="1:10" ht="14.25" customHeight="1">
      <c r="A774" s="134" t="s">
        <v>2</v>
      </c>
      <c r="B774" s="134"/>
      <c r="C774" s="218" t="s">
        <v>813</v>
      </c>
      <c r="D774" s="218"/>
      <c r="E774" s="135"/>
      <c r="F774" s="136"/>
      <c r="G774" s="134" t="s">
        <v>4</v>
      </c>
      <c r="H774" s="240" t="s">
        <v>259</v>
      </c>
      <c r="I774" s="241"/>
      <c r="J774" s="242"/>
    </row>
    <row r="775" spans="1:10" ht="14.25" customHeight="1">
      <c r="A775" s="134" t="s">
        <v>6</v>
      </c>
      <c r="B775" s="134"/>
      <c r="C775" s="286" t="s">
        <v>814</v>
      </c>
      <c r="D775" s="286"/>
      <c r="E775" s="135"/>
      <c r="F775" s="136"/>
      <c r="G775" s="134" t="s">
        <v>8</v>
      </c>
      <c r="H775" s="217" t="s">
        <v>9</v>
      </c>
      <c r="I775" s="217"/>
      <c r="J775" s="217"/>
    </row>
    <row r="776" spans="1:10" ht="14.25" customHeight="1">
      <c r="A776" s="23" t="s">
        <v>10</v>
      </c>
      <c r="B776" s="23"/>
      <c r="C776" s="218" t="s">
        <v>721</v>
      </c>
      <c r="D776" s="218"/>
      <c r="E776" s="135"/>
      <c r="F776" s="136"/>
      <c r="G776" s="134" t="s">
        <v>12</v>
      </c>
      <c r="H776" s="195" t="s">
        <v>13</v>
      </c>
      <c r="I776" s="195"/>
      <c r="J776" s="195"/>
    </row>
    <row r="777" spans="1:10" ht="14.25" customHeight="1">
      <c r="A777" s="135" t="s">
        <v>14</v>
      </c>
      <c r="B777" s="135"/>
      <c r="C777" s="135" t="s">
        <v>15</v>
      </c>
      <c r="D777" s="135"/>
      <c r="E777" s="135"/>
      <c r="F777" s="136"/>
      <c r="G777" s="134" t="s">
        <v>16</v>
      </c>
      <c r="H777" s="219" t="s">
        <v>263</v>
      </c>
      <c r="I777" s="219"/>
      <c r="J777" s="219"/>
    </row>
    <row r="778" spans="1:10" ht="14.25" customHeight="1">
      <c r="A778" s="135">
        <v>30</v>
      </c>
      <c r="B778" s="135"/>
      <c r="C778" s="135">
        <f>A778-H778</f>
        <v>0</v>
      </c>
      <c r="D778" s="135"/>
      <c r="E778" s="135"/>
      <c r="F778" s="136"/>
      <c r="G778" s="137" t="s">
        <v>18</v>
      </c>
      <c r="H778" s="247">
        <v>30</v>
      </c>
      <c r="I778" s="247"/>
      <c r="J778" s="247"/>
    </row>
    <row r="779" spans="1:10" ht="14.25" customHeight="1">
      <c r="A779" s="221" t="s">
        <v>19</v>
      </c>
      <c r="B779" s="222"/>
      <c r="C779" s="223"/>
      <c r="D779" s="138" t="s">
        <v>20</v>
      </c>
      <c r="E779" s="139" t="s">
        <v>21</v>
      </c>
      <c r="F779" s="140"/>
      <c r="G779" s="141" t="s">
        <v>20</v>
      </c>
      <c r="H779" s="224" t="s">
        <v>22</v>
      </c>
      <c r="I779" s="225"/>
      <c r="J779" s="226"/>
    </row>
    <row r="780" spans="1:10" ht="14.25" customHeight="1">
      <c r="A780" s="142" t="s">
        <v>23</v>
      </c>
      <c r="B780" s="134"/>
      <c r="C780" s="134"/>
      <c r="D780" s="135">
        <v>15000</v>
      </c>
      <c r="E780" s="142" t="s">
        <v>24</v>
      </c>
      <c r="F780" s="134"/>
      <c r="G780" s="135" t="s">
        <v>25</v>
      </c>
      <c r="H780" s="143" t="s">
        <v>502</v>
      </c>
      <c r="I780" s="23"/>
      <c r="J780" s="24"/>
    </row>
    <row r="781" spans="1:10" ht="14.25" customHeight="1">
      <c r="A781" s="142" t="s">
        <v>57</v>
      </c>
      <c r="B781" s="285"/>
      <c r="C781" s="285"/>
      <c r="D781" s="135" t="s">
        <v>25</v>
      </c>
      <c r="E781" s="142" t="s">
        <v>58</v>
      </c>
      <c r="F781" s="134"/>
      <c r="G781" s="135" t="s">
        <v>25</v>
      </c>
      <c r="H781" s="143" t="s">
        <v>504</v>
      </c>
      <c r="I781" s="23"/>
      <c r="J781" s="24"/>
    </row>
    <row r="782" spans="1:10" ht="14.25" customHeight="1">
      <c r="A782" s="142" t="s">
        <v>30</v>
      </c>
      <c r="B782" s="134"/>
      <c r="C782" s="134"/>
      <c r="D782" s="135" t="s">
        <v>25</v>
      </c>
      <c r="E782" s="142" t="s">
        <v>83</v>
      </c>
      <c r="F782" s="134"/>
      <c r="G782" s="135" t="s">
        <v>25</v>
      </c>
      <c r="H782" s="143" t="s">
        <v>32</v>
      </c>
      <c r="I782" s="23"/>
      <c r="J782" s="24"/>
    </row>
    <row r="783" spans="1:10" ht="14.25" customHeight="1">
      <c r="A783" s="142" t="s">
        <v>815</v>
      </c>
      <c r="B783" s="134"/>
      <c r="C783" s="134"/>
      <c r="D783" s="135">
        <v>3000</v>
      </c>
      <c r="E783" s="142" t="s">
        <v>35</v>
      </c>
      <c r="F783" s="134"/>
      <c r="G783" s="135" t="s">
        <v>25</v>
      </c>
      <c r="H783" s="143"/>
      <c r="I783" s="23"/>
      <c r="J783" s="24"/>
    </row>
    <row r="784" spans="1:10" ht="14.25" customHeight="1">
      <c r="A784" s="142" t="s">
        <v>230</v>
      </c>
      <c r="B784" s="134"/>
      <c r="C784" s="134"/>
      <c r="D784" s="135">
        <v>1500</v>
      </c>
      <c r="E784" s="142" t="s">
        <v>39</v>
      </c>
      <c r="F784" s="134"/>
      <c r="G784" s="135">
        <v>100</v>
      </c>
      <c r="H784" s="144"/>
      <c r="I784" s="23"/>
      <c r="J784" s="145"/>
    </row>
    <row r="785" spans="1:10" ht="14.25" customHeight="1">
      <c r="A785" s="142" t="s">
        <v>136</v>
      </c>
      <c r="B785" s="134"/>
      <c r="C785" s="134"/>
      <c r="D785" s="135" t="s">
        <v>25</v>
      </c>
      <c r="E785" s="142" t="s">
        <v>61</v>
      </c>
      <c r="F785" s="134"/>
      <c r="G785" s="135" t="s">
        <v>25</v>
      </c>
      <c r="H785" s="143"/>
      <c r="I785" s="23"/>
      <c r="J785" s="145"/>
    </row>
    <row r="786" spans="1:10" ht="14.25" customHeight="1">
      <c r="A786" s="143" t="s">
        <v>40</v>
      </c>
      <c r="B786" s="23"/>
      <c r="C786" s="23"/>
      <c r="D786" s="135" t="s">
        <v>25</v>
      </c>
      <c r="E786" s="142" t="s">
        <v>41</v>
      </c>
      <c r="F786" s="134"/>
      <c r="G786" s="135" t="s">
        <v>25</v>
      </c>
      <c r="H786" s="143"/>
      <c r="I786" s="23"/>
      <c r="J786" s="24"/>
    </row>
    <row r="787" spans="1:10" ht="14.25" customHeight="1">
      <c r="A787" s="243" t="s">
        <v>63</v>
      </c>
      <c r="B787" s="244"/>
      <c r="C787" s="245"/>
      <c r="D787" s="238">
        <f>SUM(D780:D786)</f>
        <v>19500</v>
      </c>
      <c r="E787" s="134" t="s">
        <v>43</v>
      </c>
      <c r="F787" s="134"/>
      <c r="G787" s="135" t="s">
        <v>25</v>
      </c>
      <c r="H787" s="143"/>
      <c r="I787" s="23"/>
      <c r="J787" s="24"/>
    </row>
    <row r="788" spans="1:10" ht="14.25" customHeight="1">
      <c r="A788" s="246"/>
      <c r="B788" s="247"/>
      <c r="C788" s="248"/>
      <c r="D788" s="239"/>
      <c r="E788" s="146" t="s">
        <v>21</v>
      </c>
      <c r="F788" s="147"/>
      <c r="G788" s="138">
        <f>SUM(G780:G787)</f>
        <v>100</v>
      </c>
      <c r="H788" s="146" t="s">
        <v>44</v>
      </c>
      <c r="I788" s="147"/>
      <c r="J788" s="138">
        <f>D787-G788</f>
        <v>19400</v>
      </c>
    </row>
    <row r="789" spans="1:10" ht="14.25" customHeight="1">
      <c r="A789" s="136" t="s">
        <v>45</v>
      </c>
      <c r="B789" s="136"/>
      <c r="C789" s="136"/>
      <c r="D789" s="136"/>
      <c r="E789" s="136"/>
      <c r="F789" s="136"/>
      <c r="G789" s="136"/>
      <c r="H789" s="136"/>
      <c r="I789" s="136"/>
      <c r="J789" s="136"/>
    </row>
    <row r="790" spans="1:10" ht="14.2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</row>
    <row r="791" spans="1:10" ht="14.25" customHeight="1">
      <c r="A791" s="3"/>
      <c r="B791" s="3" t="s">
        <v>47</v>
      </c>
      <c r="C791" s="3"/>
      <c r="D791" s="3" t="s">
        <v>73</v>
      </c>
      <c r="E791" s="3" t="s">
        <v>48</v>
      </c>
      <c r="F791" s="3"/>
      <c r="G791" s="3"/>
      <c r="H791" s="3" t="s">
        <v>49</v>
      </c>
      <c r="I791" s="3"/>
      <c r="J791" s="3"/>
    </row>
    <row r="792" spans="1:10" ht="32.25" customHeight="1">
      <c r="A792" s="249" t="s">
        <v>264</v>
      </c>
      <c r="B792" s="250"/>
      <c r="C792" s="250"/>
      <c r="D792" s="250"/>
      <c r="E792" s="251"/>
      <c r="F792" s="249">
        <f>SUM(J788+J769+J750+J730+J710+J690+J670+J650+J630+J610+J590+J570+J550+J531+J512+J492+J472+J452+J433+J414+J395+J375+J355+J335+J315+J295+J275+J255+J236+J216+J196+J176+J156+J136+J116+J96+J76+J56+J36+J17)</f>
        <v>665762</v>
      </c>
      <c r="G792" s="250"/>
      <c r="H792" s="250"/>
      <c r="I792" s="250"/>
      <c r="J792" s="251"/>
    </row>
    <row r="793" spans="1:10">
      <c r="A793" s="3"/>
      <c r="B793" s="3"/>
      <c r="C793" s="3"/>
      <c r="D793" s="3"/>
      <c r="E793" s="3"/>
      <c r="F793" s="3"/>
      <c r="G793" s="3"/>
      <c r="H793" s="3"/>
      <c r="I793" s="3"/>
    </row>
    <row r="794" spans="1:10">
      <c r="A794" s="3"/>
      <c r="B794" s="3"/>
      <c r="C794" s="3"/>
      <c r="D794" s="3"/>
      <c r="E794" s="3"/>
      <c r="F794" s="3"/>
      <c r="G794" s="3"/>
      <c r="H794" s="3"/>
      <c r="I794" s="3"/>
    </row>
    <row r="795" spans="1:10">
      <c r="A795" s="3"/>
      <c r="B795" s="3"/>
      <c r="C795" s="3"/>
      <c r="D795" s="3"/>
      <c r="E795" s="3"/>
      <c r="F795" s="3"/>
      <c r="G795" s="3"/>
      <c r="H795" s="3"/>
      <c r="I795" s="3"/>
    </row>
    <row r="796" spans="1:10">
      <c r="A796" s="3"/>
      <c r="B796" s="3"/>
      <c r="C796" s="3"/>
      <c r="D796" s="3"/>
      <c r="E796" s="3"/>
      <c r="F796" s="3"/>
      <c r="G796" s="3"/>
      <c r="H796" s="3"/>
      <c r="I796" s="3"/>
    </row>
    <row r="797" spans="1:10">
      <c r="A797" s="29"/>
      <c r="B797" s="29"/>
      <c r="C797" s="29"/>
      <c r="D797" s="29"/>
      <c r="E797" s="29"/>
      <c r="F797" s="30"/>
      <c r="G797" s="30"/>
      <c r="H797" s="30"/>
      <c r="I797" s="30"/>
    </row>
    <row r="798" spans="1:10">
      <c r="A798" s="31"/>
      <c r="B798" s="252" t="s">
        <v>265</v>
      </c>
      <c r="C798" s="252"/>
      <c r="D798" s="252"/>
      <c r="E798" s="33"/>
      <c r="F798" s="253" t="s">
        <v>266</v>
      </c>
      <c r="G798" s="253"/>
      <c r="H798" s="253"/>
      <c r="I798" s="253"/>
    </row>
    <row r="799" spans="1:10">
      <c r="A799" s="31"/>
      <c r="B799" s="34"/>
      <c r="C799" s="34"/>
      <c r="D799" s="34"/>
      <c r="E799" s="33"/>
      <c r="F799" s="35"/>
      <c r="G799" s="35"/>
      <c r="H799" s="35"/>
      <c r="I799" s="35"/>
    </row>
    <row r="800" spans="1:10">
      <c r="A800" s="31"/>
      <c r="B800" s="34"/>
      <c r="C800" s="34"/>
      <c r="D800" s="34"/>
      <c r="E800" s="33"/>
      <c r="F800" s="35"/>
      <c r="G800" s="35"/>
      <c r="H800" s="35"/>
      <c r="I800" s="35"/>
    </row>
    <row r="801" spans="1:9">
      <c r="A801" s="31"/>
      <c r="B801" s="34"/>
      <c r="C801" s="34"/>
      <c r="D801" s="34"/>
      <c r="E801" s="33"/>
      <c r="F801" s="35"/>
      <c r="G801" s="35"/>
      <c r="H801" s="35"/>
      <c r="I801" s="35"/>
    </row>
    <row r="802" spans="1:9">
      <c r="A802" s="31"/>
      <c r="B802" s="34"/>
      <c r="C802" s="34"/>
      <c r="D802" s="34"/>
      <c r="E802" s="33"/>
      <c r="F802" s="35"/>
      <c r="G802" s="35"/>
      <c r="H802" s="35"/>
      <c r="I802" s="35"/>
    </row>
    <row r="803" spans="1:9">
      <c r="A803" s="31"/>
      <c r="B803" s="31"/>
      <c r="C803" s="31"/>
      <c r="D803" s="31"/>
      <c r="E803" s="31"/>
      <c r="F803" s="36"/>
      <c r="G803" s="36"/>
      <c r="H803" s="36"/>
      <c r="I803" s="36"/>
    </row>
    <row r="804" spans="1:9">
      <c r="A804" s="31"/>
      <c r="B804" s="37"/>
      <c r="C804" s="32" t="s">
        <v>267</v>
      </c>
      <c r="D804" s="32"/>
      <c r="E804" s="31"/>
      <c r="F804" s="253" t="s">
        <v>268</v>
      </c>
      <c r="G804" s="253"/>
      <c r="H804" s="253"/>
      <c r="I804" s="253"/>
    </row>
    <row r="805" spans="1:9">
      <c r="A805" s="31"/>
      <c r="B805" s="79"/>
      <c r="C805" s="34"/>
      <c r="D805" s="34"/>
      <c r="E805" s="31"/>
      <c r="F805" s="35"/>
      <c r="G805" s="35"/>
      <c r="H805" s="35"/>
      <c r="I805" s="35"/>
    </row>
  </sheetData>
  <mergeCells count="597">
    <mergeCell ref="A274:C275"/>
    <mergeCell ref="A432:C433"/>
    <mergeCell ref="A471:C472"/>
    <mergeCell ref="A530:C531"/>
    <mergeCell ref="A195:C196"/>
    <mergeCell ref="A95:C96"/>
    <mergeCell ref="A135:C136"/>
    <mergeCell ref="A115:C116"/>
    <mergeCell ref="A155:C156"/>
    <mergeCell ref="A457:J457"/>
    <mergeCell ref="A458:B458"/>
    <mergeCell ref="H459:J459"/>
    <mergeCell ref="H460:J460"/>
    <mergeCell ref="H461:J461"/>
    <mergeCell ref="H462:J462"/>
    <mergeCell ref="H442:J442"/>
    <mergeCell ref="A451:C452"/>
    <mergeCell ref="A491:C492"/>
    <mergeCell ref="D195:D196"/>
    <mergeCell ref="D215:D216"/>
    <mergeCell ref="D235:D236"/>
    <mergeCell ref="D254:D255"/>
    <mergeCell ref="D451:D452"/>
    <mergeCell ref="A456:J456"/>
    <mergeCell ref="F804:I804"/>
    <mergeCell ref="C755:D755"/>
    <mergeCell ref="H755:J755"/>
    <mergeCell ref="C756:D756"/>
    <mergeCell ref="H756:J756"/>
    <mergeCell ref="C757:D757"/>
    <mergeCell ref="H757:J757"/>
    <mergeCell ref="H758:J758"/>
    <mergeCell ref="H759:J759"/>
    <mergeCell ref="A760:C760"/>
    <mergeCell ref="H760:J760"/>
    <mergeCell ref="B798:D798"/>
    <mergeCell ref="F798:I798"/>
    <mergeCell ref="D787:D788"/>
    <mergeCell ref="A787:C788"/>
    <mergeCell ref="B762:C762"/>
    <mergeCell ref="D768:D769"/>
    <mergeCell ref="A768:C769"/>
    <mergeCell ref="H777:J777"/>
    <mergeCell ref="H778:J778"/>
    <mergeCell ref="A779:C779"/>
    <mergeCell ref="H779:J779"/>
    <mergeCell ref="B781:C781"/>
    <mergeCell ref="A792:E792"/>
    <mergeCell ref="D55:D56"/>
    <mergeCell ref="D75:D76"/>
    <mergeCell ref="D95:D96"/>
    <mergeCell ref="D115:D116"/>
    <mergeCell ref="D135:D136"/>
    <mergeCell ref="D155:D156"/>
    <mergeCell ref="D175:D176"/>
    <mergeCell ref="A160:J160"/>
    <mergeCell ref="A161:J161"/>
    <mergeCell ref="C162:D162"/>
    <mergeCell ref="H162:J162"/>
    <mergeCell ref="H163:J163"/>
    <mergeCell ref="H164:J164"/>
    <mergeCell ref="H165:J165"/>
    <mergeCell ref="H166:J166"/>
    <mergeCell ref="A167:C167"/>
    <mergeCell ref="H167:J167"/>
    <mergeCell ref="C142:D142"/>
    <mergeCell ref="H142:J142"/>
    <mergeCell ref="H143:J143"/>
    <mergeCell ref="H144:J144"/>
    <mergeCell ref="H145:J145"/>
    <mergeCell ref="A55:C56"/>
    <mergeCell ref="A175:C176"/>
    <mergeCell ref="E484:F484"/>
    <mergeCell ref="E469:F469"/>
    <mergeCell ref="E470:F470"/>
    <mergeCell ref="E471:F471"/>
    <mergeCell ref="E472:F472"/>
    <mergeCell ref="H472:I472"/>
    <mergeCell ref="A476:J476"/>
    <mergeCell ref="A477:J477"/>
    <mergeCell ref="A478:B478"/>
    <mergeCell ref="H478:J478"/>
    <mergeCell ref="E483:F483"/>
    <mergeCell ref="H479:J479"/>
    <mergeCell ref="H480:J480"/>
    <mergeCell ref="H458:J458"/>
    <mergeCell ref="A459:B459"/>
    <mergeCell ref="H483:J483"/>
    <mergeCell ref="H481:J481"/>
    <mergeCell ref="H482:J482"/>
    <mergeCell ref="A483:C483"/>
    <mergeCell ref="D471:D472"/>
    <mergeCell ref="A479:B479"/>
    <mergeCell ref="H736:J736"/>
    <mergeCell ref="D729:D730"/>
    <mergeCell ref="A729:C730"/>
    <mergeCell ref="C696:D696"/>
    <mergeCell ref="H696:J696"/>
    <mergeCell ref="C697:D697"/>
    <mergeCell ref="H697:J697"/>
    <mergeCell ref="C698:D698"/>
    <mergeCell ref="H698:J698"/>
    <mergeCell ref="H699:J699"/>
    <mergeCell ref="H700:J700"/>
    <mergeCell ref="A701:C701"/>
    <mergeCell ref="H701:J701"/>
    <mergeCell ref="C678:D678"/>
    <mergeCell ref="H678:J678"/>
    <mergeCell ref="H679:J679"/>
    <mergeCell ref="F792:J792"/>
    <mergeCell ref="H741:J741"/>
    <mergeCell ref="B743:C743"/>
    <mergeCell ref="A753:J753"/>
    <mergeCell ref="A754:J754"/>
    <mergeCell ref="D749:D750"/>
    <mergeCell ref="A749:C750"/>
    <mergeCell ref="A772:J772"/>
    <mergeCell ref="A773:J773"/>
    <mergeCell ref="C774:D774"/>
    <mergeCell ref="H774:J774"/>
    <mergeCell ref="C775:D775"/>
    <mergeCell ref="H775:J775"/>
    <mergeCell ref="C776:D776"/>
    <mergeCell ref="H776:J776"/>
    <mergeCell ref="H737:J737"/>
    <mergeCell ref="H738:J738"/>
    <mergeCell ref="H739:J739"/>
    <mergeCell ref="H740:J740"/>
    <mergeCell ref="A741:C741"/>
    <mergeCell ref="B703:C703"/>
    <mergeCell ref="E703:F703"/>
    <mergeCell ref="A714:J714"/>
    <mergeCell ref="A715:J715"/>
    <mergeCell ref="C716:D716"/>
    <mergeCell ref="H716:J716"/>
    <mergeCell ref="H717:J717"/>
    <mergeCell ref="C718:D718"/>
    <mergeCell ref="H718:J718"/>
    <mergeCell ref="D709:D710"/>
    <mergeCell ref="A709:C710"/>
    <mergeCell ref="H719:J719"/>
    <mergeCell ref="H720:J720"/>
    <mergeCell ref="A721:C721"/>
    <mergeCell ref="H721:J721"/>
    <mergeCell ref="B723:C723"/>
    <mergeCell ref="A734:J734"/>
    <mergeCell ref="A735:J735"/>
    <mergeCell ref="C736:D736"/>
    <mergeCell ref="H680:J680"/>
    <mergeCell ref="A681:C681"/>
    <mergeCell ref="H681:J681"/>
    <mergeCell ref="B683:C683"/>
    <mergeCell ref="A694:J694"/>
    <mergeCell ref="A695:J695"/>
    <mergeCell ref="D689:D690"/>
    <mergeCell ref="A689:C690"/>
    <mergeCell ref="H660:J660"/>
    <mergeCell ref="A661:C661"/>
    <mergeCell ref="H661:J661"/>
    <mergeCell ref="B663:C663"/>
    <mergeCell ref="A674:J674"/>
    <mergeCell ref="A675:J675"/>
    <mergeCell ref="C676:D676"/>
    <mergeCell ref="H676:J676"/>
    <mergeCell ref="C677:D677"/>
    <mergeCell ref="H677:J677"/>
    <mergeCell ref="D669:D670"/>
    <mergeCell ref="A669:C670"/>
    <mergeCell ref="B643:C643"/>
    <mergeCell ref="A654:J654"/>
    <mergeCell ref="A655:J655"/>
    <mergeCell ref="C656:D656"/>
    <mergeCell ref="H656:J656"/>
    <mergeCell ref="H657:J657"/>
    <mergeCell ref="C658:D658"/>
    <mergeCell ref="H658:J658"/>
    <mergeCell ref="H659:J659"/>
    <mergeCell ref="D649:D650"/>
    <mergeCell ref="A649:C650"/>
    <mergeCell ref="A635:J635"/>
    <mergeCell ref="C636:D636"/>
    <mergeCell ref="H636:J636"/>
    <mergeCell ref="H637:J637"/>
    <mergeCell ref="C638:D638"/>
    <mergeCell ref="H638:J638"/>
    <mergeCell ref="H639:J639"/>
    <mergeCell ref="A641:C641"/>
    <mergeCell ref="H641:J641"/>
    <mergeCell ref="H617:J617"/>
    <mergeCell ref="C618:D618"/>
    <mergeCell ref="H618:J618"/>
    <mergeCell ref="H619:J619"/>
    <mergeCell ref="H620:J620"/>
    <mergeCell ref="A621:C621"/>
    <mergeCell ref="H621:J621"/>
    <mergeCell ref="B623:C623"/>
    <mergeCell ref="A634:J634"/>
    <mergeCell ref="D629:D630"/>
    <mergeCell ref="A629:C630"/>
    <mergeCell ref="C598:D598"/>
    <mergeCell ref="H598:J598"/>
    <mergeCell ref="H599:J599"/>
    <mergeCell ref="A601:C601"/>
    <mergeCell ref="H601:J601"/>
    <mergeCell ref="B603:C603"/>
    <mergeCell ref="A614:J614"/>
    <mergeCell ref="A615:J615"/>
    <mergeCell ref="C616:D616"/>
    <mergeCell ref="H616:J616"/>
    <mergeCell ref="A609:C610"/>
    <mergeCell ref="D609:D610"/>
    <mergeCell ref="H580:J580"/>
    <mergeCell ref="A581:C581"/>
    <mergeCell ref="H581:J581"/>
    <mergeCell ref="B583:C583"/>
    <mergeCell ref="A594:J594"/>
    <mergeCell ref="A595:J595"/>
    <mergeCell ref="C596:D596"/>
    <mergeCell ref="H596:J596"/>
    <mergeCell ref="H597:J597"/>
    <mergeCell ref="A589:C590"/>
    <mergeCell ref="D589:D590"/>
    <mergeCell ref="H570:I570"/>
    <mergeCell ref="A574:J574"/>
    <mergeCell ref="A575:J575"/>
    <mergeCell ref="C576:D576"/>
    <mergeCell ref="H576:J576"/>
    <mergeCell ref="C577:D577"/>
    <mergeCell ref="H577:J577"/>
    <mergeCell ref="H578:J578"/>
    <mergeCell ref="H579:J579"/>
    <mergeCell ref="A569:C570"/>
    <mergeCell ref="D569:D570"/>
    <mergeCell ref="E562:F562"/>
    <mergeCell ref="B563:C563"/>
    <mergeCell ref="E563:F563"/>
    <mergeCell ref="E564:F564"/>
    <mergeCell ref="E565:F565"/>
    <mergeCell ref="E566:F566"/>
    <mergeCell ref="E567:F567"/>
    <mergeCell ref="E569:F569"/>
    <mergeCell ref="E570:F570"/>
    <mergeCell ref="A556:B556"/>
    <mergeCell ref="H556:J556"/>
    <mergeCell ref="A557:B557"/>
    <mergeCell ref="H557:J557"/>
    <mergeCell ref="H558:J558"/>
    <mergeCell ref="H559:J559"/>
    <mergeCell ref="H560:J560"/>
    <mergeCell ref="A561:C561"/>
    <mergeCell ref="E561:F561"/>
    <mergeCell ref="H561:J561"/>
    <mergeCell ref="H537:J537"/>
    <mergeCell ref="H538:J538"/>
    <mergeCell ref="H539:J539"/>
    <mergeCell ref="H540:J540"/>
    <mergeCell ref="A541:C541"/>
    <mergeCell ref="H541:J541"/>
    <mergeCell ref="B543:C543"/>
    <mergeCell ref="A554:J554"/>
    <mergeCell ref="A555:J555"/>
    <mergeCell ref="D549:D550"/>
    <mergeCell ref="A549:C550"/>
    <mergeCell ref="H519:J519"/>
    <mergeCell ref="H520:J520"/>
    <mergeCell ref="A522:C522"/>
    <mergeCell ref="H522:J522"/>
    <mergeCell ref="B524:C524"/>
    <mergeCell ref="A534:J534"/>
    <mergeCell ref="A535:J535"/>
    <mergeCell ref="C536:D536"/>
    <mergeCell ref="H536:J536"/>
    <mergeCell ref="D530:D531"/>
    <mergeCell ref="A503:C503"/>
    <mergeCell ref="H503:J503"/>
    <mergeCell ref="B505:C505"/>
    <mergeCell ref="A515:J515"/>
    <mergeCell ref="A516:J516"/>
    <mergeCell ref="C517:D517"/>
    <mergeCell ref="H517:J517"/>
    <mergeCell ref="C518:D518"/>
    <mergeCell ref="H518:J518"/>
    <mergeCell ref="D511:D512"/>
    <mergeCell ref="A511:C512"/>
    <mergeCell ref="A496:J496"/>
    <mergeCell ref="A497:J497"/>
    <mergeCell ref="C498:D498"/>
    <mergeCell ref="H498:J498"/>
    <mergeCell ref="C499:D499"/>
    <mergeCell ref="H499:J499"/>
    <mergeCell ref="H500:J500"/>
    <mergeCell ref="H501:J501"/>
    <mergeCell ref="B485:C485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D491:D492"/>
    <mergeCell ref="H492:I492"/>
    <mergeCell ref="A463:C463"/>
    <mergeCell ref="E463:F463"/>
    <mergeCell ref="H463:J463"/>
    <mergeCell ref="E464:F464"/>
    <mergeCell ref="B465:C465"/>
    <mergeCell ref="E465:F465"/>
    <mergeCell ref="E466:F466"/>
    <mergeCell ref="E467:F467"/>
    <mergeCell ref="E468:F468"/>
    <mergeCell ref="A417:J417"/>
    <mergeCell ref="A418:J418"/>
    <mergeCell ref="C419:D419"/>
    <mergeCell ref="H419:J419"/>
    <mergeCell ref="A443:C443"/>
    <mergeCell ref="H443:J443"/>
    <mergeCell ref="B445:C445"/>
    <mergeCell ref="H420:J420"/>
    <mergeCell ref="H421:J421"/>
    <mergeCell ref="H422:J422"/>
    <mergeCell ref="H423:J423"/>
    <mergeCell ref="A424:C424"/>
    <mergeCell ref="H424:J424"/>
    <mergeCell ref="B426:C426"/>
    <mergeCell ref="A436:J436"/>
    <mergeCell ref="A437:J437"/>
    <mergeCell ref="D432:D433"/>
    <mergeCell ref="C438:D438"/>
    <mergeCell ref="H438:J438"/>
    <mergeCell ref="H439:J439"/>
    <mergeCell ref="H440:J440"/>
    <mergeCell ref="H441:J441"/>
    <mergeCell ref="A413:C414"/>
    <mergeCell ref="C382:D382"/>
    <mergeCell ref="H382:J382"/>
    <mergeCell ref="C383:D383"/>
    <mergeCell ref="H383:J383"/>
    <mergeCell ref="H384:J384"/>
    <mergeCell ref="A386:C386"/>
    <mergeCell ref="H386:J386"/>
    <mergeCell ref="B388:C388"/>
    <mergeCell ref="A398:J398"/>
    <mergeCell ref="D394:D395"/>
    <mergeCell ref="A394:C395"/>
    <mergeCell ref="A399:J399"/>
    <mergeCell ref="C400:D400"/>
    <mergeCell ref="H400:J400"/>
    <mergeCell ref="H401:J401"/>
    <mergeCell ref="H402:J402"/>
    <mergeCell ref="H403:J403"/>
    <mergeCell ref="H404:J404"/>
    <mergeCell ref="A405:C405"/>
    <mergeCell ref="H405:J405"/>
    <mergeCell ref="B407:C407"/>
    <mergeCell ref="D413:D414"/>
    <mergeCell ref="H363:J363"/>
    <mergeCell ref="H364:J364"/>
    <mergeCell ref="H365:J365"/>
    <mergeCell ref="A366:C366"/>
    <mergeCell ref="H366:J366"/>
    <mergeCell ref="B368:C368"/>
    <mergeCell ref="A379:J379"/>
    <mergeCell ref="A380:J380"/>
    <mergeCell ref="C381:D381"/>
    <mergeCell ref="H381:J381"/>
    <mergeCell ref="D374:D375"/>
    <mergeCell ref="A374:C375"/>
    <mergeCell ref="H345:J345"/>
    <mergeCell ref="A346:C346"/>
    <mergeCell ref="H346:J346"/>
    <mergeCell ref="B348:C348"/>
    <mergeCell ref="A359:J359"/>
    <mergeCell ref="A360:J360"/>
    <mergeCell ref="C361:D361"/>
    <mergeCell ref="H361:J361"/>
    <mergeCell ref="H362:J362"/>
    <mergeCell ref="D354:D355"/>
    <mergeCell ref="A354:C355"/>
    <mergeCell ref="A339:J339"/>
    <mergeCell ref="A340:J340"/>
    <mergeCell ref="C341:D341"/>
    <mergeCell ref="H341:J341"/>
    <mergeCell ref="A334:C335"/>
    <mergeCell ref="H342:J342"/>
    <mergeCell ref="C343:D343"/>
    <mergeCell ref="H343:J343"/>
    <mergeCell ref="H344:J344"/>
    <mergeCell ref="D334:D335"/>
    <mergeCell ref="C322:D322"/>
    <mergeCell ref="H322:J322"/>
    <mergeCell ref="C323:D323"/>
    <mergeCell ref="H323:J323"/>
    <mergeCell ref="H324:J324"/>
    <mergeCell ref="H325:J325"/>
    <mergeCell ref="A326:C326"/>
    <mergeCell ref="H326:J326"/>
    <mergeCell ref="B328:C328"/>
    <mergeCell ref="E328:F328"/>
    <mergeCell ref="H303:J303"/>
    <mergeCell ref="H304:J304"/>
    <mergeCell ref="A306:C306"/>
    <mergeCell ref="H306:J306"/>
    <mergeCell ref="B308:C308"/>
    <mergeCell ref="A319:J319"/>
    <mergeCell ref="A320:J320"/>
    <mergeCell ref="C321:D321"/>
    <mergeCell ref="H321:J321"/>
    <mergeCell ref="A314:C315"/>
    <mergeCell ref="D314:D315"/>
    <mergeCell ref="A299:J299"/>
    <mergeCell ref="A300:J300"/>
    <mergeCell ref="H285:J285"/>
    <mergeCell ref="A286:C286"/>
    <mergeCell ref="H286:J286"/>
    <mergeCell ref="B288:C288"/>
    <mergeCell ref="C301:D301"/>
    <mergeCell ref="H301:J301"/>
    <mergeCell ref="H302:J302"/>
    <mergeCell ref="D294:D295"/>
    <mergeCell ref="A259:J259"/>
    <mergeCell ref="A260:J260"/>
    <mergeCell ref="C261:D261"/>
    <mergeCell ref="H261:J261"/>
    <mergeCell ref="H262:J262"/>
    <mergeCell ref="A294:C295"/>
    <mergeCell ref="B248:C248"/>
    <mergeCell ref="A279:J279"/>
    <mergeCell ref="A280:J280"/>
    <mergeCell ref="C281:D281"/>
    <mergeCell ref="H281:J281"/>
    <mergeCell ref="H282:J282"/>
    <mergeCell ref="C283:D283"/>
    <mergeCell ref="H283:J283"/>
    <mergeCell ref="H284:J284"/>
    <mergeCell ref="C263:D263"/>
    <mergeCell ref="H263:J263"/>
    <mergeCell ref="H264:J264"/>
    <mergeCell ref="H265:J265"/>
    <mergeCell ref="A266:C266"/>
    <mergeCell ref="H266:J266"/>
    <mergeCell ref="B268:C268"/>
    <mergeCell ref="A254:C255"/>
    <mergeCell ref="D274:D275"/>
    <mergeCell ref="A240:J240"/>
    <mergeCell ref="C241:D241"/>
    <mergeCell ref="H241:J241"/>
    <mergeCell ref="H242:J242"/>
    <mergeCell ref="H243:J243"/>
    <mergeCell ref="H244:J244"/>
    <mergeCell ref="H245:J245"/>
    <mergeCell ref="A246:C246"/>
    <mergeCell ref="H246:J246"/>
    <mergeCell ref="C223:D223"/>
    <mergeCell ref="H223:J223"/>
    <mergeCell ref="H224:J224"/>
    <mergeCell ref="H225:J225"/>
    <mergeCell ref="H226:J226"/>
    <mergeCell ref="A227:C227"/>
    <mergeCell ref="H227:J227"/>
    <mergeCell ref="B229:C229"/>
    <mergeCell ref="A239:J239"/>
    <mergeCell ref="A235:C236"/>
    <mergeCell ref="H205:J205"/>
    <mergeCell ref="H206:J206"/>
    <mergeCell ref="A207:C207"/>
    <mergeCell ref="H207:J207"/>
    <mergeCell ref="B209:C209"/>
    <mergeCell ref="A220:J220"/>
    <mergeCell ref="A221:J221"/>
    <mergeCell ref="C222:D222"/>
    <mergeCell ref="H222:J222"/>
    <mergeCell ref="A215:C216"/>
    <mergeCell ref="A187:C187"/>
    <mergeCell ref="H187:J187"/>
    <mergeCell ref="B189:C189"/>
    <mergeCell ref="A200:J200"/>
    <mergeCell ref="A201:J201"/>
    <mergeCell ref="C202:D202"/>
    <mergeCell ref="H202:J202"/>
    <mergeCell ref="H203:J203"/>
    <mergeCell ref="H204:J204"/>
    <mergeCell ref="B169:C169"/>
    <mergeCell ref="A180:J180"/>
    <mergeCell ref="A181:J181"/>
    <mergeCell ref="C182:D182"/>
    <mergeCell ref="H182:J182"/>
    <mergeCell ref="H183:J183"/>
    <mergeCell ref="H184:J184"/>
    <mergeCell ref="H185:J185"/>
    <mergeCell ref="H186:J186"/>
    <mergeCell ref="H146:J146"/>
    <mergeCell ref="A147:C147"/>
    <mergeCell ref="H147:J147"/>
    <mergeCell ref="B149:C149"/>
    <mergeCell ref="H125:J125"/>
    <mergeCell ref="H126:J126"/>
    <mergeCell ref="A127:C127"/>
    <mergeCell ref="H127:J127"/>
    <mergeCell ref="B129:C129"/>
    <mergeCell ref="H132:J132"/>
    <mergeCell ref="H133:J133"/>
    <mergeCell ref="A140:J140"/>
    <mergeCell ref="A141:J141"/>
    <mergeCell ref="H112:J112"/>
    <mergeCell ref="H113:J113"/>
    <mergeCell ref="A120:J120"/>
    <mergeCell ref="A121:J121"/>
    <mergeCell ref="C122:D122"/>
    <mergeCell ref="H122:J122"/>
    <mergeCell ref="C123:D123"/>
    <mergeCell ref="H123:J123"/>
    <mergeCell ref="C124:D124"/>
    <mergeCell ref="H124:J124"/>
    <mergeCell ref="C103:D103"/>
    <mergeCell ref="H103:J103"/>
    <mergeCell ref="C104:D104"/>
    <mergeCell ref="H104:J104"/>
    <mergeCell ref="H105:J105"/>
    <mergeCell ref="H106:J106"/>
    <mergeCell ref="A107:C107"/>
    <mergeCell ref="H107:J107"/>
    <mergeCell ref="B109:C109"/>
    <mergeCell ref="C84:D84"/>
    <mergeCell ref="H84:J84"/>
    <mergeCell ref="H85:J85"/>
    <mergeCell ref="H86:J86"/>
    <mergeCell ref="A87:C87"/>
    <mergeCell ref="H87:J87"/>
    <mergeCell ref="A100:J100"/>
    <mergeCell ref="A101:J101"/>
    <mergeCell ref="C102:D102"/>
    <mergeCell ref="H102:J102"/>
    <mergeCell ref="H92:J95"/>
    <mergeCell ref="H66:J66"/>
    <mergeCell ref="A67:C67"/>
    <mergeCell ref="H67:J67"/>
    <mergeCell ref="A80:J80"/>
    <mergeCell ref="A81:J81"/>
    <mergeCell ref="C82:D82"/>
    <mergeCell ref="H82:J82"/>
    <mergeCell ref="C83:D83"/>
    <mergeCell ref="H83:J83"/>
    <mergeCell ref="A75:C76"/>
    <mergeCell ref="H72:J75"/>
    <mergeCell ref="A60:J60"/>
    <mergeCell ref="A61:J61"/>
    <mergeCell ref="C62:D62"/>
    <mergeCell ref="H62:J62"/>
    <mergeCell ref="C63:D63"/>
    <mergeCell ref="H63:J63"/>
    <mergeCell ref="C64:D64"/>
    <mergeCell ref="H64:J64"/>
    <mergeCell ref="H65:J65"/>
    <mergeCell ref="H43:J43"/>
    <mergeCell ref="C44:D44"/>
    <mergeCell ref="H44:J44"/>
    <mergeCell ref="H45:J45"/>
    <mergeCell ref="H46:J46"/>
    <mergeCell ref="A47:C47"/>
    <mergeCell ref="H47:J47"/>
    <mergeCell ref="B49:C49"/>
    <mergeCell ref="B51:C51"/>
    <mergeCell ref="H25:J25"/>
    <mergeCell ref="H26:J26"/>
    <mergeCell ref="A27:C27"/>
    <mergeCell ref="H27:J27"/>
    <mergeCell ref="B29:C29"/>
    <mergeCell ref="B31:C31"/>
    <mergeCell ref="A40:J40"/>
    <mergeCell ref="A41:J41"/>
    <mergeCell ref="C42:D42"/>
    <mergeCell ref="H42:J42"/>
    <mergeCell ref="D35:D36"/>
    <mergeCell ref="A35:C36"/>
    <mergeCell ref="A8:C8"/>
    <mergeCell ref="H8:J8"/>
    <mergeCell ref="B10:C10"/>
    <mergeCell ref="A20:J20"/>
    <mergeCell ref="A21:J21"/>
    <mergeCell ref="C22:D22"/>
    <mergeCell ref="H22:J22"/>
    <mergeCell ref="H23:J23"/>
    <mergeCell ref="C24:D24"/>
    <mergeCell ref="H24:J24"/>
    <mergeCell ref="A16:C17"/>
    <mergeCell ref="D16:D17"/>
    <mergeCell ref="A1:J1"/>
    <mergeCell ref="A2:J2"/>
    <mergeCell ref="C3:D3"/>
    <mergeCell ref="H3:J3"/>
    <mergeCell ref="C4:D4"/>
    <mergeCell ref="H4:J4"/>
    <mergeCell ref="C5:D5"/>
    <mergeCell ref="H5:J5"/>
    <mergeCell ref="H6:J6"/>
  </mergeCells>
  <pageMargins left="0.7" right="0.7" top="0.44" bottom="0.33" header="0.3" footer="0.3"/>
  <pageSetup scale="87" orientation="portrait" r:id="rId1"/>
  <rowBreaks count="13" manualBreakCount="13">
    <brk id="59" max="16383" man="1"/>
    <brk id="119" max="16383" man="1"/>
    <brk id="179" max="16383" man="1"/>
    <brk id="238" max="16383" man="1"/>
    <brk id="298" max="16383" man="1"/>
    <brk id="338" max="16383" man="1"/>
    <brk id="397" max="16383" man="1"/>
    <brk id="455" max="16383" man="1"/>
    <brk id="514" max="16383" man="1"/>
    <brk id="573" max="16383" man="1"/>
    <brk id="633" max="16383" man="1"/>
    <brk id="693" max="16383" man="1"/>
    <brk id="75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P726"/>
  <sheetViews>
    <sheetView zoomScaleNormal="100" workbookViewId="0">
      <selection activeCell="G17" sqref="G17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209" t="s">
        <v>816</v>
      </c>
      <c r="D3" s="209"/>
      <c r="E3" s="2"/>
      <c r="F3" s="3"/>
      <c r="G3" s="1" t="s">
        <v>4</v>
      </c>
      <c r="H3" s="191" t="s">
        <v>5</v>
      </c>
      <c r="I3" s="191"/>
      <c r="J3" s="191"/>
    </row>
    <row r="4" spans="1:10" ht="13.5" customHeight="1">
      <c r="A4" s="1" t="s">
        <v>6</v>
      </c>
      <c r="B4" s="1"/>
      <c r="C4" s="196" t="s">
        <v>817</v>
      </c>
      <c r="D4" s="196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209" t="s">
        <v>818</v>
      </c>
      <c r="D5" s="209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6" t="s">
        <v>14</v>
      </c>
      <c r="B6" s="6"/>
      <c r="C6" s="2" t="s">
        <v>15</v>
      </c>
      <c r="D6" s="2"/>
      <c r="E6" s="2"/>
      <c r="F6" s="3"/>
      <c r="G6" s="1" t="s">
        <v>16</v>
      </c>
      <c r="H6" s="196" t="s">
        <v>819</v>
      </c>
      <c r="I6" s="196"/>
      <c r="J6" s="196"/>
    </row>
    <row r="7" spans="1:10" ht="13.5" customHeight="1">
      <c r="A7" s="6">
        <v>30</v>
      </c>
      <c r="B7" s="6"/>
      <c r="C7" s="2">
        <f>A7-I7</f>
        <v>0</v>
      </c>
      <c r="D7" s="2"/>
      <c r="E7" s="2"/>
      <c r="F7" s="3"/>
      <c r="G7" s="8" t="s">
        <v>18</v>
      </c>
      <c r="H7" s="8"/>
      <c r="I7" s="9">
        <v>30</v>
      </c>
      <c r="J7" s="9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23</v>
      </c>
      <c r="B9" s="1"/>
      <c r="C9" s="1"/>
      <c r="D9" s="2">
        <v>15000</v>
      </c>
      <c r="E9" s="17" t="s">
        <v>24</v>
      </c>
      <c r="F9" s="1"/>
      <c r="G9" s="2" t="s">
        <v>25</v>
      </c>
      <c r="H9" s="18" t="s">
        <v>298</v>
      </c>
      <c r="I9" s="6"/>
      <c r="J9" s="19"/>
    </row>
    <row r="10" spans="1:10" ht="13.5" customHeight="1">
      <c r="A10" s="17" t="s">
        <v>57</v>
      </c>
      <c r="B10" s="1"/>
      <c r="C10" s="1"/>
      <c r="D10" s="2" t="s">
        <v>25</v>
      </c>
      <c r="E10" s="17" t="s">
        <v>156</v>
      </c>
      <c r="F10" s="1"/>
      <c r="G10" s="2" t="s">
        <v>25</v>
      </c>
      <c r="H10" s="18" t="s">
        <v>299</v>
      </c>
      <c r="I10" s="6"/>
      <c r="J10" s="19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40</v>
      </c>
      <c r="F11" s="1"/>
      <c r="G11" s="2" t="s">
        <v>25</v>
      </c>
      <c r="H11" s="18" t="s">
        <v>32</v>
      </c>
      <c r="I11" s="6"/>
      <c r="J11" s="19"/>
    </row>
    <row r="12" spans="1:10" ht="13.5" customHeight="1">
      <c r="A12" s="17" t="s">
        <v>27</v>
      </c>
      <c r="B12" s="1"/>
      <c r="C12" s="1"/>
      <c r="D12" s="2" t="s">
        <v>25</v>
      </c>
      <c r="E12" s="17" t="s">
        <v>35</v>
      </c>
      <c r="F12" s="1"/>
      <c r="G12" s="2" t="s">
        <v>25</v>
      </c>
      <c r="H12" s="18"/>
      <c r="I12" s="6"/>
      <c r="J12" s="19"/>
    </row>
    <row r="13" spans="1:10" ht="13.5" customHeight="1">
      <c r="A13" s="17" t="s">
        <v>147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18"/>
      <c r="I13" s="6"/>
      <c r="J13" s="39"/>
    </row>
    <row r="14" spans="1:10" ht="13.5" customHeight="1">
      <c r="A14" s="17" t="s">
        <v>78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26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333</v>
      </c>
      <c r="F15" s="1"/>
      <c r="G15" s="2" t="s">
        <v>25</v>
      </c>
      <c r="H15" s="18"/>
      <c r="I15" s="6"/>
      <c r="J15" s="19"/>
    </row>
    <row r="16" spans="1:10" ht="13.5" customHeight="1">
      <c r="A16" s="204" t="s">
        <v>63</v>
      </c>
      <c r="B16" s="205"/>
      <c r="C16" s="206"/>
      <c r="D16" s="229">
        <f>SUM(D9:D15)</f>
        <v>15000</v>
      </c>
      <c r="E16" s="1" t="s">
        <v>78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100</v>
      </c>
      <c r="H17" s="21" t="s">
        <v>44</v>
      </c>
      <c r="I17" s="22"/>
      <c r="J17" s="13">
        <f>D16-G17</f>
        <v>14900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0" t="s">
        <v>816</v>
      </c>
      <c r="D23" s="190"/>
      <c r="E23" s="2"/>
      <c r="F23" s="3"/>
      <c r="G23" s="1" t="s">
        <v>4</v>
      </c>
      <c r="H23" s="191" t="s">
        <v>5</v>
      </c>
      <c r="I23" s="191"/>
      <c r="J23" s="191"/>
    </row>
    <row r="24" spans="1:10" ht="13.5" customHeight="1">
      <c r="A24" s="1" t="s">
        <v>6</v>
      </c>
      <c r="B24" s="1"/>
      <c r="C24" s="192" t="s">
        <v>820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194" t="s">
        <v>821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6" t="s">
        <v>14</v>
      </c>
      <c r="B26" s="6"/>
      <c r="C26" s="1" t="s">
        <v>15</v>
      </c>
      <c r="D26" s="2"/>
      <c r="E26" s="2"/>
      <c r="F26" s="3"/>
      <c r="G26" s="1" t="s">
        <v>16</v>
      </c>
      <c r="H26" s="196" t="s">
        <v>819</v>
      </c>
      <c r="I26" s="196"/>
      <c r="J26" s="196"/>
    </row>
    <row r="27" spans="1:10" ht="13.5" customHeight="1">
      <c r="A27" s="6">
        <v>30</v>
      </c>
      <c r="B27" s="6"/>
      <c r="C27" s="2">
        <f>A27-I27</f>
        <v>0</v>
      </c>
      <c r="D27" s="2"/>
      <c r="E27" s="2"/>
      <c r="F27" s="3"/>
      <c r="G27" s="8" t="s">
        <v>18</v>
      </c>
      <c r="H27" s="8"/>
      <c r="I27" s="9">
        <v>30</v>
      </c>
      <c r="J27" s="9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2">
        <v>15000</v>
      </c>
      <c r="E29" s="17" t="s">
        <v>24</v>
      </c>
      <c r="F29" s="1"/>
      <c r="G29" s="2" t="s">
        <v>25</v>
      </c>
      <c r="H29" s="18" t="s">
        <v>298</v>
      </c>
      <c r="I29" s="6"/>
      <c r="J29" s="19"/>
    </row>
    <row r="30" spans="1:10" ht="13.5" customHeight="1">
      <c r="A30" s="17" t="s">
        <v>57</v>
      </c>
      <c r="B30" s="209" t="s">
        <v>320</v>
      </c>
      <c r="C30" s="209"/>
      <c r="D30" s="2">
        <v>1000</v>
      </c>
      <c r="E30" s="17" t="s">
        <v>156</v>
      </c>
      <c r="F30" s="1"/>
      <c r="G30" s="2" t="s">
        <v>25</v>
      </c>
      <c r="H30" s="18" t="s">
        <v>299</v>
      </c>
      <c r="I30" s="6"/>
      <c r="J30" s="19"/>
    </row>
    <row r="31" spans="1:10" ht="13.5" customHeight="1">
      <c r="A31" s="17" t="s">
        <v>30</v>
      </c>
      <c r="B31" s="1"/>
      <c r="C31" s="1"/>
      <c r="D31" s="2" t="s">
        <v>25</v>
      </c>
      <c r="E31" s="17" t="s">
        <v>40</v>
      </c>
      <c r="F31" s="1"/>
      <c r="G31" s="2" t="s">
        <v>25</v>
      </c>
      <c r="H31" s="18" t="s">
        <v>32</v>
      </c>
      <c r="I31" s="6"/>
      <c r="J31" s="19"/>
    </row>
    <row r="32" spans="1:10" ht="13.5" customHeight="1">
      <c r="A32" s="17" t="s">
        <v>27</v>
      </c>
      <c r="B32" s="1"/>
      <c r="C32" s="1"/>
      <c r="D32" s="2" t="s">
        <v>25</v>
      </c>
      <c r="E32" s="17" t="s">
        <v>35</v>
      </c>
      <c r="F32" s="1"/>
      <c r="G32" s="2" t="s">
        <v>25</v>
      </c>
      <c r="H32" s="18"/>
      <c r="I32" s="6"/>
      <c r="J32" s="19"/>
    </row>
    <row r="33" spans="1:10" ht="13.5" customHeight="1">
      <c r="A33" s="17" t="s">
        <v>147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18" t="s">
        <v>822</v>
      </c>
      <c r="I33" s="6"/>
      <c r="J33" s="39"/>
    </row>
    <row r="34" spans="1:10" ht="13.5" customHeight="1">
      <c r="A34" s="17" t="s">
        <v>78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26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333</v>
      </c>
      <c r="F35" s="1"/>
      <c r="G35" s="2" t="s">
        <v>25</v>
      </c>
      <c r="H35" s="18"/>
      <c r="I35" s="6"/>
      <c r="J35" s="19"/>
    </row>
    <row r="36" spans="1:10" ht="13.5" customHeight="1">
      <c r="A36" s="204" t="s">
        <v>63</v>
      </c>
      <c r="B36" s="205"/>
      <c r="C36" s="206"/>
      <c r="D36" s="229">
        <f>SUM(D29:D35)</f>
        <v>16000</v>
      </c>
      <c r="E36" s="1" t="s">
        <v>78</v>
      </c>
      <c r="F36" s="1"/>
      <c r="G36" s="2" t="s">
        <v>25</v>
      </c>
      <c r="H36" s="18"/>
      <c r="I36" s="6"/>
      <c r="J36" s="1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100</v>
      </c>
      <c r="H37" s="21" t="s">
        <v>44</v>
      </c>
      <c r="I37" s="22"/>
      <c r="J37" s="13">
        <f>D36-G37</f>
        <v>15900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B43" s="1"/>
      <c r="C43" s="1" t="s">
        <v>823</v>
      </c>
      <c r="D43" s="1"/>
      <c r="E43" s="2"/>
      <c r="F43" s="3"/>
      <c r="G43" s="1" t="s">
        <v>4</v>
      </c>
      <c r="H43" s="191" t="s">
        <v>5</v>
      </c>
      <c r="I43" s="191"/>
      <c r="J43" s="191"/>
    </row>
    <row r="44" spans="1:10" ht="13.5" customHeight="1">
      <c r="A44" s="1" t="s">
        <v>6</v>
      </c>
      <c r="B44" s="1"/>
      <c r="C44" s="5" t="s">
        <v>824</v>
      </c>
      <c r="D44" s="5"/>
      <c r="E44" s="2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1" t="s">
        <v>825</v>
      </c>
      <c r="D45" s="1"/>
      <c r="E45" s="2"/>
      <c r="F45" s="3"/>
      <c r="G45" s="1" t="s">
        <v>12</v>
      </c>
      <c r="H45" s="195" t="s">
        <v>13</v>
      </c>
      <c r="I45" s="195"/>
      <c r="J45" s="195"/>
    </row>
    <row r="46" spans="1:10" ht="13.5" customHeight="1">
      <c r="A46" s="2" t="s">
        <v>14</v>
      </c>
      <c r="B46" s="2"/>
      <c r="C46" s="2" t="s">
        <v>15</v>
      </c>
      <c r="D46" s="2"/>
      <c r="E46" s="2"/>
      <c r="F46" s="3"/>
      <c r="G46" s="1" t="s">
        <v>16</v>
      </c>
      <c r="H46" s="196" t="s">
        <v>55</v>
      </c>
      <c r="I46" s="196"/>
      <c r="J46" s="196"/>
    </row>
    <row r="47" spans="1:10" ht="13.5" customHeight="1">
      <c r="A47" s="2">
        <v>30</v>
      </c>
      <c r="B47" s="2"/>
      <c r="C47" s="2">
        <f>A47-H47</f>
        <v>1</v>
      </c>
      <c r="D47" s="2"/>
      <c r="E47" s="2"/>
      <c r="F47" s="3"/>
      <c r="G47" s="8" t="s">
        <v>18</v>
      </c>
      <c r="H47" s="197">
        <v>29</v>
      </c>
      <c r="I47" s="197"/>
      <c r="J47" s="197"/>
    </row>
    <row r="48" spans="1:10" ht="13.5" customHeight="1">
      <c r="A48" s="10" t="s">
        <v>19</v>
      </c>
      <c r="B48" s="11"/>
      <c r="C48" s="12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23</v>
      </c>
      <c r="B49" s="1"/>
      <c r="C49" s="1"/>
      <c r="D49" s="2">
        <v>16500</v>
      </c>
      <c r="E49" s="17" t="s">
        <v>24</v>
      </c>
      <c r="F49" s="1"/>
      <c r="G49" s="2" t="s">
        <v>25</v>
      </c>
      <c r="H49" s="18" t="s">
        <v>502</v>
      </c>
      <c r="I49" s="6"/>
      <c r="J49" s="19"/>
    </row>
    <row r="50" spans="1:10" ht="13.5" customHeight="1">
      <c r="A50" s="17" t="s">
        <v>77</v>
      </c>
      <c r="B50" s="209"/>
      <c r="C50" s="209"/>
      <c r="D50" s="2" t="s">
        <v>25</v>
      </c>
      <c r="E50" s="17" t="s">
        <v>58</v>
      </c>
      <c r="F50" s="1"/>
      <c r="G50" s="2" t="s">
        <v>25</v>
      </c>
      <c r="H50" s="18" t="s">
        <v>504</v>
      </c>
      <c r="I50" s="6"/>
      <c r="J50" s="19"/>
    </row>
    <row r="51" spans="1:10" ht="13.5" customHeight="1">
      <c r="A51" s="17" t="s">
        <v>30</v>
      </c>
      <c r="B51" s="1"/>
      <c r="C51" s="1"/>
      <c r="D51" s="2">
        <v>150</v>
      </c>
      <c r="E51" s="17" t="s">
        <v>52</v>
      </c>
      <c r="F51" s="1"/>
      <c r="G51" s="2" t="s">
        <v>25</v>
      </c>
      <c r="H51" s="18" t="s">
        <v>32</v>
      </c>
      <c r="I51" s="6"/>
      <c r="J51" s="19"/>
    </row>
    <row r="52" spans="1:10" ht="13.5" customHeight="1">
      <c r="A52" s="17" t="s">
        <v>34</v>
      </c>
      <c r="B52" s="1"/>
      <c r="C52" s="1"/>
      <c r="D52" s="2" t="s">
        <v>25</v>
      </c>
      <c r="E52" s="17" t="s">
        <v>35</v>
      </c>
      <c r="F52" s="1"/>
      <c r="G52" s="2">
        <v>550</v>
      </c>
      <c r="H52" s="18"/>
      <c r="I52" s="6"/>
      <c r="J52" s="19"/>
    </row>
    <row r="53" spans="1:10" ht="13.5" customHeight="1">
      <c r="A53" s="17" t="s">
        <v>78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/>
      <c r="I53" s="6"/>
      <c r="J53" s="19"/>
    </row>
    <row r="54" spans="1:10" ht="13.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19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78</v>
      </c>
      <c r="F55" s="1"/>
      <c r="G55" s="2" t="s">
        <v>25</v>
      </c>
      <c r="H55" s="18"/>
      <c r="I55" s="6"/>
      <c r="J55" s="19"/>
    </row>
    <row r="56" spans="1:10" ht="13.5" customHeight="1">
      <c r="A56" s="204" t="s">
        <v>63</v>
      </c>
      <c r="B56" s="205"/>
      <c r="C56" s="206"/>
      <c r="D56" s="229">
        <f>SUM(D49:D55)</f>
        <v>16650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650</v>
      </c>
      <c r="H57" s="21" t="s">
        <v>44</v>
      </c>
      <c r="I57" s="22"/>
      <c r="J57" s="13">
        <f>SUM(D56-G57)</f>
        <v>16000</v>
      </c>
    </row>
    <row r="58" spans="1:10" ht="13.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3.5" customHeight="1">
      <c r="A59" s="3"/>
      <c r="B59" s="3" t="s">
        <v>47</v>
      </c>
      <c r="C59" s="3"/>
      <c r="D59" s="3"/>
      <c r="E59" s="3" t="s">
        <v>48</v>
      </c>
      <c r="F59" s="3"/>
      <c r="G59" s="3"/>
      <c r="H59" s="3" t="s">
        <v>49</v>
      </c>
      <c r="I59" s="3"/>
      <c r="J59" s="3"/>
    </row>
    <row r="60" spans="1:10" ht="13.5" customHeight="1">
      <c r="A60" s="184" t="s">
        <v>0</v>
      </c>
      <c r="B60" s="185"/>
      <c r="C60" s="185"/>
      <c r="D60" s="185"/>
      <c r="E60" s="185"/>
      <c r="F60" s="185"/>
      <c r="G60" s="185"/>
      <c r="H60" s="185"/>
      <c r="I60" s="185"/>
      <c r="J60" s="186"/>
    </row>
    <row r="61" spans="1:10" ht="13.5" customHeight="1">
      <c r="A61" s="187" t="s">
        <v>1</v>
      </c>
      <c r="B61" s="188"/>
      <c r="C61" s="188"/>
      <c r="D61" s="188"/>
      <c r="E61" s="188"/>
      <c r="F61" s="188"/>
      <c r="G61" s="188"/>
      <c r="H61" s="188"/>
      <c r="I61" s="188"/>
      <c r="J61" s="189"/>
    </row>
    <row r="62" spans="1:10" ht="13.5" customHeight="1">
      <c r="A62" s="1" t="s">
        <v>2</v>
      </c>
      <c r="B62" s="1"/>
      <c r="C62" s="194"/>
      <c r="D62" s="194"/>
      <c r="E62" s="2"/>
      <c r="F62" s="3"/>
      <c r="G62" s="1" t="s">
        <v>4</v>
      </c>
      <c r="H62" s="191" t="s">
        <v>5</v>
      </c>
      <c r="I62" s="191"/>
      <c r="J62" s="191"/>
    </row>
    <row r="63" spans="1:10" ht="13.5" customHeight="1">
      <c r="A63" s="1" t="s">
        <v>6</v>
      </c>
      <c r="B63" s="1"/>
      <c r="C63" s="192" t="s">
        <v>827</v>
      </c>
      <c r="D63" s="192"/>
      <c r="E63" s="2"/>
      <c r="F63" s="3"/>
      <c r="G63" s="1" t="s">
        <v>8</v>
      </c>
      <c r="H63" s="193" t="s">
        <v>9</v>
      </c>
      <c r="I63" s="193"/>
      <c r="J63" s="193"/>
    </row>
    <row r="64" spans="1:10" ht="13.5" customHeight="1">
      <c r="A64" s="6" t="s">
        <v>10</v>
      </c>
      <c r="B64" s="6"/>
      <c r="C64" s="194" t="s">
        <v>825</v>
      </c>
      <c r="D64" s="194"/>
      <c r="E64" s="2"/>
      <c r="F64" s="3"/>
      <c r="G64" s="1" t="s">
        <v>12</v>
      </c>
      <c r="H64" s="195" t="s">
        <v>13</v>
      </c>
      <c r="I64" s="195"/>
      <c r="J64" s="195"/>
    </row>
    <row r="65" spans="1:10" ht="13.5" customHeight="1">
      <c r="A65" s="2" t="s">
        <v>14</v>
      </c>
      <c r="B65" s="2"/>
      <c r="C65" s="1" t="s">
        <v>15</v>
      </c>
      <c r="D65" s="1"/>
      <c r="E65" s="2"/>
      <c r="F65" s="3"/>
      <c r="G65" s="1" t="s">
        <v>16</v>
      </c>
      <c r="H65" s="209" t="s">
        <v>55</v>
      </c>
      <c r="I65" s="209"/>
      <c r="J65" s="209"/>
    </row>
    <row r="66" spans="1:10" ht="13.5" customHeight="1">
      <c r="A66" s="2">
        <v>30</v>
      </c>
      <c r="B66" s="2"/>
      <c r="C66" s="2">
        <f>A66-H66</f>
        <v>18</v>
      </c>
      <c r="D66" s="2"/>
      <c r="E66" s="2"/>
      <c r="F66" s="3"/>
      <c r="G66" s="8" t="s">
        <v>18</v>
      </c>
      <c r="H66" s="197">
        <v>12</v>
      </c>
      <c r="I66" s="197"/>
      <c r="J66" s="197"/>
    </row>
    <row r="67" spans="1:10" ht="13.5" customHeight="1">
      <c r="A67" s="198" t="s">
        <v>19</v>
      </c>
      <c r="B67" s="199"/>
      <c r="C67" s="200"/>
      <c r="D67" s="13" t="s">
        <v>20</v>
      </c>
      <c r="E67" s="14" t="s">
        <v>21</v>
      </c>
      <c r="F67" s="15"/>
      <c r="G67" s="16" t="s">
        <v>20</v>
      </c>
      <c r="H67" s="201" t="s">
        <v>22</v>
      </c>
      <c r="I67" s="202"/>
      <c r="J67" s="203"/>
    </row>
    <row r="68" spans="1:10" ht="13.5" customHeight="1">
      <c r="A68" s="17" t="s">
        <v>23</v>
      </c>
      <c r="B68" s="1"/>
      <c r="C68" s="1"/>
      <c r="D68" s="2">
        <v>15000</v>
      </c>
      <c r="E68" s="17" t="s">
        <v>24</v>
      </c>
      <c r="F68" s="1"/>
      <c r="G68" s="2" t="s">
        <v>25</v>
      </c>
      <c r="H68" s="18" t="s">
        <v>502</v>
      </c>
      <c r="I68" s="6"/>
      <c r="J68" s="19"/>
    </row>
    <row r="69" spans="1:10" ht="13.5" customHeight="1">
      <c r="A69" s="17" t="s">
        <v>77</v>
      </c>
      <c r="B69" s="209"/>
      <c r="C69" s="209"/>
      <c r="D69" s="2" t="s">
        <v>25</v>
      </c>
      <c r="E69" s="17" t="s">
        <v>156</v>
      </c>
      <c r="F69" s="1"/>
      <c r="G69" s="2" t="s">
        <v>25</v>
      </c>
      <c r="H69" s="18" t="s">
        <v>504</v>
      </c>
      <c r="I69" s="6"/>
      <c r="J69" s="19"/>
    </row>
    <row r="70" spans="1:10" ht="13.5" customHeight="1">
      <c r="A70" s="17" t="s">
        <v>72</v>
      </c>
      <c r="B70" s="1"/>
      <c r="C70" s="1"/>
      <c r="D70" s="2" t="s">
        <v>25</v>
      </c>
      <c r="E70" s="17" t="s">
        <v>28</v>
      </c>
      <c r="F70" s="1"/>
      <c r="G70" s="2" t="s">
        <v>25</v>
      </c>
      <c r="H70" s="18" t="s">
        <v>32</v>
      </c>
      <c r="I70" s="6"/>
      <c r="J70" s="19"/>
    </row>
    <row r="71" spans="1:10" ht="13.5" customHeight="1">
      <c r="A71" s="176" t="s">
        <v>30</v>
      </c>
      <c r="B71" s="1"/>
      <c r="C71" s="1"/>
      <c r="D71" s="2">
        <v>1100</v>
      </c>
      <c r="E71" s="17" t="s">
        <v>35</v>
      </c>
      <c r="F71" s="1"/>
      <c r="G71" s="2">
        <v>9000</v>
      </c>
      <c r="H71" s="18"/>
      <c r="I71" s="6"/>
      <c r="J71" s="19"/>
    </row>
    <row r="72" spans="1:10" ht="13.5" customHeight="1">
      <c r="A72" s="17" t="s">
        <v>110</v>
      </c>
      <c r="B72" s="1"/>
      <c r="C72" s="1"/>
      <c r="D72" s="2" t="s">
        <v>25</v>
      </c>
      <c r="E72" s="17" t="s">
        <v>61</v>
      </c>
      <c r="F72" s="1"/>
      <c r="G72" s="2" t="s">
        <v>25</v>
      </c>
      <c r="H72" s="18"/>
      <c r="I72" s="6"/>
      <c r="J72" s="19"/>
    </row>
    <row r="73" spans="1:10" ht="13.5" customHeight="1">
      <c r="A73" s="17" t="s">
        <v>78</v>
      </c>
      <c r="B73" s="1"/>
      <c r="C73" s="1"/>
      <c r="D73" s="2" t="s">
        <v>25</v>
      </c>
      <c r="E73" s="17" t="s">
        <v>39</v>
      </c>
      <c r="F73" s="1"/>
      <c r="G73" s="2">
        <v>100</v>
      </c>
      <c r="H73" s="18"/>
      <c r="I73" s="6"/>
      <c r="J73" s="19"/>
    </row>
    <row r="74" spans="1:10" ht="13.5" customHeight="1">
      <c r="A74" s="18" t="s">
        <v>40</v>
      </c>
      <c r="B74" s="6"/>
      <c r="C74" s="6"/>
      <c r="D74" s="2" t="s">
        <v>25</v>
      </c>
      <c r="E74" s="17" t="s">
        <v>78</v>
      </c>
      <c r="F74" s="1"/>
      <c r="G74" s="2" t="s">
        <v>25</v>
      </c>
      <c r="H74" s="18"/>
      <c r="I74" s="6"/>
      <c r="J74" s="19"/>
    </row>
    <row r="75" spans="1:10" ht="13.5" customHeight="1">
      <c r="A75" s="204" t="s">
        <v>63</v>
      </c>
      <c r="B75" s="205"/>
      <c r="C75" s="206"/>
      <c r="D75" s="229">
        <f>SUM(D68:D74)</f>
        <v>16100</v>
      </c>
      <c r="E75" s="1" t="s">
        <v>58</v>
      </c>
      <c r="F75" s="1"/>
      <c r="G75" s="2" t="s">
        <v>25</v>
      </c>
      <c r="H75" s="18"/>
      <c r="I75" s="6"/>
      <c r="J75" s="19"/>
    </row>
    <row r="76" spans="1:10" ht="13.5" customHeight="1">
      <c r="A76" s="207"/>
      <c r="B76" s="197"/>
      <c r="C76" s="208"/>
      <c r="D76" s="230"/>
      <c r="E76" s="21" t="s">
        <v>21</v>
      </c>
      <c r="F76" s="22"/>
      <c r="G76" s="13">
        <f>SUM(G68:G75)</f>
        <v>9100</v>
      </c>
      <c r="H76" s="21" t="s">
        <v>44</v>
      </c>
      <c r="I76" s="22"/>
      <c r="J76" s="13">
        <f>D75-G76</f>
        <v>7000</v>
      </c>
    </row>
    <row r="77" spans="1:10" ht="13.5" customHeight="1">
      <c r="A77" s="3" t="s">
        <v>45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3.5" customHeight="1">
      <c r="A79" s="3"/>
      <c r="B79" s="3" t="s">
        <v>47</v>
      </c>
      <c r="C79" s="3"/>
      <c r="D79" s="3"/>
      <c r="E79" s="3" t="s">
        <v>48</v>
      </c>
      <c r="F79" s="3"/>
      <c r="G79" s="3"/>
      <c r="H79" s="3" t="s">
        <v>49</v>
      </c>
      <c r="I79" s="3"/>
      <c r="J79" s="3"/>
    </row>
    <row r="80" spans="1:10" ht="13.5" customHeight="1">
      <c r="A80" s="184" t="s">
        <v>0</v>
      </c>
      <c r="B80" s="185"/>
      <c r="C80" s="185"/>
      <c r="D80" s="185"/>
      <c r="E80" s="185"/>
      <c r="F80" s="185"/>
      <c r="G80" s="185"/>
      <c r="H80" s="185"/>
      <c r="I80" s="185"/>
      <c r="J80" s="186"/>
    </row>
    <row r="81" spans="1:10" ht="13.5" customHeight="1">
      <c r="A81" s="187" t="s">
        <v>1</v>
      </c>
      <c r="B81" s="188"/>
      <c r="C81" s="188"/>
      <c r="D81" s="188"/>
      <c r="E81" s="188"/>
      <c r="F81" s="188"/>
      <c r="G81" s="188"/>
      <c r="H81" s="188"/>
      <c r="I81" s="188"/>
      <c r="J81" s="189"/>
    </row>
    <row r="82" spans="1:10" ht="13.5" customHeight="1">
      <c r="A82" s="1" t="s">
        <v>2</v>
      </c>
      <c r="B82" s="1"/>
      <c r="C82" s="194"/>
      <c r="D82" s="194"/>
      <c r="E82" s="2"/>
      <c r="F82" s="3"/>
      <c r="G82" s="1" t="s">
        <v>4</v>
      </c>
      <c r="H82" s="191" t="s">
        <v>5</v>
      </c>
      <c r="I82" s="191"/>
      <c r="J82" s="191"/>
    </row>
    <row r="83" spans="1:10" ht="13.5" customHeight="1">
      <c r="A83" s="1" t="s">
        <v>6</v>
      </c>
      <c r="B83" s="1"/>
      <c r="C83" s="192" t="s">
        <v>828</v>
      </c>
      <c r="D83" s="192"/>
      <c r="E83" s="2"/>
      <c r="F83" s="3"/>
      <c r="G83" s="1" t="s">
        <v>8</v>
      </c>
      <c r="H83" s="193" t="s">
        <v>9</v>
      </c>
      <c r="I83" s="193"/>
      <c r="J83" s="193"/>
    </row>
    <row r="84" spans="1:10" ht="13.5" customHeight="1">
      <c r="A84" s="6" t="s">
        <v>10</v>
      </c>
      <c r="B84" s="6"/>
      <c r="C84" s="194" t="s">
        <v>825</v>
      </c>
      <c r="D84" s="194"/>
      <c r="E84" s="2"/>
      <c r="F84" s="3"/>
      <c r="G84" s="1" t="s">
        <v>12</v>
      </c>
      <c r="H84" s="195" t="s">
        <v>13</v>
      </c>
      <c r="I84" s="195"/>
      <c r="J84" s="195"/>
    </row>
    <row r="85" spans="1:10" ht="13.5" customHeight="1">
      <c r="A85" s="2" t="s">
        <v>14</v>
      </c>
      <c r="B85" s="2"/>
      <c r="C85" s="1" t="s">
        <v>15</v>
      </c>
      <c r="D85" s="1"/>
      <c r="E85" s="2"/>
      <c r="F85" s="3"/>
      <c r="G85" s="1" t="s">
        <v>16</v>
      </c>
      <c r="H85" s="209" t="s">
        <v>55</v>
      </c>
      <c r="I85" s="209"/>
      <c r="J85" s="209"/>
    </row>
    <row r="86" spans="1:10" ht="13.5" customHeight="1">
      <c r="A86" s="2">
        <v>30</v>
      </c>
      <c r="B86" s="2"/>
      <c r="C86" s="2">
        <f>A86-H86</f>
        <v>0</v>
      </c>
      <c r="D86" s="2"/>
      <c r="E86" s="2"/>
      <c r="F86" s="3"/>
      <c r="G86" s="8" t="s">
        <v>18</v>
      </c>
      <c r="H86" s="197">
        <v>30</v>
      </c>
      <c r="I86" s="197"/>
      <c r="J86" s="197"/>
    </row>
    <row r="87" spans="1:10" ht="13.5" customHeight="1">
      <c r="A87" s="198" t="s">
        <v>19</v>
      </c>
      <c r="B87" s="199"/>
      <c r="C87" s="200"/>
      <c r="D87" s="13" t="s">
        <v>20</v>
      </c>
      <c r="E87" s="14" t="s">
        <v>21</v>
      </c>
      <c r="F87" s="15"/>
      <c r="G87" s="16" t="s">
        <v>20</v>
      </c>
      <c r="H87" s="201" t="s">
        <v>22</v>
      </c>
      <c r="I87" s="202"/>
      <c r="J87" s="203"/>
    </row>
    <row r="88" spans="1:10" ht="13.5" customHeight="1">
      <c r="A88" s="17" t="s">
        <v>23</v>
      </c>
      <c r="B88" s="1"/>
      <c r="C88" s="1"/>
      <c r="D88" s="2">
        <v>16000</v>
      </c>
      <c r="E88" s="17" t="s">
        <v>24</v>
      </c>
      <c r="F88" s="1"/>
      <c r="G88" s="2" t="s">
        <v>25</v>
      </c>
      <c r="H88" s="18" t="s">
        <v>502</v>
      </c>
      <c r="I88" s="6"/>
      <c r="J88" s="19"/>
    </row>
    <row r="89" spans="1:10" ht="13.5" customHeight="1">
      <c r="A89" s="17" t="s">
        <v>77</v>
      </c>
      <c r="B89" s="209"/>
      <c r="C89" s="209"/>
      <c r="D89" s="2" t="s">
        <v>25</v>
      </c>
      <c r="E89" s="17" t="s">
        <v>156</v>
      </c>
      <c r="F89" s="1"/>
      <c r="G89" s="2" t="s">
        <v>25</v>
      </c>
      <c r="H89" s="18" t="s">
        <v>504</v>
      </c>
      <c r="I89" s="6"/>
      <c r="J89" s="19"/>
    </row>
    <row r="90" spans="1:10" ht="13.5" customHeight="1">
      <c r="A90" s="17" t="s">
        <v>72</v>
      </c>
      <c r="B90" s="1"/>
      <c r="C90" s="1"/>
      <c r="D90" s="2" t="s">
        <v>25</v>
      </c>
      <c r="E90" s="17" t="s">
        <v>28</v>
      </c>
      <c r="F90" s="1"/>
      <c r="G90" s="2" t="s">
        <v>25</v>
      </c>
      <c r="H90" s="18" t="s">
        <v>32</v>
      </c>
      <c r="I90" s="6"/>
      <c r="J90" s="19"/>
    </row>
    <row r="91" spans="1:10" ht="13.5" customHeight="1">
      <c r="A91" s="17" t="s">
        <v>34</v>
      </c>
      <c r="B91" s="1"/>
      <c r="C91" s="1"/>
      <c r="D91" s="2" t="s">
        <v>25</v>
      </c>
      <c r="E91" s="17" t="s">
        <v>35</v>
      </c>
      <c r="F91" s="1"/>
      <c r="G91" s="2" t="s">
        <v>25</v>
      </c>
      <c r="H91" s="18"/>
      <c r="I91" s="6"/>
      <c r="J91" s="19"/>
    </row>
    <row r="92" spans="1:10" ht="13.5" customHeight="1">
      <c r="A92" s="17" t="s">
        <v>110</v>
      </c>
      <c r="B92" s="1"/>
      <c r="C92" s="1"/>
      <c r="D92" s="2" t="s">
        <v>25</v>
      </c>
      <c r="E92" s="17" t="s">
        <v>61</v>
      </c>
      <c r="F92" s="1"/>
      <c r="G92" s="2" t="s">
        <v>25</v>
      </c>
      <c r="H92" s="18"/>
      <c r="I92" s="6"/>
      <c r="J92" s="19"/>
    </row>
    <row r="93" spans="1:10" ht="13.5" customHeight="1">
      <c r="A93" s="176" t="s">
        <v>30</v>
      </c>
      <c r="B93" s="1"/>
      <c r="C93" s="1"/>
      <c r="D93" s="2">
        <v>600</v>
      </c>
      <c r="E93" s="17" t="s">
        <v>39</v>
      </c>
      <c r="F93" s="1"/>
      <c r="G93" s="2">
        <v>100</v>
      </c>
      <c r="H93" s="18"/>
      <c r="I93" s="6"/>
      <c r="J93" s="19"/>
    </row>
    <row r="94" spans="1:10" ht="13.5" customHeight="1">
      <c r="A94" s="18" t="s">
        <v>40</v>
      </c>
      <c r="B94" s="6"/>
      <c r="C94" s="6"/>
      <c r="D94" s="2" t="s">
        <v>25</v>
      </c>
      <c r="E94" s="17" t="s">
        <v>78</v>
      </c>
      <c r="F94" s="1"/>
      <c r="G94" s="2" t="s">
        <v>25</v>
      </c>
      <c r="H94" s="18"/>
      <c r="I94" s="6"/>
      <c r="J94" s="19"/>
    </row>
    <row r="95" spans="1:10" ht="13.5" customHeight="1">
      <c r="A95" s="204" t="s">
        <v>63</v>
      </c>
      <c r="B95" s="205"/>
      <c r="C95" s="206"/>
      <c r="D95" s="229">
        <f>SUM(D88:D94)</f>
        <v>16600</v>
      </c>
      <c r="E95" s="1" t="s">
        <v>58</v>
      </c>
      <c r="F95" s="1"/>
      <c r="G95" s="2" t="s">
        <v>25</v>
      </c>
      <c r="H95" s="18"/>
      <c r="I95" s="6"/>
      <c r="J95" s="19"/>
    </row>
    <row r="96" spans="1:10" ht="13.5" customHeight="1">
      <c r="A96" s="207"/>
      <c r="B96" s="197"/>
      <c r="C96" s="208"/>
      <c r="D96" s="230"/>
      <c r="E96" s="21" t="s">
        <v>21</v>
      </c>
      <c r="F96" s="22"/>
      <c r="G96" s="13">
        <f>SUM(G88:G95)</f>
        <v>100</v>
      </c>
      <c r="H96" s="21" t="s">
        <v>44</v>
      </c>
      <c r="I96" s="22"/>
      <c r="J96" s="13">
        <f>D95-G96</f>
        <v>16500</v>
      </c>
    </row>
    <row r="97" spans="1:10" ht="13.5" customHeight="1">
      <c r="A97" s="3" t="s">
        <v>45</v>
      </c>
      <c r="B97" s="3"/>
      <c r="C97" s="3"/>
      <c r="D97" s="3"/>
      <c r="E97" s="3"/>
      <c r="F97" s="3"/>
      <c r="G97" s="3"/>
      <c r="H97" s="3"/>
      <c r="I97" s="3"/>
      <c r="J97" s="3"/>
    </row>
    <row r="98" spans="1:10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3.5" customHeight="1">
      <c r="A99" s="3"/>
      <c r="B99" s="3" t="s">
        <v>47</v>
      </c>
      <c r="C99" s="3"/>
      <c r="D99" s="3"/>
      <c r="E99" s="3" t="s">
        <v>48</v>
      </c>
      <c r="F99" s="3"/>
      <c r="G99" s="3"/>
      <c r="H99" s="3" t="s">
        <v>49</v>
      </c>
      <c r="I99" s="3"/>
      <c r="J99" s="3"/>
    </row>
    <row r="100" spans="1:10" ht="13.5" customHeight="1">
      <c r="A100" s="184" t="s">
        <v>0</v>
      </c>
      <c r="B100" s="185"/>
      <c r="C100" s="185"/>
      <c r="D100" s="185"/>
      <c r="E100" s="185"/>
      <c r="F100" s="185"/>
      <c r="G100" s="185"/>
      <c r="H100" s="185"/>
      <c r="I100" s="185"/>
      <c r="J100" s="186"/>
    </row>
    <row r="101" spans="1:10" ht="13.5" customHeight="1">
      <c r="A101" s="187" t="s">
        <v>1</v>
      </c>
      <c r="B101" s="188"/>
      <c r="C101" s="188"/>
      <c r="D101" s="188"/>
      <c r="E101" s="188"/>
      <c r="F101" s="188"/>
      <c r="G101" s="188"/>
      <c r="H101" s="188"/>
      <c r="I101" s="188"/>
      <c r="J101" s="189"/>
    </row>
    <row r="102" spans="1:10" ht="13.5" customHeight="1">
      <c r="A102" s="1" t="s">
        <v>2</v>
      </c>
      <c r="B102" s="1"/>
      <c r="C102" s="194"/>
      <c r="D102" s="194"/>
      <c r="E102" s="2"/>
      <c r="F102" s="3"/>
      <c r="G102" s="1" t="s">
        <v>4</v>
      </c>
      <c r="H102" s="191" t="s">
        <v>5</v>
      </c>
      <c r="I102" s="191"/>
      <c r="J102" s="191"/>
    </row>
    <row r="103" spans="1:10" ht="13.5" customHeight="1">
      <c r="A103" s="1" t="s">
        <v>6</v>
      </c>
      <c r="B103" s="1"/>
      <c r="C103" s="25" t="s">
        <v>829</v>
      </c>
      <c r="D103" s="25"/>
      <c r="E103" s="2"/>
      <c r="F103" s="3"/>
      <c r="G103" s="1" t="s">
        <v>8</v>
      </c>
      <c r="H103" s="193" t="s">
        <v>9</v>
      </c>
      <c r="I103" s="193"/>
      <c r="J103" s="193"/>
    </row>
    <row r="104" spans="1:10" ht="13.5" customHeight="1">
      <c r="A104" s="6" t="s">
        <v>10</v>
      </c>
      <c r="B104" s="6"/>
      <c r="C104" s="194" t="s">
        <v>825</v>
      </c>
      <c r="D104" s="194"/>
      <c r="E104" s="2"/>
      <c r="F104" s="3"/>
      <c r="G104" s="1" t="s">
        <v>12</v>
      </c>
      <c r="H104" s="195" t="s">
        <v>13</v>
      </c>
      <c r="I104" s="195"/>
      <c r="J104" s="195"/>
    </row>
    <row r="105" spans="1:10" ht="13.5" customHeight="1">
      <c r="A105" s="2" t="s">
        <v>14</v>
      </c>
      <c r="B105" s="2"/>
      <c r="C105" s="1" t="s">
        <v>15</v>
      </c>
      <c r="D105" s="1"/>
      <c r="E105" s="2"/>
      <c r="F105" s="3"/>
      <c r="G105" s="1" t="s">
        <v>16</v>
      </c>
      <c r="H105" s="209" t="s">
        <v>55</v>
      </c>
      <c r="I105" s="209"/>
      <c r="J105" s="209"/>
    </row>
    <row r="106" spans="1:10" ht="13.5" customHeight="1">
      <c r="A106" s="2">
        <v>30</v>
      </c>
      <c r="B106" s="2"/>
      <c r="C106" s="2">
        <f>A106-H106</f>
        <v>3</v>
      </c>
      <c r="D106" s="2"/>
      <c r="E106" s="2"/>
      <c r="F106" s="3"/>
      <c r="G106" s="8" t="s">
        <v>18</v>
      </c>
      <c r="H106" s="197">
        <v>27</v>
      </c>
      <c r="I106" s="197"/>
      <c r="J106" s="197"/>
    </row>
    <row r="107" spans="1:10" ht="13.5" customHeight="1">
      <c r="A107" s="198" t="s">
        <v>19</v>
      </c>
      <c r="B107" s="199"/>
      <c r="C107" s="200"/>
      <c r="D107" s="13" t="s">
        <v>20</v>
      </c>
      <c r="E107" s="14" t="s">
        <v>21</v>
      </c>
      <c r="F107" s="15"/>
      <c r="G107" s="16" t="s">
        <v>20</v>
      </c>
      <c r="H107" s="201" t="s">
        <v>22</v>
      </c>
      <c r="I107" s="202"/>
      <c r="J107" s="203"/>
    </row>
    <row r="108" spans="1:10" ht="13.5" customHeight="1">
      <c r="A108" s="17" t="s">
        <v>23</v>
      </c>
      <c r="B108" s="1"/>
      <c r="C108" s="1"/>
      <c r="D108" s="2">
        <v>15000</v>
      </c>
      <c r="E108" s="17" t="s">
        <v>24</v>
      </c>
      <c r="F108" s="1"/>
      <c r="G108" s="2" t="s">
        <v>25</v>
      </c>
      <c r="H108" s="18" t="s">
        <v>502</v>
      </c>
      <c r="I108" s="6"/>
      <c r="J108" s="19"/>
    </row>
    <row r="109" spans="1:10" ht="13.5" customHeight="1">
      <c r="A109" s="17" t="s">
        <v>77</v>
      </c>
      <c r="B109" s="209"/>
      <c r="C109" s="209"/>
      <c r="D109" s="2" t="s">
        <v>25</v>
      </c>
      <c r="E109" s="17" t="s">
        <v>58</v>
      </c>
      <c r="F109" s="1"/>
      <c r="G109" s="2">
        <v>720</v>
      </c>
      <c r="H109" s="18" t="s">
        <v>504</v>
      </c>
      <c r="I109" s="6"/>
      <c r="J109" s="19"/>
    </row>
    <row r="110" spans="1:10" ht="13.5" customHeight="1">
      <c r="A110" s="17" t="s">
        <v>72</v>
      </c>
      <c r="B110" s="1"/>
      <c r="C110" s="1"/>
      <c r="D110" s="2" t="s">
        <v>25</v>
      </c>
      <c r="E110" s="17" t="s">
        <v>28</v>
      </c>
      <c r="F110" s="1"/>
      <c r="G110" s="2">
        <v>5000</v>
      </c>
      <c r="H110" s="18" t="s">
        <v>32</v>
      </c>
      <c r="I110" s="6"/>
      <c r="J110" s="19"/>
    </row>
    <row r="111" spans="1:10" ht="13.5" customHeight="1">
      <c r="A111" s="17" t="s">
        <v>34</v>
      </c>
      <c r="B111" s="1"/>
      <c r="C111" s="1"/>
      <c r="D111" s="2">
        <v>739</v>
      </c>
      <c r="E111" s="17" t="s">
        <v>35</v>
      </c>
      <c r="F111" s="1"/>
      <c r="G111" s="2">
        <v>1500</v>
      </c>
      <c r="H111" s="18"/>
      <c r="I111" s="6"/>
      <c r="J111" s="19"/>
    </row>
    <row r="112" spans="1:10" ht="13.5" customHeight="1">
      <c r="A112" s="17" t="s">
        <v>110</v>
      </c>
      <c r="B112" s="1"/>
      <c r="C112" s="1"/>
      <c r="D112" s="2" t="s">
        <v>25</v>
      </c>
      <c r="E112" s="17" t="s">
        <v>61</v>
      </c>
      <c r="F112" s="1"/>
      <c r="G112" s="2" t="s">
        <v>25</v>
      </c>
      <c r="H112" s="18"/>
      <c r="I112" s="6"/>
      <c r="J112" s="40"/>
    </row>
    <row r="113" spans="1:10" ht="13.5" customHeight="1">
      <c r="A113" s="17" t="s">
        <v>78</v>
      </c>
      <c r="B113" s="1"/>
      <c r="C113" s="1"/>
      <c r="D113" s="2" t="s">
        <v>25</v>
      </c>
      <c r="E113" s="17" t="s">
        <v>39</v>
      </c>
      <c r="F113" s="1"/>
      <c r="G113" s="2">
        <v>100</v>
      </c>
      <c r="H113" s="18"/>
      <c r="I113" s="6"/>
      <c r="J113" s="40"/>
    </row>
    <row r="114" spans="1:10" ht="13.5" customHeight="1">
      <c r="A114" s="18" t="s">
        <v>40</v>
      </c>
      <c r="B114" s="6"/>
      <c r="C114" s="6"/>
      <c r="D114" s="2" t="s">
        <v>25</v>
      </c>
      <c r="E114" s="17" t="s">
        <v>62</v>
      </c>
      <c r="F114" s="2">
        <v>10</v>
      </c>
      <c r="G114" s="2">
        <v>419</v>
      </c>
      <c r="H114" s="18"/>
      <c r="I114" s="6"/>
      <c r="J114" s="40"/>
    </row>
    <row r="115" spans="1:10" ht="13.5" customHeight="1">
      <c r="A115" s="204" t="s">
        <v>63</v>
      </c>
      <c r="B115" s="205"/>
      <c r="C115" s="206"/>
      <c r="D115" s="229">
        <f>SUM(D108:D114)</f>
        <v>15739</v>
      </c>
      <c r="E115" s="1" t="s">
        <v>58</v>
      </c>
      <c r="F115" s="1"/>
      <c r="G115" s="2" t="s">
        <v>25</v>
      </c>
      <c r="H115" s="18"/>
      <c r="I115" s="6"/>
      <c r="J115" s="38"/>
    </row>
    <row r="116" spans="1:10" ht="13.5" customHeight="1">
      <c r="A116" s="207"/>
      <c r="B116" s="197"/>
      <c r="C116" s="208"/>
      <c r="D116" s="230"/>
      <c r="E116" s="21" t="s">
        <v>21</v>
      </c>
      <c r="F116" s="22"/>
      <c r="G116" s="13">
        <f>SUM(G108:G115)</f>
        <v>7739</v>
      </c>
      <c r="H116" s="21" t="s">
        <v>44</v>
      </c>
      <c r="I116" s="22"/>
      <c r="J116" s="13">
        <f>D115-G116</f>
        <v>8000</v>
      </c>
    </row>
    <row r="117" spans="1:10" ht="13.5" customHeight="1">
      <c r="A117" s="3" t="s">
        <v>45</v>
      </c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3.5" customHeight="1">
      <c r="A119" s="3"/>
      <c r="B119" s="3" t="s">
        <v>47</v>
      </c>
      <c r="C119" s="3"/>
      <c r="D119" s="3"/>
      <c r="E119" s="3" t="s">
        <v>48</v>
      </c>
      <c r="F119" s="3"/>
      <c r="G119" s="3"/>
      <c r="H119" s="3" t="s">
        <v>49</v>
      </c>
      <c r="I119" s="3"/>
      <c r="J119" s="3"/>
    </row>
    <row r="120" spans="1:10" ht="13.5" customHeight="1">
      <c r="A120" s="184" t="s">
        <v>0</v>
      </c>
      <c r="B120" s="185"/>
      <c r="C120" s="185"/>
      <c r="D120" s="185"/>
      <c r="E120" s="185"/>
      <c r="F120" s="185"/>
      <c r="G120" s="185"/>
      <c r="H120" s="185"/>
      <c r="I120" s="185"/>
      <c r="J120" s="186"/>
    </row>
    <row r="121" spans="1:10" ht="13.5" customHeight="1">
      <c r="A121" s="187" t="s">
        <v>1</v>
      </c>
      <c r="B121" s="188"/>
      <c r="C121" s="188"/>
      <c r="D121" s="188"/>
      <c r="E121" s="188"/>
      <c r="F121" s="188"/>
      <c r="G121" s="188"/>
      <c r="H121" s="188"/>
      <c r="I121" s="188"/>
      <c r="J121" s="189"/>
    </row>
    <row r="122" spans="1:10" ht="13.5" customHeight="1">
      <c r="A122" s="1" t="s">
        <v>2</v>
      </c>
      <c r="B122" s="1"/>
      <c r="C122" s="194"/>
      <c r="D122" s="194"/>
      <c r="E122" s="2"/>
      <c r="F122" s="3"/>
      <c r="G122" s="1" t="s">
        <v>4</v>
      </c>
      <c r="H122" s="191" t="s">
        <v>5</v>
      </c>
      <c r="I122" s="191"/>
      <c r="J122" s="191"/>
    </row>
    <row r="123" spans="1:10" ht="13.5" customHeight="1">
      <c r="A123" s="1" t="s">
        <v>6</v>
      </c>
      <c r="B123" s="1"/>
      <c r="C123" s="25" t="s">
        <v>830</v>
      </c>
      <c r="D123" s="25"/>
      <c r="E123" s="2"/>
      <c r="F123" s="3"/>
      <c r="G123" s="1" t="s">
        <v>8</v>
      </c>
      <c r="H123" s="193" t="s">
        <v>9</v>
      </c>
      <c r="I123" s="193"/>
      <c r="J123" s="193"/>
    </row>
    <row r="124" spans="1:10" ht="13.5" customHeight="1">
      <c r="A124" s="6" t="s">
        <v>10</v>
      </c>
      <c r="B124" s="6"/>
      <c r="C124" s="194" t="s">
        <v>825</v>
      </c>
      <c r="D124" s="194"/>
      <c r="E124" s="2"/>
      <c r="F124" s="3"/>
      <c r="G124" s="1" t="s">
        <v>12</v>
      </c>
      <c r="H124" s="195" t="s">
        <v>13</v>
      </c>
      <c r="I124" s="195"/>
      <c r="J124" s="195"/>
    </row>
    <row r="125" spans="1:10" ht="13.5" customHeight="1">
      <c r="A125" s="2" t="s">
        <v>14</v>
      </c>
      <c r="B125" s="2"/>
      <c r="C125" s="1" t="s">
        <v>15</v>
      </c>
      <c r="D125" s="1"/>
      <c r="E125" s="2"/>
      <c r="F125" s="3"/>
      <c r="G125" s="1" t="s">
        <v>16</v>
      </c>
      <c r="H125" s="209" t="s">
        <v>140</v>
      </c>
      <c r="I125" s="209"/>
      <c r="J125" s="209"/>
    </row>
    <row r="126" spans="1:10" ht="13.5" customHeight="1">
      <c r="A126" s="2">
        <v>30</v>
      </c>
      <c r="B126" s="2"/>
      <c r="C126" s="2">
        <f>A126-H126</f>
        <v>2</v>
      </c>
      <c r="D126" s="2"/>
      <c r="E126" s="2"/>
      <c r="F126" s="3"/>
      <c r="G126" s="8" t="s">
        <v>18</v>
      </c>
      <c r="H126" s="197">
        <v>28</v>
      </c>
      <c r="I126" s="197"/>
      <c r="J126" s="197"/>
    </row>
    <row r="127" spans="1:10" ht="13.5" customHeight="1">
      <c r="A127" s="198" t="s">
        <v>19</v>
      </c>
      <c r="B127" s="199"/>
      <c r="C127" s="200"/>
      <c r="D127" s="13" t="s">
        <v>20</v>
      </c>
      <c r="E127" s="14" t="s">
        <v>21</v>
      </c>
      <c r="F127" s="15"/>
      <c r="G127" s="16" t="s">
        <v>20</v>
      </c>
      <c r="H127" s="201" t="s">
        <v>22</v>
      </c>
      <c r="I127" s="202"/>
      <c r="J127" s="203"/>
    </row>
    <row r="128" spans="1:10" ht="13.5" customHeight="1">
      <c r="A128" s="17" t="s">
        <v>23</v>
      </c>
      <c r="B128" s="1"/>
      <c r="C128" s="1"/>
      <c r="D128" s="2">
        <v>15000</v>
      </c>
      <c r="E128" s="17" t="s">
        <v>24</v>
      </c>
      <c r="F128" s="1"/>
      <c r="G128" s="2" t="s">
        <v>25</v>
      </c>
      <c r="H128" s="18" t="s">
        <v>502</v>
      </c>
      <c r="I128" s="6"/>
      <c r="J128" s="19"/>
    </row>
    <row r="129" spans="1:10" ht="13.5" customHeight="1">
      <c r="A129" s="17" t="s">
        <v>77</v>
      </c>
      <c r="B129" s="209"/>
      <c r="C129" s="209"/>
      <c r="D129" s="2" t="s">
        <v>25</v>
      </c>
      <c r="E129" s="17" t="s">
        <v>156</v>
      </c>
      <c r="F129" s="1"/>
      <c r="G129" s="2" t="s">
        <v>25</v>
      </c>
      <c r="H129" s="18" t="s">
        <v>504</v>
      </c>
      <c r="I129" s="6"/>
      <c r="J129" s="19"/>
    </row>
    <row r="130" spans="1:10" ht="13.5" customHeight="1">
      <c r="A130" s="17" t="s">
        <v>72</v>
      </c>
      <c r="B130" s="1"/>
      <c r="C130" s="1"/>
      <c r="D130" s="2" t="s">
        <v>25</v>
      </c>
      <c r="E130" s="17" t="s">
        <v>28</v>
      </c>
      <c r="F130" s="1"/>
      <c r="G130" s="2" t="s">
        <v>25</v>
      </c>
      <c r="H130" s="18" t="s">
        <v>32</v>
      </c>
      <c r="I130" s="6"/>
      <c r="J130" s="19"/>
    </row>
    <row r="131" spans="1:10" ht="13.5" customHeight="1">
      <c r="A131" s="17" t="s">
        <v>34</v>
      </c>
      <c r="B131" s="1"/>
      <c r="C131" s="1"/>
      <c r="D131" s="2">
        <v>392</v>
      </c>
      <c r="E131" s="17" t="s">
        <v>35</v>
      </c>
      <c r="F131" s="1"/>
      <c r="G131" s="2">
        <v>1000</v>
      </c>
      <c r="H131" s="18"/>
      <c r="I131" s="6"/>
      <c r="J131" s="19"/>
    </row>
    <row r="132" spans="1:10" ht="13.5" customHeight="1">
      <c r="A132" s="17" t="s">
        <v>110</v>
      </c>
      <c r="B132" s="1"/>
      <c r="C132" s="1"/>
      <c r="D132" s="2" t="s">
        <v>25</v>
      </c>
      <c r="E132" s="17" t="s">
        <v>61</v>
      </c>
      <c r="F132" s="1"/>
      <c r="G132" s="2" t="s">
        <v>25</v>
      </c>
      <c r="H132" s="18"/>
      <c r="I132" s="6"/>
      <c r="J132" s="19"/>
    </row>
    <row r="133" spans="1:10" ht="13.5" customHeight="1">
      <c r="A133" s="17" t="s">
        <v>78</v>
      </c>
      <c r="B133" s="1"/>
      <c r="C133" s="1"/>
      <c r="D133" s="2" t="s">
        <v>25</v>
      </c>
      <c r="E133" s="17" t="s">
        <v>39</v>
      </c>
      <c r="F133" s="1"/>
      <c r="G133" s="2">
        <v>100</v>
      </c>
      <c r="H133" s="18"/>
      <c r="I133" s="6"/>
      <c r="J133" s="19"/>
    </row>
    <row r="134" spans="1:10" ht="13.5" customHeight="1">
      <c r="A134" s="18" t="s">
        <v>40</v>
      </c>
      <c r="B134" s="6"/>
      <c r="C134" s="6"/>
      <c r="D134" s="2" t="s">
        <v>25</v>
      </c>
      <c r="E134" s="17" t="s">
        <v>62</v>
      </c>
      <c r="F134" s="2">
        <v>7</v>
      </c>
      <c r="G134" s="2">
        <v>292</v>
      </c>
      <c r="H134" s="18"/>
      <c r="I134" s="6"/>
      <c r="J134" s="19"/>
    </row>
    <row r="135" spans="1:10" ht="13.5" customHeight="1">
      <c r="A135" s="204" t="s">
        <v>63</v>
      </c>
      <c r="B135" s="205"/>
      <c r="C135" s="206"/>
      <c r="D135" s="229">
        <f>SUM(D128:D134)</f>
        <v>15392</v>
      </c>
      <c r="E135" s="1" t="s">
        <v>58</v>
      </c>
      <c r="F135" s="1"/>
      <c r="G135" s="2" t="s">
        <v>25</v>
      </c>
      <c r="H135" s="18"/>
      <c r="I135" s="6"/>
      <c r="J135" s="19"/>
    </row>
    <row r="136" spans="1:10" ht="13.5" customHeight="1">
      <c r="A136" s="207"/>
      <c r="B136" s="197"/>
      <c r="C136" s="208"/>
      <c r="D136" s="230"/>
      <c r="E136" s="21" t="s">
        <v>21</v>
      </c>
      <c r="F136" s="22"/>
      <c r="G136" s="13">
        <f>SUM(G128:G135)</f>
        <v>1392</v>
      </c>
      <c r="H136" s="21" t="s">
        <v>44</v>
      </c>
      <c r="I136" s="22"/>
      <c r="J136" s="13">
        <f>D135-G136</f>
        <v>14000</v>
      </c>
    </row>
    <row r="137" spans="1:10" ht="13.5" customHeight="1">
      <c r="A137" s="3" t="s">
        <v>45</v>
      </c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3.5" customHeight="1">
      <c r="A139" s="3"/>
      <c r="B139" s="3" t="s">
        <v>47</v>
      </c>
      <c r="C139" s="3"/>
      <c r="D139" s="3"/>
      <c r="E139" s="3" t="s">
        <v>48</v>
      </c>
      <c r="F139" s="3"/>
      <c r="G139" s="3"/>
      <c r="H139" s="3" t="s">
        <v>49</v>
      </c>
      <c r="I139" s="3"/>
      <c r="J139" s="3"/>
    </row>
    <row r="140" spans="1:10" ht="13.5" customHeight="1">
      <c r="A140" s="184" t="s">
        <v>0</v>
      </c>
      <c r="B140" s="185"/>
      <c r="C140" s="185"/>
      <c r="D140" s="185"/>
      <c r="E140" s="185"/>
      <c r="F140" s="185"/>
      <c r="G140" s="185"/>
      <c r="H140" s="185"/>
      <c r="I140" s="185"/>
      <c r="J140" s="186"/>
    </row>
    <row r="141" spans="1:10" ht="13.5" customHeight="1">
      <c r="A141" s="187" t="s">
        <v>1</v>
      </c>
      <c r="B141" s="188"/>
      <c r="C141" s="188"/>
      <c r="D141" s="188"/>
      <c r="E141" s="188"/>
      <c r="F141" s="188"/>
      <c r="G141" s="188"/>
      <c r="H141" s="188"/>
      <c r="I141" s="188"/>
      <c r="J141" s="189"/>
    </row>
    <row r="142" spans="1:10" ht="13.5" customHeight="1">
      <c r="A142" s="1" t="s">
        <v>2</v>
      </c>
      <c r="B142" s="1"/>
      <c r="C142" s="194"/>
      <c r="D142" s="194"/>
      <c r="E142" s="2"/>
      <c r="F142" s="3"/>
      <c r="G142" s="1" t="s">
        <v>4</v>
      </c>
      <c r="H142" s="191" t="s">
        <v>5</v>
      </c>
      <c r="I142" s="191"/>
      <c r="J142" s="191"/>
    </row>
    <row r="143" spans="1:10" ht="13.5" customHeight="1">
      <c r="A143" s="1" t="s">
        <v>6</v>
      </c>
      <c r="B143" s="1"/>
      <c r="C143" s="25" t="s">
        <v>831</v>
      </c>
      <c r="D143" s="25"/>
      <c r="E143" s="2"/>
      <c r="F143" s="3"/>
      <c r="G143" s="1" t="s">
        <v>8</v>
      </c>
      <c r="H143" s="193" t="s">
        <v>9</v>
      </c>
      <c r="I143" s="193"/>
      <c r="J143" s="193"/>
    </row>
    <row r="144" spans="1:10" ht="13.5" customHeight="1">
      <c r="A144" s="6" t="s">
        <v>10</v>
      </c>
      <c r="B144" s="6"/>
      <c r="C144" s="194" t="s">
        <v>825</v>
      </c>
      <c r="D144" s="194"/>
      <c r="E144" s="2"/>
      <c r="F144" s="3"/>
      <c r="G144" s="1" t="s">
        <v>12</v>
      </c>
      <c r="H144" s="195" t="s">
        <v>13</v>
      </c>
      <c r="I144" s="195"/>
      <c r="J144" s="195"/>
    </row>
    <row r="145" spans="1:10" ht="13.5" customHeight="1">
      <c r="A145" s="2" t="s">
        <v>14</v>
      </c>
      <c r="B145" s="2"/>
      <c r="C145" s="1" t="s">
        <v>15</v>
      </c>
      <c r="D145" s="1"/>
      <c r="E145" s="2"/>
      <c r="F145" s="3"/>
      <c r="G145" s="1" t="s">
        <v>16</v>
      </c>
      <c r="H145" s="209" t="s">
        <v>140</v>
      </c>
      <c r="I145" s="209"/>
      <c r="J145" s="209"/>
    </row>
    <row r="146" spans="1:10" ht="13.5" customHeight="1">
      <c r="A146" s="2">
        <v>30</v>
      </c>
      <c r="B146" s="2"/>
      <c r="C146" s="2">
        <f>A146-H146</f>
        <v>0</v>
      </c>
      <c r="D146" s="2"/>
      <c r="E146" s="2"/>
      <c r="F146" s="3"/>
      <c r="G146" s="8" t="s">
        <v>18</v>
      </c>
      <c r="H146" s="197">
        <v>30</v>
      </c>
      <c r="I146" s="197"/>
      <c r="J146" s="197"/>
    </row>
    <row r="147" spans="1:10" ht="13.5" customHeight="1">
      <c r="A147" s="198" t="s">
        <v>19</v>
      </c>
      <c r="B147" s="199"/>
      <c r="C147" s="200"/>
      <c r="D147" s="13" t="s">
        <v>20</v>
      </c>
      <c r="E147" s="14" t="s">
        <v>21</v>
      </c>
      <c r="F147" s="15"/>
      <c r="G147" s="16" t="s">
        <v>20</v>
      </c>
      <c r="H147" s="201" t="s">
        <v>22</v>
      </c>
      <c r="I147" s="202"/>
      <c r="J147" s="203"/>
    </row>
    <row r="148" spans="1:10" ht="13.5" customHeight="1">
      <c r="A148" s="17" t="s">
        <v>23</v>
      </c>
      <c r="B148" s="1"/>
      <c r="C148" s="1"/>
      <c r="D148" s="2">
        <v>15000</v>
      </c>
      <c r="E148" s="17" t="s">
        <v>24</v>
      </c>
      <c r="F148" s="1"/>
      <c r="G148" s="2" t="s">
        <v>25</v>
      </c>
      <c r="H148" s="18" t="s">
        <v>502</v>
      </c>
      <c r="I148" s="6"/>
      <c r="J148" s="19"/>
    </row>
    <row r="149" spans="1:10" ht="13.5" customHeight="1">
      <c r="A149" s="17" t="s">
        <v>77</v>
      </c>
      <c r="B149" s="209"/>
      <c r="C149" s="209"/>
      <c r="D149" s="2" t="s">
        <v>25</v>
      </c>
      <c r="E149" s="17" t="s">
        <v>156</v>
      </c>
      <c r="F149" s="1"/>
      <c r="G149" s="2" t="s">
        <v>25</v>
      </c>
      <c r="H149" s="18" t="s">
        <v>504</v>
      </c>
      <c r="I149" s="6"/>
      <c r="J149" s="19"/>
    </row>
    <row r="150" spans="1:10" ht="13.5" customHeight="1">
      <c r="A150" s="17" t="s">
        <v>72</v>
      </c>
      <c r="B150" s="1"/>
      <c r="C150" s="1"/>
      <c r="D150" s="2" t="s">
        <v>25</v>
      </c>
      <c r="E150" s="17" t="s">
        <v>28</v>
      </c>
      <c r="F150" s="1"/>
      <c r="G150" s="2" t="s">
        <v>25</v>
      </c>
      <c r="H150" s="18" t="s">
        <v>32</v>
      </c>
      <c r="I150" s="6"/>
      <c r="J150" s="19"/>
    </row>
    <row r="151" spans="1:10" ht="13.5" customHeight="1">
      <c r="A151" s="17" t="s">
        <v>34</v>
      </c>
      <c r="B151" s="1"/>
      <c r="C151" s="1"/>
      <c r="D151" s="2">
        <v>192</v>
      </c>
      <c r="E151" s="17" t="s">
        <v>35</v>
      </c>
      <c r="F151" s="1"/>
      <c r="G151" s="2" t="s">
        <v>25</v>
      </c>
      <c r="H151" s="18"/>
      <c r="I151" s="6"/>
      <c r="J151" s="19"/>
    </row>
    <row r="152" spans="1:10" ht="13.5" customHeight="1">
      <c r="A152" s="17" t="s">
        <v>110</v>
      </c>
      <c r="B152" s="1"/>
      <c r="C152" s="1"/>
      <c r="D152" s="2" t="s">
        <v>25</v>
      </c>
      <c r="E152" s="17" t="s">
        <v>61</v>
      </c>
      <c r="F152" s="1"/>
      <c r="G152" s="2" t="s">
        <v>25</v>
      </c>
      <c r="H152" s="18"/>
      <c r="I152" s="6"/>
      <c r="J152" s="19"/>
    </row>
    <row r="153" spans="1:10" ht="13.5" customHeight="1">
      <c r="A153" s="17" t="s">
        <v>78</v>
      </c>
      <c r="B153" s="1"/>
      <c r="C153" s="1"/>
      <c r="D153" s="2" t="s">
        <v>25</v>
      </c>
      <c r="E153" s="17" t="s">
        <v>39</v>
      </c>
      <c r="F153" s="1"/>
      <c r="G153" s="2">
        <v>100</v>
      </c>
      <c r="H153" s="18"/>
      <c r="I153" s="6"/>
      <c r="J153" s="19"/>
    </row>
    <row r="154" spans="1:10" ht="13.5" customHeight="1">
      <c r="A154" s="18" t="s">
        <v>40</v>
      </c>
      <c r="B154" s="6"/>
      <c r="C154" s="6"/>
      <c r="D154" s="2" t="s">
        <v>25</v>
      </c>
      <c r="E154" s="17" t="s">
        <v>62</v>
      </c>
      <c r="F154" s="2">
        <v>7</v>
      </c>
      <c r="G154" s="2">
        <v>292</v>
      </c>
      <c r="H154" s="18"/>
      <c r="I154" s="6"/>
      <c r="J154" s="19"/>
    </row>
    <row r="155" spans="1:10" ht="13.5" customHeight="1">
      <c r="A155" s="204" t="s">
        <v>63</v>
      </c>
      <c r="B155" s="205"/>
      <c r="C155" s="206"/>
      <c r="D155" s="229">
        <f>SUM(D148:D154)</f>
        <v>15192</v>
      </c>
      <c r="E155" s="1" t="s">
        <v>58</v>
      </c>
      <c r="F155" s="1"/>
      <c r="G155" s="2" t="s">
        <v>25</v>
      </c>
      <c r="H155" s="18"/>
      <c r="I155" s="6"/>
      <c r="J155" s="19"/>
    </row>
    <row r="156" spans="1:10" ht="13.5" customHeight="1">
      <c r="A156" s="207"/>
      <c r="B156" s="197"/>
      <c r="C156" s="208"/>
      <c r="D156" s="230"/>
      <c r="E156" s="21" t="s">
        <v>21</v>
      </c>
      <c r="F156" s="22"/>
      <c r="G156" s="13">
        <f>SUM(G148:G155)</f>
        <v>392</v>
      </c>
      <c r="H156" s="21" t="s">
        <v>44</v>
      </c>
      <c r="I156" s="22"/>
      <c r="J156" s="13">
        <f>D155-G156</f>
        <v>14800</v>
      </c>
    </row>
    <row r="157" spans="1:10" ht="13.5" customHeight="1">
      <c r="A157" s="3" t="s">
        <v>45</v>
      </c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3.5" customHeight="1">
      <c r="A159" s="3"/>
      <c r="B159" s="3" t="s">
        <v>47</v>
      </c>
      <c r="C159" s="3"/>
      <c r="D159" s="3"/>
      <c r="E159" s="3" t="s">
        <v>48</v>
      </c>
      <c r="F159" s="3"/>
      <c r="G159" s="3"/>
      <c r="H159" s="3" t="s">
        <v>49</v>
      </c>
      <c r="I159" s="3"/>
      <c r="J159" s="3"/>
    </row>
    <row r="160" spans="1:10" ht="13.5" customHeight="1">
      <c r="A160" s="184" t="s">
        <v>0</v>
      </c>
      <c r="B160" s="185"/>
      <c r="C160" s="185"/>
      <c r="D160" s="185"/>
      <c r="E160" s="185"/>
      <c r="F160" s="185"/>
      <c r="G160" s="185"/>
      <c r="H160" s="185"/>
      <c r="I160" s="185"/>
      <c r="J160" s="186"/>
    </row>
    <row r="161" spans="1:10" ht="13.5" customHeight="1">
      <c r="A161" s="187" t="s">
        <v>1</v>
      </c>
      <c r="B161" s="188"/>
      <c r="C161" s="188"/>
      <c r="D161" s="188"/>
      <c r="E161" s="188"/>
      <c r="F161" s="188"/>
      <c r="G161" s="188"/>
      <c r="H161" s="188"/>
      <c r="I161" s="188"/>
      <c r="J161" s="189"/>
    </row>
    <row r="162" spans="1:10" ht="13.5" customHeight="1">
      <c r="A162" s="1" t="s">
        <v>2</v>
      </c>
      <c r="B162" s="1"/>
      <c r="C162" s="194"/>
      <c r="D162" s="194"/>
      <c r="E162" s="2"/>
      <c r="F162" s="3"/>
      <c r="G162" s="1" t="s">
        <v>4</v>
      </c>
      <c r="H162" s="191" t="s">
        <v>5</v>
      </c>
      <c r="I162" s="191"/>
      <c r="J162" s="191"/>
    </row>
    <row r="163" spans="1:10" ht="13.5" customHeight="1">
      <c r="A163" s="1" t="s">
        <v>6</v>
      </c>
      <c r="B163" s="1"/>
      <c r="C163" s="25" t="s">
        <v>832</v>
      </c>
      <c r="D163" s="25"/>
      <c r="E163" s="2"/>
      <c r="F163" s="3"/>
      <c r="G163" s="1" t="s">
        <v>8</v>
      </c>
      <c r="H163" s="193" t="s">
        <v>9</v>
      </c>
      <c r="I163" s="193"/>
      <c r="J163" s="193"/>
    </row>
    <row r="164" spans="1:10" ht="13.5" customHeight="1">
      <c r="A164" s="6" t="s">
        <v>10</v>
      </c>
      <c r="B164" s="6"/>
      <c r="C164" s="194" t="s">
        <v>825</v>
      </c>
      <c r="D164" s="194"/>
      <c r="E164" s="2"/>
      <c r="F164" s="3"/>
      <c r="G164" s="1" t="s">
        <v>12</v>
      </c>
      <c r="H164" s="195" t="s">
        <v>13</v>
      </c>
      <c r="I164" s="195"/>
      <c r="J164" s="195"/>
    </row>
    <row r="165" spans="1:10" ht="13.5" customHeight="1">
      <c r="A165" s="2" t="s">
        <v>14</v>
      </c>
      <c r="B165" s="2"/>
      <c r="C165" s="1" t="s">
        <v>15</v>
      </c>
      <c r="D165" s="1"/>
      <c r="E165" s="2"/>
      <c r="F165" s="3"/>
      <c r="G165" s="1" t="s">
        <v>16</v>
      </c>
      <c r="H165" s="209" t="s">
        <v>55</v>
      </c>
      <c r="I165" s="209"/>
      <c r="J165" s="209"/>
    </row>
    <row r="166" spans="1:10" ht="13.5" customHeight="1">
      <c r="A166" s="2">
        <v>30</v>
      </c>
      <c r="B166" s="2"/>
      <c r="C166" s="2">
        <f>A166-H166</f>
        <v>20</v>
      </c>
      <c r="D166" s="2"/>
      <c r="E166" s="2"/>
      <c r="F166" s="3"/>
      <c r="G166" s="8" t="s">
        <v>18</v>
      </c>
      <c r="H166" s="197">
        <v>10</v>
      </c>
      <c r="I166" s="197"/>
      <c r="J166" s="197"/>
    </row>
    <row r="167" spans="1:10" ht="13.5" customHeight="1">
      <c r="A167" s="198" t="s">
        <v>19</v>
      </c>
      <c r="B167" s="199"/>
      <c r="C167" s="200"/>
      <c r="D167" s="13" t="s">
        <v>20</v>
      </c>
      <c r="E167" s="14" t="s">
        <v>21</v>
      </c>
      <c r="F167" s="15"/>
      <c r="G167" s="16" t="s">
        <v>20</v>
      </c>
      <c r="H167" s="201" t="s">
        <v>22</v>
      </c>
      <c r="I167" s="202"/>
      <c r="J167" s="203"/>
    </row>
    <row r="168" spans="1:10" ht="13.5" customHeight="1">
      <c r="A168" s="17" t="s">
        <v>23</v>
      </c>
      <c r="B168" s="1"/>
      <c r="C168" s="1"/>
      <c r="D168" s="2">
        <v>15000</v>
      </c>
      <c r="E168" s="17" t="s">
        <v>24</v>
      </c>
      <c r="F168" s="1"/>
      <c r="G168" s="2" t="s">
        <v>25</v>
      </c>
      <c r="H168" s="18" t="s">
        <v>502</v>
      </c>
      <c r="I168" s="6"/>
      <c r="J168" s="19"/>
    </row>
    <row r="169" spans="1:10" ht="13.5" customHeight="1">
      <c r="A169" s="17" t="s">
        <v>77</v>
      </c>
      <c r="B169" s="209"/>
      <c r="C169" s="209"/>
      <c r="D169" s="2" t="s">
        <v>25</v>
      </c>
      <c r="E169" s="17" t="s">
        <v>156</v>
      </c>
      <c r="F169" s="1"/>
      <c r="G169" s="2" t="s">
        <v>25</v>
      </c>
      <c r="H169" s="18" t="s">
        <v>504</v>
      </c>
      <c r="I169" s="6"/>
      <c r="J169" s="19"/>
    </row>
    <row r="170" spans="1:10" ht="13.5" customHeight="1">
      <c r="A170" s="17" t="s">
        <v>72</v>
      </c>
      <c r="B170" s="1"/>
      <c r="C170" s="1"/>
      <c r="D170" s="2" t="s">
        <v>25</v>
      </c>
      <c r="E170" s="17" t="s">
        <v>28</v>
      </c>
      <c r="F170" s="1"/>
      <c r="G170" s="2" t="s">
        <v>25</v>
      </c>
      <c r="H170" s="18" t="s">
        <v>32</v>
      </c>
      <c r="I170" s="6"/>
      <c r="J170" s="19"/>
    </row>
    <row r="171" spans="1:10" ht="13.5" customHeight="1">
      <c r="A171" s="17" t="s">
        <v>34</v>
      </c>
      <c r="B171" s="1"/>
      <c r="C171" s="1"/>
      <c r="D171" s="2">
        <v>1600</v>
      </c>
      <c r="E171" s="17" t="s">
        <v>35</v>
      </c>
      <c r="F171" s="1"/>
      <c r="G171" s="2">
        <v>10000</v>
      </c>
      <c r="H171" s="18"/>
      <c r="I171" s="6"/>
      <c r="J171" s="19"/>
    </row>
    <row r="172" spans="1:10" ht="13.5" customHeight="1">
      <c r="A172" s="17" t="s">
        <v>110</v>
      </c>
      <c r="B172" s="1"/>
      <c r="C172" s="1"/>
      <c r="D172" s="2" t="s">
        <v>25</v>
      </c>
      <c r="E172" s="17" t="s">
        <v>61</v>
      </c>
      <c r="F172" s="1"/>
      <c r="G172" s="2" t="s">
        <v>25</v>
      </c>
      <c r="H172" s="18" t="s">
        <v>833</v>
      </c>
      <c r="I172" s="6"/>
      <c r="J172" s="19"/>
    </row>
    <row r="173" spans="1:10" ht="13.5" customHeight="1">
      <c r="A173" s="17" t="s">
        <v>78</v>
      </c>
      <c r="B173" s="1"/>
      <c r="C173" s="1"/>
      <c r="D173" s="2" t="s">
        <v>25</v>
      </c>
      <c r="E173" s="17" t="s">
        <v>39</v>
      </c>
      <c r="F173" s="1"/>
      <c r="G173" s="2">
        <v>100</v>
      </c>
      <c r="H173" s="18"/>
      <c r="I173" s="6"/>
      <c r="J173" s="19"/>
    </row>
    <row r="174" spans="1:10" ht="13.5" customHeight="1">
      <c r="A174" s="18" t="s">
        <v>40</v>
      </c>
      <c r="B174" s="6"/>
      <c r="C174" s="6"/>
      <c r="D174" s="2" t="s">
        <v>25</v>
      </c>
      <c r="E174" s="17" t="s">
        <v>62</v>
      </c>
      <c r="F174" s="2"/>
      <c r="G174" s="2" t="s">
        <v>25</v>
      </c>
      <c r="H174" s="18"/>
      <c r="I174" s="6"/>
      <c r="J174" s="19"/>
    </row>
    <row r="175" spans="1:10" ht="13.5" customHeight="1">
      <c r="A175" s="204" t="s">
        <v>63</v>
      </c>
      <c r="B175" s="205"/>
      <c r="C175" s="206"/>
      <c r="D175" s="229">
        <f>SUM(D168:D174)</f>
        <v>16600</v>
      </c>
      <c r="E175" s="1" t="s">
        <v>58</v>
      </c>
      <c r="F175" s="1"/>
      <c r="G175" s="2" t="s">
        <v>25</v>
      </c>
      <c r="H175" s="18"/>
      <c r="I175" s="6"/>
      <c r="J175" s="19"/>
    </row>
    <row r="176" spans="1:10" ht="13.5" customHeight="1">
      <c r="A176" s="207"/>
      <c r="B176" s="197"/>
      <c r="C176" s="208"/>
      <c r="D176" s="230"/>
      <c r="E176" s="21" t="s">
        <v>21</v>
      </c>
      <c r="F176" s="22"/>
      <c r="G176" s="13">
        <f>SUM(G168:G175)</f>
        <v>10100</v>
      </c>
      <c r="H176" s="21" t="s">
        <v>44</v>
      </c>
      <c r="I176" s="22"/>
      <c r="J176" s="13">
        <f>D175-G176</f>
        <v>6500</v>
      </c>
    </row>
    <row r="177" spans="1:10" ht="13.5" customHeight="1">
      <c r="A177" s="3" t="s">
        <v>45</v>
      </c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3.5" customHeight="1">
      <c r="A179" s="3"/>
      <c r="B179" s="3" t="s">
        <v>47</v>
      </c>
      <c r="C179" s="3"/>
      <c r="D179" s="3"/>
      <c r="E179" s="3" t="s">
        <v>48</v>
      </c>
      <c r="F179" s="3"/>
      <c r="G179" s="3"/>
      <c r="H179" s="3" t="s">
        <v>49</v>
      </c>
      <c r="I179" s="3"/>
      <c r="J179" s="3"/>
    </row>
    <row r="180" spans="1:10" ht="13.5" customHeight="1">
      <c r="A180" s="184" t="s">
        <v>0</v>
      </c>
      <c r="B180" s="185"/>
      <c r="C180" s="185"/>
      <c r="D180" s="185"/>
      <c r="E180" s="185"/>
      <c r="F180" s="185"/>
      <c r="G180" s="185"/>
      <c r="H180" s="185"/>
      <c r="I180" s="185"/>
      <c r="J180" s="186"/>
    </row>
    <row r="181" spans="1:10" ht="13.5" customHeight="1">
      <c r="A181" s="187" t="s">
        <v>1</v>
      </c>
      <c r="B181" s="188"/>
      <c r="C181" s="188"/>
      <c r="D181" s="188"/>
      <c r="E181" s="188"/>
      <c r="F181" s="188"/>
      <c r="G181" s="188"/>
      <c r="H181" s="188"/>
      <c r="I181" s="188"/>
      <c r="J181" s="189"/>
    </row>
    <row r="182" spans="1:10" ht="13.5" customHeight="1">
      <c r="A182" s="1" t="s">
        <v>2</v>
      </c>
      <c r="B182" s="1"/>
      <c r="C182" s="194"/>
      <c r="D182" s="194"/>
      <c r="E182" s="2"/>
      <c r="F182" s="3"/>
      <c r="G182" s="1" t="s">
        <v>4</v>
      </c>
      <c r="H182" s="191" t="s">
        <v>5</v>
      </c>
      <c r="I182" s="191"/>
      <c r="J182" s="191"/>
    </row>
    <row r="183" spans="1:10" ht="13.5" customHeight="1">
      <c r="A183" s="1" t="s">
        <v>6</v>
      </c>
      <c r="B183" s="1"/>
      <c r="C183" s="192" t="s">
        <v>834</v>
      </c>
      <c r="D183" s="192"/>
      <c r="E183" s="2"/>
      <c r="F183" s="3"/>
      <c r="G183" s="1" t="s">
        <v>8</v>
      </c>
      <c r="H183" s="193" t="s">
        <v>9</v>
      </c>
      <c r="I183" s="193"/>
      <c r="J183" s="193"/>
    </row>
    <row r="184" spans="1:10" ht="13.5" customHeight="1">
      <c r="A184" s="6" t="s">
        <v>10</v>
      </c>
      <c r="B184" s="6"/>
      <c r="C184" s="194" t="s">
        <v>825</v>
      </c>
      <c r="D184" s="194"/>
      <c r="E184" s="2"/>
      <c r="F184" s="3"/>
      <c r="G184" s="1" t="s">
        <v>12</v>
      </c>
      <c r="H184" s="195" t="s">
        <v>13</v>
      </c>
      <c r="I184" s="195"/>
      <c r="J184" s="195"/>
    </row>
    <row r="185" spans="1:10" ht="13.5" customHeight="1">
      <c r="A185" s="2" t="s">
        <v>14</v>
      </c>
      <c r="B185" s="2"/>
      <c r="C185" s="2" t="s">
        <v>15</v>
      </c>
      <c r="D185" s="2"/>
      <c r="E185" s="2"/>
      <c r="F185" s="3"/>
      <c r="G185" s="1" t="s">
        <v>16</v>
      </c>
      <c r="H185" s="196" t="s">
        <v>55</v>
      </c>
      <c r="I185" s="196"/>
      <c r="J185" s="196"/>
    </row>
    <row r="186" spans="1:10" ht="13.5" customHeight="1">
      <c r="A186" s="2">
        <v>30</v>
      </c>
      <c r="B186" s="2"/>
      <c r="C186" s="2">
        <f>A186-H186</f>
        <v>0</v>
      </c>
      <c r="D186" s="2"/>
      <c r="E186" s="2"/>
      <c r="F186" s="3"/>
      <c r="G186" s="8" t="s">
        <v>18</v>
      </c>
      <c r="H186" s="197">
        <v>30</v>
      </c>
      <c r="I186" s="197"/>
      <c r="J186" s="197"/>
    </row>
    <row r="187" spans="1:10" ht="13.5" customHeight="1">
      <c r="A187" s="198" t="s">
        <v>19</v>
      </c>
      <c r="B187" s="199"/>
      <c r="C187" s="200"/>
      <c r="D187" s="13" t="s">
        <v>20</v>
      </c>
      <c r="E187" s="14" t="s">
        <v>21</v>
      </c>
      <c r="F187" s="15"/>
      <c r="G187" s="16" t="s">
        <v>20</v>
      </c>
      <c r="H187" s="201" t="s">
        <v>22</v>
      </c>
      <c r="I187" s="202"/>
      <c r="J187" s="203"/>
    </row>
    <row r="188" spans="1:10" ht="13.5" customHeight="1">
      <c r="A188" s="17" t="s">
        <v>23</v>
      </c>
      <c r="B188" s="1"/>
      <c r="C188" s="1"/>
      <c r="D188" s="2">
        <v>15000</v>
      </c>
      <c r="E188" s="17" t="s">
        <v>24</v>
      </c>
      <c r="F188" s="1"/>
      <c r="G188" s="2" t="s">
        <v>25</v>
      </c>
      <c r="H188" s="18" t="s">
        <v>502</v>
      </c>
      <c r="I188" s="6"/>
      <c r="J188" s="19"/>
    </row>
    <row r="189" spans="1:10" ht="13.5" customHeight="1">
      <c r="A189" s="17" t="s">
        <v>77</v>
      </c>
      <c r="B189" s="209"/>
      <c r="C189" s="209"/>
      <c r="D189" s="2" t="s">
        <v>25</v>
      </c>
      <c r="E189" s="17" t="s">
        <v>58</v>
      </c>
      <c r="F189" s="1"/>
      <c r="G189" s="2" t="s">
        <v>25</v>
      </c>
      <c r="H189" s="18" t="s">
        <v>504</v>
      </c>
      <c r="I189" s="6"/>
      <c r="J189" s="19"/>
    </row>
    <row r="190" spans="1:10" ht="13.5" customHeight="1">
      <c r="A190" s="17" t="s">
        <v>30</v>
      </c>
      <c r="B190" s="1"/>
      <c r="C190" s="1"/>
      <c r="D190" s="2">
        <v>600</v>
      </c>
      <c r="E190" s="17" t="s">
        <v>40</v>
      </c>
      <c r="F190" s="1"/>
      <c r="G190" s="2" t="s">
        <v>25</v>
      </c>
      <c r="H190" s="18" t="s">
        <v>32</v>
      </c>
      <c r="I190" s="6"/>
      <c r="J190" s="19"/>
    </row>
    <row r="191" spans="1:10" ht="13.5" customHeight="1">
      <c r="A191" s="17" t="s">
        <v>34</v>
      </c>
      <c r="B191" s="1"/>
      <c r="C191" s="1"/>
      <c r="D191" s="2" t="s">
        <v>25</v>
      </c>
      <c r="E191" s="17" t="s">
        <v>71</v>
      </c>
      <c r="F191" s="1"/>
      <c r="G191" s="2" t="s">
        <v>25</v>
      </c>
      <c r="H191" s="18"/>
      <c r="I191" s="36"/>
      <c r="J191" s="19"/>
    </row>
    <row r="192" spans="1:10" ht="13.5" customHeight="1">
      <c r="A192" s="17" t="s">
        <v>72</v>
      </c>
      <c r="B192" s="1"/>
      <c r="C192" s="1"/>
      <c r="D192" s="2" t="s">
        <v>25</v>
      </c>
      <c r="E192" s="17" t="s">
        <v>1108</v>
      </c>
      <c r="F192" s="1"/>
      <c r="G192" s="2">
        <v>1000</v>
      </c>
      <c r="H192" s="42"/>
      <c r="I192" s="36"/>
      <c r="J192" s="43"/>
    </row>
    <row r="193" spans="1:10" ht="13.5" customHeight="1">
      <c r="A193" s="17" t="s">
        <v>78</v>
      </c>
      <c r="B193" s="1"/>
      <c r="C193" s="1"/>
      <c r="D193" s="2" t="s">
        <v>25</v>
      </c>
      <c r="E193" s="17" t="s">
        <v>39</v>
      </c>
      <c r="F193" s="1"/>
      <c r="G193" s="2">
        <v>100</v>
      </c>
      <c r="H193" s="44"/>
      <c r="I193" s="36"/>
      <c r="J193" s="43"/>
    </row>
    <row r="194" spans="1:10" ht="13.5" customHeight="1">
      <c r="A194" s="18" t="s">
        <v>40</v>
      </c>
      <c r="B194" s="6"/>
      <c r="C194" s="6"/>
      <c r="D194" s="2" t="s">
        <v>25</v>
      </c>
      <c r="E194" s="17" t="s">
        <v>41</v>
      </c>
      <c r="F194" s="1"/>
      <c r="G194" s="2" t="s">
        <v>25</v>
      </c>
      <c r="H194" s="42"/>
      <c r="I194" s="36"/>
      <c r="J194" s="43"/>
    </row>
    <row r="195" spans="1:10" ht="13.5" customHeight="1">
      <c r="A195" s="204" t="s">
        <v>63</v>
      </c>
      <c r="B195" s="205"/>
      <c r="C195" s="206"/>
      <c r="D195" s="229">
        <f>SUM(D188:D194)</f>
        <v>15600</v>
      </c>
      <c r="E195" s="1" t="s">
        <v>78</v>
      </c>
      <c r="F195" s="1"/>
      <c r="G195" s="2" t="s">
        <v>25</v>
      </c>
      <c r="H195" s="18"/>
      <c r="I195" s="6"/>
      <c r="J195" s="19"/>
    </row>
    <row r="196" spans="1:10" ht="13.5" customHeight="1">
      <c r="A196" s="207"/>
      <c r="B196" s="197"/>
      <c r="C196" s="208"/>
      <c r="D196" s="230"/>
      <c r="E196" s="21" t="s">
        <v>21</v>
      </c>
      <c r="F196" s="22"/>
      <c r="G196" s="13">
        <f>SUM(G188:G195)</f>
        <v>1100</v>
      </c>
      <c r="H196" s="21" t="s">
        <v>44</v>
      </c>
      <c r="I196" s="22"/>
      <c r="J196" s="13">
        <f>D195-G196</f>
        <v>14500</v>
      </c>
    </row>
    <row r="197" spans="1:10" ht="13.5" customHeight="1">
      <c r="A197" s="3" t="s">
        <v>45</v>
      </c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3.5" customHeight="1">
      <c r="A199" s="3"/>
      <c r="B199" s="3" t="s">
        <v>47</v>
      </c>
      <c r="C199" s="3"/>
      <c r="D199" s="3"/>
      <c r="E199" s="3" t="s">
        <v>48</v>
      </c>
      <c r="F199" s="3"/>
      <c r="G199" s="3"/>
      <c r="H199" s="3" t="s">
        <v>49</v>
      </c>
      <c r="I199" s="3"/>
      <c r="J199" s="3"/>
    </row>
    <row r="200" spans="1:10" ht="13.5" customHeight="1">
      <c r="A200" s="184" t="s">
        <v>0</v>
      </c>
      <c r="B200" s="185"/>
      <c r="C200" s="185"/>
      <c r="D200" s="185"/>
      <c r="E200" s="185"/>
      <c r="F200" s="185"/>
      <c r="G200" s="185"/>
      <c r="H200" s="185"/>
      <c r="I200" s="185"/>
      <c r="J200" s="186"/>
    </row>
    <row r="201" spans="1:10" ht="13.5" customHeight="1">
      <c r="A201" s="187" t="s">
        <v>1</v>
      </c>
      <c r="B201" s="188"/>
      <c r="C201" s="188"/>
      <c r="D201" s="188"/>
      <c r="E201" s="188"/>
      <c r="F201" s="188"/>
      <c r="G201" s="188"/>
      <c r="H201" s="188"/>
      <c r="I201" s="188"/>
      <c r="J201" s="189"/>
    </row>
    <row r="202" spans="1:10" ht="13.5" customHeight="1">
      <c r="A202" s="1" t="s">
        <v>2</v>
      </c>
      <c r="B202" s="1"/>
      <c r="C202" s="194"/>
      <c r="D202" s="194"/>
      <c r="E202" s="2"/>
      <c r="F202" s="3"/>
      <c r="G202" s="1" t="s">
        <v>4</v>
      </c>
      <c r="H202" s="191" t="s">
        <v>5</v>
      </c>
      <c r="I202" s="191"/>
      <c r="J202" s="191"/>
    </row>
    <row r="203" spans="1:10" ht="13.5" customHeight="1">
      <c r="A203" s="1" t="s">
        <v>6</v>
      </c>
      <c r="B203" s="1"/>
      <c r="C203" s="192" t="s">
        <v>835</v>
      </c>
      <c r="D203" s="192"/>
      <c r="E203" s="2"/>
      <c r="F203" s="3"/>
      <c r="G203" s="1" t="s">
        <v>8</v>
      </c>
      <c r="H203" s="193" t="s">
        <v>9</v>
      </c>
      <c r="I203" s="193"/>
      <c r="J203" s="193"/>
    </row>
    <row r="204" spans="1:10" ht="13.5" customHeight="1">
      <c r="A204" s="6" t="s">
        <v>10</v>
      </c>
      <c r="B204" s="6"/>
      <c r="C204" s="194" t="s">
        <v>825</v>
      </c>
      <c r="D204" s="194"/>
      <c r="E204" s="2"/>
      <c r="F204" s="3"/>
      <c r="G204" s="1" t="s">
        <v>12</v>
      </c>
      <c r="H204" s="195" t="s">
        <v>13</v>
      </c>
      <c r="I204" s="195"/>
      <c r="J204" s="195"/>
    </row>
    <row r="205" spans="1:10" ht="13.5" customHeight="1">
      <c r="A205" s="2" t="s">
        <v>14</v>
      </c>
      <c r="B205" s="2"/>
      <c r="C205" s="1" t="s">
        <v>15</v>
      </c>
      <c r="D205" s="1"/>
      <c r="E205" s="2"/>
      <c r="F205" s="3"/>
      <c r="G205" s="1" t="s">
        <v>16</v>
      </c>
      <c r="H205" s="209" t="s">
        <v>202</v>
      </c>
      <c r="I205" s="209"/>
      <c r="J205" s="209"/>
    </row>
    <row r="206" spans="1:10" ht="13.5" customHeight="1">
      <c r="A206" s="2">
        <v>30</v>
      </c>
      <c r="B206" s="2"/>
      <c r="C206" s="2">
        <f>A206-H206</f>
        <v>0</v>
      </c>
      <c r="D206" s="2"/>
      <c r="E206" s="2"/>
      <c r="F206" s="3"/>
      <c r="G206" s="8" t="s">
        <v>18</v>
      </c>
      <c r="H206" s="197">
        <v>30</v>
      </c>
      <c r="I206" s="197"/>
      <c r="J206" s="197"/>
    </row>
    <row r="207" spans="1:10" ht="13.5" customHeight="1">
      <c r="A207" s="198" t="s">
        <v>19</v>
      </c>
      <c r="B207" s="199"/>
      <c r="C207" s="200"/>
      <c r="D207" s="13" t="s">
        <v>20</v>
      </c>
      <c r="E207" s="14" t="s">
        <v>21</v>
      </c>
      <c r="F207" s="15"/>
      <c r="G207" s="16" t="s">
        <v>20</v>
      </c>
      <c r="H207" s="201" t="s">
        <v>22</v>
      </c>
      <c r="I207" s="202"/>
      <c r="J207" s="203"/>
    </row>
    <row r="208" spans="1:10" ht="13.5" customHeight="1">
      <c r="A208" s="17" t="s">
        <v>23</v>
      </c>
      <c r="B208" s="1"/>
      <c r="C208" s="1"/>
      <c r="D208" s="2">
        <v>15000</v>
      </c>
      <c r="E208" s="17" t="s">
        <v>24</v>
      </c>
      <c r="F208" s="1"/>
      <c r="G208" s="2" t="s">
        <v>25</v>
      </c>
      <c r="H208" s="18" t="s">
        <v>502</v>
      </c>
      <c r="I208" s="6"/>
      <c r="J208" s="19"/>
    </row>
    <row r="209" spans="1:10" ht="13.5" customHeight="1">
      <c r="A209" s="17" t="s">
        <v>77</v>
      </c>
      <c r="B209" s="209"/>
      <c r="C209" s="209"/>
      <c r="D209" s="2" t="s">
        <v>25</v>
      </c>
      <c r="E209" s="17" t="s">
        <v>58</v>
      </c>
      <c r="F209" s="1"/>
      <c r="G209" s="2" t="s">
        <v>25</v>
      </c>
      <c r="H209" s="18" t="s">
        <v>504</v>
      </c>
      <c r="I209" s="6"/>
      <c r="J209" s="19"/>
    </row>
    <row r="210" spans="1:10" ht="13.5" customHeight="1">
      <c r="A210" s="17" t="s">
        <v>72</v>
      </c>
      <c r="B210" s="1"/>
      <c r="C210" s="1"/>
      <c r="D210" s="2" t="s">
        <v>25</v>
      </c>
      <c r="E210" s="17" t="s">
        <v>28</v>
      </c>
      <c r="F210" s="1"/>
      <c r="G210" s="2" t="s">
        <v>25</v>
      </c>
      <c r="H210" s="18" t="s">
        <v>32</v>
      </c>
      <c r="I210" s="6"/>
      <c r="J210" s="19"/>
    </row>
    <row r="211" spans="1:10" ht="13.5" customHeight="1">
      <c r="A211" s="17" t="s">
        <v>34</v>
      </c>
      <c r="B211" s="1"/>
      <c r="C211" s="1"/>
      <c r="D211" s="2">
        <v>600</v>
      </c>
      <c r="E211" s="17" t="s">
        <v>35</v>
      </c>
      <c r="F211" s="1"/>
      <c r="G211" s="2" t="s">
        <v>25</v>
      </c>
      <c r="H211" s="18"/>
      <c r="I211" s="6"/>
      <c r="J211" s="19"/>
    </row>
    <row r="212" spans="1:10" ht="13.5" customHeight="1">
      <c r="A212" s="17" t="s">
        <v>110</v>
      </c>
      <c r="B212" s="1"/>
      <c r="C212" s="1"/>
      <c r="D212" s="2" t="s">
        <v>25</v>
      </c>
      <c r="E212" s="17" t="s">
        <v>61</v>
      </c>
      <c r="F212" s="1"/>
      <c r="G212" s="2" t="s">
        <v>25</v>
      </c>
      <c r="H212" s="18"/>
      <c r="I212" s="6"/>
      <c r="J212" s="40"/>
    </row>
    <row r="213" spans="1:10" ht="13.5" customHeight="1">
      <c r="A213" s="17" t="s">
        <v>78</v>
      </c>
      <c r="B213" s="1"/>
      <c r="C213" s="1"/>
      <c r="D213" s="2" t="s">
        <v>25</v>
      </c>
      <c r="E213" s="17" t="s">
        <v>39</v>
      </c>
      <c r="F213" s="1"/>
      <c r="G213" s="2">
        <v>100</v>
      </c>
      <c r="H213" s="18"/>
      <c r="I213" s="6"/>
      <c r="J213" s="19"/>
    </row>
    <row r="214" spans="1:10" ht="13.5" customHeight="1">
      <c r="A214" s="18" t="s">
        <v>40</v>
      </c>
      <c r="B214" s="6"/>
      <c r="C214" s="6"/>
      <c r="D214" s="2" t="s">
        <v>25</v>
      </c>
      <c r="E214" s="17" t="s">
        <v>78</v>
      </c>
      <c r="F214" s="1"/>
      <c r="G214" s="2" t="s">
        <v>25</v>
      </c>
      <c r="H214" s="18"/>
      <c r="I214" s="6"/>
      <c r="J214" s="40"/>
    </row>
    <row r="215" spans="1:10" ht="13.5" customHeight="1">
      <c r="A215" s="204" t="s">
        <v>63</v>
      </c>
      <c r="B215" s="205"/>
      <c r="C215" s="206"/>
      <c r="D215" s="229">
        <f>SUM(D208:D214)</f>
        <v>15600</v>
      </c>
      <c r="E215" s="1" t="s">
        <v>58</v>
      </c>
      <c r="F215" s="1"/>
      <c r="G215" s="2" t="s">
        <v>25</v>
      </c>
      <c r="H215" s="18"/>
      <c r="I215" s="6"/>
      <c r="J215" s="19"/>
    </row>
    <row r="216" spans="1:10" ht="13.5" customHeight="1">
      <c r="A216" s="207"/>
      <c r="B216" s="197"/>
      <c r="C216" s="208"/>
      <c r="D216" s="230"/>
      <c r="E216" s="21" t="s">
        <v>21</v>
      </c>
      <c r="F216" s="22"/>
      <c r="G216" s="13">
        <f>SUM(G208:G215)</f>
        <v>100</v>
      </c>
      <c r="H216" s="21" t="s">
        <v>44</v>
      </c>
      <c r="I216" s="22"/>
      <c r="J216" s="13">
        <f>D215-G216</f>
        <v>15500</v>
      </c>
    </row>
    <row r="217" spans="1:10" ht="13.5" customHeight="1">
      <c r="A217" s="3" t="s">
        <v>45</v>
      </c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3.5" customHeight="1">
      <c r="A219" s="3"/>
      <c r="B219" s="3" t="s">
        <v>47</v>
      </c>
      <c r="C219" s="3"/>
      <c r="D219" s="3"/>
      <c r="E219" s="3" t="s">
        <v>48</v>
      </c>
      <c r="F219" s="3"/>
      <c r="G219" s="3"/>
      <c r="H219" s="3" t="s">
        <v>49</v>
      </c>
      <c r="I219" s="3"/>
      <c r="J219" s="3"/>
    </row>
    <row r="220" spans="1:10" ht="13.5" customHeight="1">
      <c r="A220" s="184" t="s">
        <v>0</v>
      </c>
      <c r="B220" s="185"/>
      <c r="C220" s="185"/>
      <c r="D220" s="185"/>
      <c r="E220" s="185"/>
      <c r="F220" s="185"/>
      <c r="G220" s="185"/>
      <c r="H220" s="185"/>
      <c r="I220" s="185"/>
      <c r="J220" s="186"/>
    </row>
    <row r="221" spans="1:10" ht="13.5" customHeight="1">
      <c r="A221" s="187" t="s">
        <v>1</v>
      </c>
      <c r="B221" s="188"/>
      <c r="C221" s="188"/>
      <c r="D221" s="188"/>
      <c r="E221" s="188"/>
      <c r="F221" s="188"/>
      <c r="G221" s="188"/>
      <c r="H221" s="188"/>
      <c r="I221" s="188"/>
      <c r="J221" s="189"/>
    </row>
    <row r="222" spans="1:10" ht="13.5" customHeight="1">
      <c r="A222" s="1" t="s">
        <v>2</v>
      </c>
      <c r="B222" s="1"/>
      <c r="C222" s="194"/>
      <c r="D222" s="194"/>
      <c r="E222" s="2"/>
      <c r="F222" s="3"/>
      <c r="G222" s="1" t="s">
        <v>4</v>
      </c>
      <c r="H222" s="209" t="s">
        <v>143</v>
      </c>
      <c r="I222" s="209"/>
      <c r="J222" s="209"/>
    </row>
    <row r="223" spans="1:10" ht="13.5" customHeight="1">
      <c r="A223" s="1" t="s">
        <v>6</v>
      </c>
      <c r="B223" s="1"/>
      <c r="C223" s="192" t="s">
        <v>836</v>
      </c>
      <c r="D223" s="192"/>
      <c r="E223" s="2"/>
      <c r="F223" s="3"/>
      <c r="G223" s="1" t="s">
        <v>8</v>
      </c>
      <c r="H223" s="193" t="s">
        <v>9</v>
      </c>
      <c r="I223" s="193"/>
      <c r="J223" s="193"/>
    </row>
    <row r="224" spans="1:10" ht="13.5" customHeight="1">
      <c r="A224" s="6" t="s">
        <v>10</v>
      </c>
      <c r="B224" s="6"/>
      <c r="C224" s="194" t="s">
        <v>825</v>
      </c>
      <c r="D224" s="194"/>
      <c r="E224" s="2"/>
      <c r="F224" s="3"/>
      <c r="G224" s="1" t="s">
        <v>12</v>
      </c>
      <c r="H224" s="195" t="s">
        <v>13</v>
      </c>
      <c r="I224" s="195"/>
      <c r="J224" s="195"/>
    </row>
    <row r="225" spans="1:10" ht="13.5" customHeight="1">
      <c r="A225" s="2" t="s">
        <v>14</v>
      </c>
      <c r="B225" s="2"/>
      <c r="C225" s="2" t="s">
        <v>15</v>
      </c>
      <c r="D225" s="2"/>
      <c r="E225" s="2"/>
      <c r="F225" s="3"/>
      <c r="G225" s="1" t="s">
        <v>16</v>
      </c>
      <c r="H225" s="196" t="s">
        <v>55</v>
      </c>
      <c r="I225" s="196"/>
      <c r="J225" s="196"/>
    </row>
    <row r="226" spans="1:10" ht="13.5" customHeight="1">
      <c r="A226" s="2">
        <v>30</v>
      </c>
      <c r="B226" s="2"/>
      <c r="C226" s="2">
        <f>A226-H226</f>
        <v>0</v>
      </c>
      <c r="D226" s="2"/>
      <c r="E226" s="2"/>
      <c r="F226" s="3"/>
      <c r="G226" s="8" t="s">
        <v>18</v>
      </c>
      <c r="H226" s="197">
        <v>30</v>
      </c>
      <c r="I226" s="197"/>
      <c r="J226" s="197"/>
    </row>
    <row r="227" spans="1:10" ht="13.5" customHeight="1">
      <c r="A227" s="198" t="s">
        <v>19</v>
      </c>
      <c r="B227" s="199"/>
      <c r="C227" s="200"/>
      <c r="D227" s="13" t="s">
        <v>20</v>
      </c>
      <c r="E227" s="14" t="s">
        <v>21</v>
      </c>
      <c r="F227" s="15"/>
      <c r="G227" s="16" t="s">
        <v>20</v>
      </c>
      <c r="H227" s="201" t="s">
        <v>22</v>
      </c>
      <c r="I227" s="202"/>
      <c r="J227" s="203"/>
    </row>
    <row r="228" spans="1:10" ht="13.5" customHeight="1">
      <c r="A228" s="17" t="s">
        <v>23</v>
      </c>
      <c r="B228" s="1"/>
      <c r="C228" s="1"/>
      <c r="D228" s="2">
        <v>15000</v>
      </c>
      <c r="E228" s="17" t="s">
        <v>24</v>
      </c>
      <c r="F228" s="1"/>
      <c r="G228" s="2" t="s">
        <v>25</v>
      </c>
      <c r="H228" s="18" t="s">
        <v>502</v>
      </c>
      <c r="I228" s="6"/>
      <c r="J228" s="19"/>
    </row>
    <row r="229" spans="1:10" ht="13.5" customHeight="1">
      <c r="A229" s="17" t="s">
        <v>77</v>
      </c>
      <c r="B229" s="209"/>
      <c r="C229" s="209"/>
      <c r="D229" s="2" t="s">
        <v>25</v>
      </c>
      <c r="E229" s="17" t="s">
        <v>58</v>
      </c>
      <c r="F229" s="1"/>
      <c r="G229" s="2" t="s">
        <v>25</v>
      </c>
      <c r="H229" s="18" t="s">
        <v>504</v>
      </c>
      <c r="I229" s="6"/>
      <c r="J229" s="19"/>
    </row>
    <row r="230" spans="1:10" ht="13.5" customHeight="1">
      <c r="A230" s="17" t="s">
        <v>30</v>
      </c>
      <c r="B230" s="1"/>
      <c r="C230" s="1"/>
      <c r="D230" s="2" t="s">
        <v>25</v>
      </c>
      <c r="E230" s="17" t="s">
        <v>40</v>
      </c>
      <c r="F230" s="1"/>
      <c r="G230" s="2" t="s">
        <v>25</v>
      </c>
      <c r="H230" s="18" t="s">
        <v>32</v>
      </c>
      <c r="I230" s="6"/>
      <c r="J230" s="19"/>
    </row>
    <row r="231" spans="1:10" ht="13.5" customHeight="1">
      <c r="A231" s="17" t="s">
        <v>34</v>
      </c>
      <c r="B231" s="1"/>
      <c r="C231" s="1"/>
      <c r="D231" s="2" t="s">
        <v>25</v>
      </c>
      <c r="E231" s="17" t="s">
        <v>71</v>
      </c>
      <c r="F231" s="1"/>
      <c r="G231" s="2" t="s">
        <v>25</v>
      </c>
      <c r="H231" s="18"/>
      <c r="I231" s="36"/>
      <c r="J231" s="19"/>
    </row>
    <row r="232" spans="1:10" ht="13.5" customHeight="1">
      <c r="A232" s="17" t="s">
        <v>72</v>
      </c>
      <c r="B232" s="1"/>
      <c r="C232" s="1"/>
      <c r="D232" s="2" t="s">
        <v>25</v>
      </c>
      <c r="E232" s="17" t="s">
        <v>61</v>
      </c>
      <c r="F232" s="1"/>
      <c r="G232" s="2" t="s">
        <v>25</v>
      </c>
      <c r="H232" s="42"/>
      <c r="I232" s="36"/>
      <c r="J232" s="43"/>
    </row>
    <row r="233" spans="1:10" ht="13.5" customHeight="1">
      <c r="A233" s="17" t="s">
        <v>78</v>
      </c>
      <c r="B233" s="1"/>
      <c r="C233" s="1"/>
      <c r="D233" s="2" t="s">
        <v>25</v>
      </c>
      <c r="E233" s="17" t="s">
        <v>39</v>
      </c>
      <c r="F233" s="1"/>
      <c r="G233" s="2">
        <v>100</v>
      </c>
      <c r="H233" s="44"/>
      <c r="I233" s="36"/>
      <c r="J233" s="43"/>
    </row>
    <row r="234" spans="1:10" ht="13.5" customHeight="1">
      <c r="A234" s="18" t="s">
        <v>40</v>
      </c>
      <c r="B234" s="6"/>
      <c r="C234" s="6"/>
      <c r="D234" s="2" t="s">
        <v>25</v>
      </c>
      <c r="E234" s="17" t="s">
        <v>41</v>
      </c>
      <c r="F234" s="1"/>
      <c r="G234" s="2" t="s">
        <v>25</v>
      </c>
      <c r="H234" s="42"/>
      <c r="I234" s="36"/>
      <c r="J234" s="43"/>
    </row>
    <row r="235" spans="1:10" ht="13.5" customHeight="1">
      <c r="A235" s="204" t="s">
        <v>63</v>
      </c>
      <c r="B235" s="205"/>
      <c r="C235" s="206"/>
      <c r="D235" s="229">
        <f>SUM(D228:D234)</f>
        <v>15000</v>
      </c>
      <c r="E235" s="1" t="s">
        <v>78</v>
      </c>
      <c r="F235" s="1"/>
      <c r="G235" s="2" t="s">
        <v>25</v>
      </c>
      <c r="H235" s="18"/>
      <c r="I235" s="6"/>
      <c r="J235" s="19"/>
    </row>
    <row r="236" spans="1:10" ht="13.5" customHeight="1">
      <c r="A236" s="207"/>
      <c r="B236" s="197"/>
      <c r="C236" s="208"/>
      <c r="D236" s="230"/>
      <c r="E236" s="21" t="s">
        <v>21</v>
      </c>
      <c r="F236" s="22"/>
      <c r="G236" s="13">
        <f>SUM(G228:G235)</f>
        <v>100</v>
      </c>
      <c r="H236" s="21" t="s">
        <v>44</v>
      </c>
      <c r="I236" s="22"/>
      <c r="J236" s="13">
        <f>D235-G236</f>
        <v>14900</v>
      </c>
    </row>
    <row r="237" spans="1:10" ht="13.5" customHeight="1">
      <c r="A237" s="3" t="s">
        <v>45</v>
      </c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3.5" customHeight="1">
      <c r="A239" s="3"/>
      <c r="B239" s="3" t="s">
        <v>47</v>
      </c>
      <c r="C239" s="3"/>
      <c r="D239" s="3"/>
      <c r="E239" s="3" t="s">
        <v>48</v>
      </c>
      <c r="F239" s="3"/>
      <c r="G239" s="3"/>
      <c r="H239" s="3" t="s">
        <v>49</v>
      </c>
      <c r="I239" s="3"/>
      <c r="J239" s="3"/>
    </row>
    <row r="240" spans="1:10" ht="13.5" customHeight="1">
      <c r="A240" s="184" t="s">
        <v>0</v>
      </c>
      <c r="B240" s="185"/>
      <c r="C240" s="185"/>
      <c r="D240" s="185"/>
      <c r="E240" s="185"/>
      <c r="F240" s="185"/>
      <c r="G240" s="185"/>
      <c r="H240" s="185"/>
      <c r="I240" s="185"/>
      <c r="J240" s="186"/>
    </row>
    <row r="241" spans="1:10" ht="13.5" customHeight="1">
      <c r="A241" s="187" t="s">
        <v>1</v>
      </c>
      <c r="B241" s="188"/>
      <c r="C241" s="188"/>
      <c r="D241" s="188"/>
      <c r="E241" s="188"/>
      <c r="F241" s="188"/>
      <c r="G241" s="188"/>
      <c r="H241" s="188"/>
      <c r="I241" s="188"/>
      <c r="J241" s="189"/>
    </row>
    <row r="242" spans="1:10" ht="13.5" customHeight="1">
      <c r="A242" s="1" t="s">
        <v>2</v>
      </c>
      <c r="B242" s="1"/>
      <c r="C242" s="194"/>
      <c r="D242" s="194"/>
      <c r="E242" s="2"/>
      <c r="F242" s="3"/>
      <c r="G242" s="1" t="s">
        <v>4</v>
      </c>
      <c r="H242" s="209" t="s">
        <v>143</v>
      </c>
      <c r="I242" s="209"/>
      <c r="J242" s="209"/>
    </row>
    <row r="243" spans="1:10" ht="13.5" customHeight="1">
      <c r="A243" s="1" t="s">
        <v>6</v>
      </c>
      <c r="B243" s="1"/>
      <c r="C243" s="192" t="s">
        <v>837</v>
      </c>
      <c r="D243" s="192"/>
      <c r="E243" s="2"/>
      <c r="F243" s="3"/>
      <c r="G243" s="1" t="s">
        <v>8</v>
      </c>
      <c r="H243" s="193" t="s">
        <v>9</v>
      </c>
      <c r="I243" s="193"/>
      <c r="J243" s="193"/>
    </row>
    <row r="244" spans="1:10" ht="13.5" customHeight="1">
      <c r="A244" s="6" t="s">
        <v>10</v>
      </c>
      <c r="B244" s="6"/>
      <c r="C244" s="194" t="s">
        <v>825</v>
      </c>
      <c r="D244" s="194"/>
      <c r="E244" s="2"/>
      <c r="F244" s="3"/>
      <c r="G244" s="1" t="s">
        <v>12</v>
      </c>
      <c r="H244" s="195" t="s">
        <v>13</v>
      </c>
      <c r="I244" s="195"/>
      <c r="J244" s="195"/>
    </row>
    <row r="245" spans="1:10" ht="13.5" customHeight="1">
      <c r="A245" s="2" t="s">
        <v>14</v>
      </c>
      <c r="B245" s="2"/>
      <c r="C245" s="1" t="s">
        <v>15</v>
      </c>
      <c r="D245" s="1"/>
      <c r="E245" s="2"/>
      <c r="F245" s="3"/>
      <c r="G245" s="1" t="s">
        <v>16</v>
      </c>
      <c r="H245" s="209" t="s">
        <v>55</v>
      </c>
      <c r="I245" s="209"/>
      <c r="J245" s="209"/>
    </row>
    <row r="246" spans="1:10" ht="13.5" customHeight="1">
      <c r="A246" s="2">
        <v>30</v>
      </c>
      <c r="B246" s="2"/>
      <c r="C246" s="2">
        <f>A246-H246</f>
        <v>0</v>
      </c>
      <c r="D246" s="2"/>
      <c r="E246" s="2"/>
      <c r="F246" s="3"/>
      <c r="G246" s="8" t="s">
        <v>18</v>
      </c>
      <c r="H246" s="197">
        <v>30</v>
      </c>
      <c r="I246" s="197"/>
      <c r="J246" s="197"/>
    </row>
    <row r="247" spans="1:10" ht="13.5" customHeight="1">
      <c r="A247" s="198" t="s">
        <v>19</v>
      </c>
      <c r="B247" s="199"/>
      <c r="C247" s="200"/>
      <c r="D247" s="13" t="s">
        <v>20</v>
      </c>
      <c r="E247" s="14" t="s">
        <v>21</v>
      </c>
      <c r="F247" s="15"/>
      <c r="G247" s="16" t="s">
        <v>20</v>
      </c>
      <c r="H247" s="201" t="s">
        <v>22</v>
      </c>
      <c r="I247" s="202"/>
      <c r="J247" s="203"/>
    </row>
    <row r="248" spans="1:10" ht="13.5" customHeight="1">
      <c r="A248" s="17" t="s">
        <v>23</v>
      </c>
      <c r="B248" s="1"/>
      <c r="C248" s="1"/>
      <c r="D248" s="2">
        <v>16000</v>
      </c>
      <c r="E248" s="17" t="s">
        <v>24</v>
      </c>
      <c r="F248" s="1"/>
      <c r="G248" s="2" t="s">
        <v>25</v>
      </c>
      <c r="H248" s="18" t="s">
        <v>502</v>
      </c>
      <c r="I248" s="6"/>
      <c r="J248" s="19"/>
    </row>
    <row r="249" spans="1:10" ht="13.5" customHeight="1">
      <c r="A249" s="17" t="s">
        <v>77</v>
      </c>
      <c r="B249" s="209"/>
      <c r="C249" s="209"/>
      <c r="D249" s="2" t="s">
        <v>25</v>
      </c>
      <c r="E249" s="17" t="s">
        <v>58</v>
      </c>
      <c r="F249" s="1"/>
      <c r="G249" s="2" t="s">
        <v>25</v>
      </c>
      <c r="H249" s="18" t="s">
        <v>504</v>
      </c>
      <c r="I249" s="6"/>
      <c r="J249" s="19"/>
    </row>
    <row r="250" spans="1:10" ht="13.5" customHeight="1">
      <c r="A250" s="17" t="s">
        <v>72</v>
      </c>
      <c r="B250" s="1"/>
      <c r="C250" s="1"/>
      <c r="D250" s="2" t="s">
        <v>25</v>
      </c>
      <c r="E250" s="17" t="s">
        <v>28</v>
      </c>
      <c r="F250" s="1"/>
      <c r="G250" s="2" t="s">
        <v>25</v>
      </c>
      <c r="H250" s="18" t="s">
        <v>32</v>
      </c>
      <c r="I250" s="6"/>
      <c r="J250" s="19"/>
    </row>
    <row r="251" spans="1:10" ht="13.5" customHeight="1">
      <c r="A251" s="17" t="s">
        <v>34</v>
      </c>
      <c r="B251" s="1"/>
      <c r="C251" s="1"/>
      <c r="D251" s="2" t="s">
        <v>25</v>
      </c>
      <c r="E251" s="17" t="s">
        <v>35</v>
      </c>
      <c r="F251" s="1"/>
      <c r="G251" s="2" t="s">
        <v>25</v>
      </c>
      <c r="H251" s="18"/>
      <c r="I251" s="6"/>
      <c r="J251" s="19"/>
    </row>
    <row r="252" spans="1:10" ht="13.5" customHeight="1">
      <c r="A252" s="17" t="s">
        <v>110</v>
      </c>
      <c r="B252" s="1"/>
      <c r="C252" s="1"/>
      <c r="D252" s="2" t="s">
        <v>25</v>
      </c>
      <c r="E252" s="17" t="s">
        <v>61</v>
      </c>
      <c r="F252" s="1"/>
      <c r="G252" s="2" t="s">
        <v>25</v>
      </c>
      <c r="H252" s="18"/>
      <c r="I252" s="6"/>
      <c r="J252" s="40"/>
    </row>
    <row r="253" spans="1:10" ht="13.5" customHeight="1">
      <c r="A253" s="17" t="s">
        <v>78</v>
      </c>
      <c r="B253" s="1"/>
      <c r="C253" s="1"/>
      <c r="D253" s="2" t="s">
        <v>25</v>
      </c>
      <c r="E253" s="17" t="s">
        <v>39</v>
      </c>
      <c r="F253" s="1"/>
      <c r="G253" s="2">
        <v>100</v>
      </c>
      <c r="H253" s="18"/>
      <c r="I253" s="6"/>
      <c r="J253" s="19"/>
    </row>
    <row r="254" spans="1:10" ht="13.5" customHeight="1">
      <c r="A254" s="18" t="s">
        <v>40</v>
      </c>
      <c r="B254" s="6"/>
      <c r="C254" s="6"/>
      <c r="D254" s="2" t="s">
        <v>25</v>
      </c>
      <c r="E254" s="17" t="s">
        <v>78</v>
      </c>
      <c r="F254" s="1"/>
      <c r="G254" s="2" t="s">
        <v>25</v>
      </c>
      <c r="H254" s="18"/>
      <c r="I254" s="6"/>
      <c r="J254" s="40"/>
    </row>
    <row r="255" spans="1:10" ht="13.5" customHeight="1">
      <c r="A255" s="204" t="s">
        <v>63</v>
      </c>
      <c r="B255" s="205"/>
      <c r="C255" s="206"/>
      <c r="D255" s="229">
        <f>SUM(D248:D254)</f>
        <v>16000</v>
      </c>
      <c r="E255" s="1" t="s">
        <v>58</v>
      </c>
      <c r="F255" s="1"/>
      <c r="G255" s="2" t="s">
        <v>25</v>
      </c>
      <c r="H255" s="18"/>
      <c r="I255" s="6"/>
      <c r="J255" s="19"/>
    </row>
    <row r="256" spans="1:10" ht="13.5" customHeight="1">
      <c r="A256" s="207"/>
      <c r="B256" s="197"/>
      <c r="C256" s="208"/>
      <c r="D256" s="230"/>
      <c r="E256" s="21" t="s">
        <v>21</v>
      </c>
      <c r="F256" s="22"/>
      <c r="G256" s="13">
        <f>SUM(G248:G255)</f>
        <v>100</v>
      </c>
      <c r="H256" s="21" t="s">
        <v>44</v>
      </c>
      <c r="I256" s="22"/>
      <c r="J256" s="13">
        <f>D255-G256</f>
        <v>15900</v>
      </c>
    </row>
    <row r="257" spans="1:10" ht="13.5" customHeight="1">
      <c r="A257" s="3" t="s">
        <v>45</v>
      </c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3.5" customHeight="1">
      <c r="A259" s="3"/>
      <c r="B259" s="3" t="s">
        <v>47</v>
      </c>
      <c r="C259" s="3"/>
      <c r="D259" s="3"/>
      <c r="E259" s="3" t="s">
        <v>48</v>
      </c>
      <c r="F259" s="3"/>
      <c r="G259" s="3"/>
      <c r="H259" s="3" t="s">
        <v>49</v>
      </c>
      <c r="I259" s="3"/>
      <c r="J259" s="3"/>
    </row>
    <row r="260" spans="1:10" ht="13.5" customHeight="1">
      <c r="A260" s="184" t="s">
        <v>0</v>
      </c>
      <c r="B260" s="185"/>
      <c r="C260" s="185"/>
      <c r="D260" s="185"/>
      <c r="E260" s="185"/>
      <c r="F260" s="185"/>
      <c r="G260" s="185"/>
      <c r="H260" s="185"/>
      <c r="I260" s="185"/>
      <c r="J260" s="186"/>
    </row>
    <row r="261" spans="1:10" ht="13.5" customHeight="1">
      <c r="A261" s="187" t="s">
        <v>1</v>
      </c>
      <c r="B261" s="188"/>
      <c r="C261" s="188"/>
      <c r="D261" s="188"/>
      <c r="E261" s="188"/>
      <c r="F261" s="188"/>
      <c r="G261" s="188"/>
      <c r="H261" s="188"/>
      <c r="I261" s="188"/>
      <c r="J261" s="189"/>
    </row>
    <row r="262" spans="1:10" ht="13.5" customHeight="1">
      <c r="A262" s="1" t="s">
        <v>2</v>
      </c>
      <c r="B262" s="1"/>
      <c r="C262" s="194"/>
      <c r="D262" s="194"/>
      <c r="E262" s="2"/>
      <c r="F262" s="3"/>
      <c r="G262" s="1" t="s">
        <v>4</v>
      </c>
      <c r="H262" s="209" t="s">
        <v>143</v>
      </c>
      <c r="I262" s="209"/>
      <c r="J262" s="209"/>
    </row>
    <row r="263" spans="1:10" ht="13.5" customHeight="1">
      <c r="A263" s="1" t="s">
        <v>6</v>
      </c>
      <c r="B263" s="1"/>
      <c r="C263" s="192" t="s">
        <v>838</v>
      </c>
      <c r="D263" s="192"/>
      <c r="E263" s="2"/>
      <c r="F263" s="3"/>
      <c r="G263" s="1" t="s">
        <v>8</v>
      </c>
      <c r="H263" s="193" t="s">
        <v>9</v>
      </c>
      <c r="I263" s="193"/>
      <c r="J263" s="193"/>
    </row>
    <row r="264" spans="1:10" ht="13.5" customHeight="1">
      <c r="A264" s="6" t="s">
        <v>10</v>
      </c>
      <c r="B264" s="6"/>
      <c r="C264" s="194" t="s">
        <v>839</v>
      </c>
      <c r="D264" s="194"/>
      <c r="E264" s="2"/>
      <c r="F264" s="3"/>
      <c r="G264" s="1" t="s">
        <v>12</v>
      </c>
      <c r="H264" s="195" t="s">
        <v>13</v>
      </c>
      <c r="I264" s="195"/>
      <c r="J264" s="195"/>
    </row>
    <row r="265" spans="1:10" ht="13.5" customHeight="1">
      <c r="A265" s="2" t="s">
        <v>14</v>
      </c>
      <c r="B265" s="2"/>
      <c r="C265" s="1" t="s">
        <v>15</v>
      </c>
      <c r="D265" s="1"/>
      <c r="E265" s="2"/>
      <c r="F265" s="3"/>
      <c r="G265" s="1" t="s">
        <v>16</v>
      </c>
      <c r="H265" s="209" t="s">
        <v>140</v>
      </c>
      <c r="I265" s="209"/>
      <c r="J265" s="209"/>
    </row>
    <row r="266" spans="1:10" ht="13.5" customHeight="1">
      <c r="A266" s="2">
        <v>30</v>
      </c>
      <c r="B266" s="2"/>
      <c r="C266" s="2">
        <f>A266-H266</f>
        <v>11</v>
      </c>
      <c r="D266" s="2"/>
      <c r="E266" s="2"/>
      <c r="F266" s="3"/>
      <c r="G266" s="8" t="s">
        <v>18</v>
      </c>
      <c r="H266" s="197">
        <v>19</v>
      </c>
      <c r="I266" s="197"/>
      <c r="J266" s="197"/>
    </row>
    <row r="267" spans="1:10" ht="13.5" customHeight="1">
      <c r="A267" s="198" t="s">
        <v>19</v>
      </c>
      <c r="B267" s="199"/>
      <c r="C267" s="200"/>
      <c r="D267" s="13" t="s">
        <v>20</v>
      </c>
      <c r="E267" s="14" t="s">
        <v>21</v>
      </c>
      <c r="F267" s="15"/>
      <c r="G267" s="16" t="s">
        <v>20</v>
      </c>
      <c r="H267" s="201" t="s">
        <v>22</v>
      </c>
      <c r="I267" s="202"/>
      <c r="J267" s="203"/>
    </row>
    <row r="268" spans="1:10" ht="13.5" customHeight="1">
      <c r="A268" s="17" t="s">
        <v>840</v>
      </c>
      <c r="B268" s="1"/>
      <c r="C268" s="1"/>
      <c r="D268" s="2">
        <v>15000</v>
      </c>
      <c r="E268" s="17" t="s">
        <v>24</v>
      </c>
      <c r="F268" s="1"/>
      <c r="G268" s="2" t="s">
        <v>25</v>
      </c>
      <c r="H268" s="18" t="s">
        <v>502</v>
      </c>
      <c r="I268" s="6"/>
      <c r="J268" s="19"/>
    </row>
    <row r="269" spans="1:10" ht="13.5" customHeight="1">
      <c r="A269" s="17" t="s">
        <v>77</v>
      </c>
      <c r="B269" s="209"/>
      <c r="C269" s="209"/>
      <c r="D269" s="2" t="s">
        <v>25</v>
      </c>
      <c r="E269" s="17" t="s">
        <v>28</v>
      </c>
      <c r="F269" s="1"/>
      <c r="G269" s="2" t="s">
        <v>25</v>
      </c>
      <c r="H269" s="18" t="s">
        <v>504</v>
      </c>
      <c r="I269" s="6"/>
      <c r="J269" s="19"/>
    </row>
    <row r="270" spans="1:10" ht="13.5" customHeight="1">
      <c r="A270" s="17" t="s">
        <v>30</v>
      </c>
      <c r="B270" s="1"/>
      <c r="C270" s="1"/>
      <c r="D270" s="2">
        <v>600</v>
      </c>
      <c r="E270" s="17" t="s">
        <v>58</v>
      </c>
      <c r="F270" s="1"/>
      <c r="G270" s="2" t="s">
        <v>25</v>
      </c>
      <c r="H270" s="18" t="s">
        <v>32</v>
      </c>
      <c r="I270" s="6"/>
      <c r="J270" s="19"/>
    </row>
    <row r="271" spans="1:10" ht="13.5" customHeight="1">
      <c r="A271" s="17" t="s">
        <v>321</v>
      </c>
      <c r="B271" s="1"/>
      <c r="C271" s="1"/>
      <c r="D271" s="2" t="s">
        <v>25</v>
      </c>
      <c r="E271" s="17" t="s">
        <v>35</v>
      </c>
      <c r="F271" s="1"/>
      <c r="G271" s="2">
        <v>5500</v>
      </c>
      <c r="H271" s="18"/>
      <c r="I271" s="6"/>
      <c r="J271" s="19"/>
    </row>
    <row r="272" spans="1:10" ht="13.5" customHeight="1">
      <c r="A272" s="17" t="s">
        <v>147</v>
      </c>
      <c r="B272" s="1"/>
      <c r="C272" s="1"/>
      <c r="D272" s="2" t="s">
        <v>25</v>
      </c>
      <c r="E272" s="17" t="s">
        <v>61</v>
      </c>
      <c r="F272" s="1"/>
      <c r="G272" s="2" t="s">
        <v>25</v>
      </c>
      <c r="H272" s="18"/>
      <c r="I272" s="6"/>
      <c r="J272" s="27"/>
    </row>
    <row r="273" spans="1:10" ht="13.5" customHeight="1">
      <c r="A273" s="17" t="s">
        <v>136</v>
      </c>
      <c r="B273" s="1"/>
      <c r="C273" s="1"/>
      <c r="D273" s="2" t="s">
        <v>25</v>
      </c>
      <c r="E273" s="17" t="s">
        <v>39</v>
      </c>
      <c r="F273" s="1"/>
      <c r="G273" s="2">
        <v>100</v>
      </c>
      <c r="H273" s="18"/>
      <c r="I273" s="6"/>
      <c r="J273" s="27"/>
    </row>
    <row r="274" spans="1:10" ht="13.5" customHeight="1">
      <c r="A274" s="18" t="s">
        <v>40</v>
      </c>
      <c r="B274" s="6"/>
      <c r="C274" s="6"/>
      <c r="D274" s="2" t="s">
        <v>25</v>
      </c>
      <c r="E274" s="17" t="s">
        <v>78</v>
      </c>
      <c r="F274" s="1"/>
      <c r="G274" s="2" t="s">
        <v>25</v>
      </c>
      <c r="H274" s="18"/>
      <c r="I274" s="6"/>
      <c r="J274" s="27"/>
    </row>
    <row r="275" spans="1:10" ht="13.5" customHeight="1">
      <c r="A275" s="204" t="s">
        <v>63</v>
      </c>
      <c r="B275" s="205"/>
      <c r="C275" s="206"/>
      <c r="D275" s="229">
        <f>SUM(D268:D274)</f>
        <v>15600</v>
      </c>
      <c r="E275" s="1" t="s">
        <v>43</v>
      </c>
      <c r="F275" s="1"/>
      <c r="G275" s="2" t="s">
        <v>25</v>
      </c>
      <c r="H275" s="18"/>
      <c r="I275" s="6"/>
      <c r="J275" s="26"/>
    </row>
    <row r="276" spans="1:10" ht="13.5" customHeight="1">
      <c r="A276" s="207"/>
      <c r="B276" s="197"/>
      <c r="C276" s="208"/>
      <c r="D276" s="230"/>
      <c r="E276" s="21" t="s">
        <v>21</v>
      </c>
      <c r="F276" s="22"/>
      <c r="G276" s="13">
        <f>SUM(G268:G275)</f>
        <v>5600</v>
      </c>
      <c r="H276" s="21" t="s">
        <v>44</v>
      </c>
      <c r="I276" s="22"/>
      <c r="J276" s="13">
        <f>D275-G276</f>
        <v>10000</v>
      </c>
    </row>
    <row r="277" spans="1:10" ht="13.5" customHeight="1">
      <c r="A277" s="3" t="s">
        <v>45</v>
      </c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3.5" customHeight="1">
      <c r="A279" s="3"/>
      <c r="B279" s="3" t="s">
        <v>47</v>
      </c>
      <c r="C279" s="3"/>
      <c r="D279" s="3"/>
      <c r="E279" s="3" t="s">
        <v>48</v>
      </c>
      <c r="F279" s="3"/>
      <c r="G279" s="3"/>
      <c r="H279" s="3" t="s">
        <v>49</v>
      </c>
      <c r="I279" s="3"/>
      <c r="J279" s="3"/>
    </row>
    <row r="280" spans="1:10" ht="13.5" customHeight="1">
      <c r="A280" s="184" t="s">
        <v>0</v>
      </c>
      <c r="B280" s="185"/>
      <c r="C280" s="185"/>
      <c r="D280" s="185"/>
      <c r="E280" s="185"/>
      <c r="F280" s="185"/>
      <c r="G280" s="185"/>
      <c r="H280" s="185"/>
      <c r="I280" s="185"/>
      <c r="J280" s="186"/>
    </row>
    <row r="281" spans="1:10" ht="13.5" customHeight="1">
      <c r="A281" s="187" t="s">
        <v>1</v>
      </c>
      <c r="B281" s="188"/>
      <c r="C281" s="188"/>
      <c r="D281" s="188"/>
      <c r="E281" s="188"/>
      <c r="F281" s="188"/>
      <c r="G281" s="188"/>
      <c r="H281" s="188"/>
      <c r="I281" s="188"/>
      <c r="J281" s="189"/>
    </row>
    <row r="282" spans="1:10" ht="13.5" customHeight="1">
      <c r="A282" s="1" t="s">
        <v>2</v>
      </c>
      <c r="B282" s="1"/>
      <c r="C282" s="194"/>
      <c r="D282" s="194"/>
      <c r="E282" s="2"/>
      <c r="F282" s="3"/>
      <c r="G282" s="1" t="s">
        <v>4</v>
      </c>
      <c r="H282" s="209" t="s">
        <v>841</v>
      </c>
      <c r="I282" s="209"/>
      <c r="J282" s="209"/>
    </row>
    <row r="283" spans="1:10" ht="13.5" customHeight="1">
      <c r="A283" s="1" t="s">
        <v>6</v>
      </c>
      <c r="B283" s="1"/>
      <c r="C283" s="192" t="s">
        <v>842</v>
      </c>
      <c r="D283" s="192"/>
      <c r="E283" s="2"/>
      <c r="F283" s="3"/>
      <c r="G283" s="1" t="s">
        <v>8</v>
      </c>
      <c r="H283" s="193" t="s">
        <v>9</v>
      </c>
      <c r="I283" s="193"/>
      <c r="J283" s="193"/>
    </row>
    <row r="284" spans="1:10" ht="13.5" customHeight="1">
      <c r="A284" s="6" t="s">
        <v>10</v>
      </c>
      <c r="B284" s="6"/>
      <c r="C284" s="194" t="s">
        <v>825</v>
      </c>
      <c r="D284" s="194"/>
      <c r="E284" s="2"/>
      <c r="F284" s="3"/>
      <c r="G284" s="1" t="s">
        <v>12</v>
      </c>
      <c r="H284" s="195" t="s">
        <v>13</v>
      </c>
      <c r="I284" s="195"/>
      <c r="J284" s="195"/>
    </row>
    <row r="285" spans="1:10" ht="13.5" customHeight="1">
      <c r="A285" s="2" t="s">
        <v>14</v>
      </c>
      <c r="B285" s="2"/>
      <c r="C285" s="1" t="s">
        <v>15</v>
      </c>
      <c r="D285" s="1"/>
      <c r="E285" s="2"/>
      <c r="F285" s="3"/>
      <c r="G285" s="1" t="s">
        <v>16</v>
      </c>
      <c r="H285" s="209" t="s">
        <v>55</v>
      </c>
      <c r="I285" s="209"/>
      <c r="J285" s="209"/>
    </row>
    <row r="286" spans="1:10" ht="13.5" customHeight="1">
      <c r="A286" s="2">
        <v>30</v>
      </c>
      <c r="B286" s="2"/>
      <c r="C286" s="2">
        <f>A286-H286</f>
        <v>0</v>
      </c>
      <c r="D286" s="2"/>
      <c r="E286" s="2"/>
      <c r="F286" s="3"/>
      <c r="G286" s="8" t="s">
        <v>18</v>
      </c>
      <c r="H286" s="197">
        <v>30</v>
      </c>
      <c r="I286" s="197"/>
      <c r="J286" s="197"/>
    </row>
    <row r="287" spans="1:10" ht="13.5" customHeight="1">
      <c r="A287" s="198" t="s">
        <v>19</v>
      </c>
      <c r="B287" s="199"/>
      <c r="C287" s="200"/>
      <c r="D287" s="13" t="s">
        <v>20</v>
      </c>
      <c r="E287" s="14" t="s">
        <v>21</v>
      </c>
      <c r="F287" s="15"/>
      <c r="G287" s="16" t="s">
        <v>20</v>
      </c>
      <c r="H287" s="201" t="s">
        <v>22</v>
      </c>
      <c r="I287" s="202"/>
      <c r="J287" s="203"/>
    </row>
    <row r="288" spans="1:10" ht="13.5" customHeight="1">
      <c r="A288" s="17" t="s">
        <v>23</v>
      </c>
      <c r="B288" s="1"/>
      <c r="C288" s="1"/>
      <c r="D288" s="2">
        <v>15000</v>
      </c>
      <c r="E288" s="17" t="s">
        <v>24</v>
      </c>
      <c r="F288" s="1"/>
      <c r="G288" s="2">
        <v>5500</v>
      </c>
      <c r="H288" s="18" t="s">
        <v>502</v>
      </c>
      <c r="I288" s="6"/>
      <c r="J288" s="19"/>
    </row>
    <row r="289" spans="1:10" ht="13.5" customHeight="1">
      <c r="A289" s="17" t="s">
        <v>77</v>
      </c>
      <c r="B289" s="209"/>
      <c r="C289" s="209"/>
      <c r="D289" s="2" t="s">
        <v>25</v>
      </c>
      <c r="E289" s="17" t="s">
        <v>58</v>
      </c>
      <c r="F289" s="1"/>
      <c r="G289" s="2" t="s">
        <v>25</v>
      </c>
      <c r="H289" s="18" t="s">
        <v>504</v>
      </c>
      <c r="I289" s="6"/>
      <c r="J289" s="19"/>
    </row>
    <row r="290" spans="1:10" ht="13.5" customHeight="1">
      <c r="A290" s="17" t="s">
        <v>72</v>
      </c>
      <c r="B290" s="1"/>
      <c r="C290" s="1"/>
      <c r="D290" s="2" t="s">
        <v>25</v>
      </c>
      <c r="E290" s="17" t="s">
        <v>28</v>
      </c>
      <c r="F290" s="1"/>
      <c r="G290" s="2" t="s">
        <v>25</v>
      </c>
      <c r="H290" s="18" t="s">
        <v>32</v>
      </c>
      <c r="I290" s="6"/>
      <c r="J290" s="19"/>
    </row>
    <row r="291" spans="1:10" ht="13.5" customHeight="1">
      <c r="A291" s="17" t="s">
        <v>34</v>
      </c>
      <c r="B291" s="1"/>
      <c r="C291" s="1"/>
      <c r="D291" s="2">
        <v>600</v>
      </c>
      <c r="E291" s="17" t="s">
        <v>35</v>
      </c>
      <c r="F291" s="1"/>
      <c r="G291" s="2" t="s">
        <v>25</v>
      </c>
      <c r="H291" s="18"/>
      <c r="I291" s="6"/>
      <c r="J291" s="19"/>
    </row>
    <row r="292" spans="1:10" ht="13.5" customHeight="1">
      <c r="A292" s="17" t="s">
        <v>110</v>
      </c>
      <c r="B292" s="1"/>
      <c r="C292" s="1"/>
      <c r="D292" s="2" t="s">
        <v>25</v>
      </c>
      <c r="E292" s="17" t="s">
        <v>61</v>
      </c>
      <c r="F292" s="1"/>
      <c r="G292" s="2" t="s">
        <v>25</v>
      </c>
      <c r="H292" s="18"/>
      <c r="I292" s="6"/>
      <c r="J292" s="40"/>
    </row>
    <row r="293" spans="1:10" ht="13.5" customHeight="1">
      <c r="A293" s="17" t="s">
        <v>78</v>
      </c>
      <c r="B293" s="1"/>
      <c r="C293" s="1"/>
      <c r="D293" s="2" t="s">
        <v>25</v>
      </c>
      <c r="E293" s="17" t="s">
        <v>39</v>
      </c>
      <c r="F293" s="1"/>
      <c r="G293" s="2">
        <v>100</v>
      </c>
      <c r="H293" s="18"/>
      <c r="I293" s="6"/>
      <c r="J293" s="19"/>
    </row>
    <row r="294" spans="1:10" ht="13.5" customHeight="1">
      <c r="A294" s="18" t="s">
        <v>40</v>
      </c>
      <c r="B294" s="6"/>
      <c r="C294" s="6"/>
      <c r="D294" s="2" t="s">
        <v>25</v>
      </c>
      <c r="E294" s="17" t="s">
        <v>78</v>
      </c>
      <c r="F294" s="1"/>
      <c r="G294" s="2" t="s">
        <v>25</v>
      </c>
      <c r="H294" s="18"/>
      <c r="I294" s="6"/>
      <c r="J294" s="40"/>
    </row>
    <row r="295" spans="1:10" ht="13.5" customHeight="1">
      <c r="A295" s="204" t="s">
        <v>63</v>
      </c>
      <c r="B295" s="205"/>
      <c r="C295" s="206"/>
      <c r="D295" s="229">
        <f>SUM(D288:D294)</f>
        <v>15600</v>
      </c>
      <c r="E295" s="1" t="s">
        <v>58</v>
      </c>
      <c r="F295" s="1"/>
      <c r="G295" s="2" t="s">
        <v>25</v>
      </c>
      <c r="H295" s="18"/>
      <c r="I295" s="6"/>
      <c r="J295" s="19"/>
    </row>
    <row r="296" spans="1:10" ht="13.5" customHeight="1">
      <c r="A296" s="207"/>
      <c r="B296" s="197"/>
      <c r="C296" s="208"/>
      <c r="D296" s="230"/>
      <c r="E296" s="21" t="s">
        <v>21</v>
      </c>
      <c r="F296" s="22"/>
      <c r="G296" s="13">
        <f>SUM(G288:G295)</f>
        <v>5600</v>
      </c>
      <c r="H296" s="21" t="s">
        <v>44</v>
      </c>
      <c r="I296" s="22"/>
      <c r="J296" s="13">
        <f>D295-G296</f>
        <v>10000</v>
      </c>
    </row>
    <row r="297" spans="1:10" ht="13.5" customHeight="1">
      <c r="A297" s="3" t="s">
        <v>45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3.5" customHeight="1">
      <c r="A299" s="3"/>
      <c r="B299" s="3" t="s">
        <v>47</v>
      </c>
      <c r="C299" s="3"/>
      <c r="D299" s="3"/>
      <c r="E299" s="3" t="s">
        <v>48</v>
      </c>
      <c r="F299" s="3"/>
      <c r="G299" s="3"/>
      <c r="H299" s="3" t="s">
        <v>49</v>
      </c>
      <c r="I299" s="3"/>
      <c r="J299" s="3"/>
    </row>
    <row r="300" spans="1:10" ht="13.5" customHeight="1">
      <c r="A300" s="184" t="s">
        <v>0</v>
      </c>
      <c r="B300" s="185"/>
      <c r="C300" s="185"/>
      <c r="D300" s="185"/>
      <c r="E300" s="185"/>
      <c r="F300" s="185"/>
      <c r="G300" s="185"/>
      <c r="H300" s="185"/>
      <c r="I300" s="185"/>
      <c r="J300" s="186"/>
    </row>
    <row r="301" spans="1:10" ht="13.5" customHeight="1">
      <c r="A301" s="187" t="s">
        <v>1</v>
      </c>
      <c r="B301" s="188"/>
      <c r="C301" s="188"/>
      <c r="D301" s="188"/>
      <c r="E301" s="188"/>
      <c r="F301" s="188"/>
      <c r="G301" s="188"/>
      <c r="H301" s="188"/>
      <c r="I301" s="188"/>
      <c r="J301" s="189"/>
    </row>
    <row r="302" spans="1:10" ht="13.5" customHeight="1">
      <c r="A302" s="1" t="s">
        <v>2</v>
      </c>
      <c r="B302" s="1"/>
      <c r="C302" s="194"/>
      <c r="D302" s="194"/>
      <c r="E302" s="2"/>
      <c r="F302" s="3"/>
      <c r="G302" s="1" t="s">
        <v>4</v>
      </c>
      <c r="H302" s="209" t="s">
        <v>841</v>
      </c>
      <c r="I302" s="209"/>
      <c r="J302" s="209"/>
    </row>
    <row r="303" spans="1:10" ht="13.5" customHeight="1">
      <c r="A303" s="1" t="s">
        <v>6</v>
      </c>
      <c r="B303" s="1"/>
      <c r="C303" s="192" t="s">
        <v>843</v>
      </c>
      <c r="D303" s="192"/>
      <c r="E303" s="2"/>
      <c r="F303" s="3"/>
      <c r="G303" s="1" t="s">
        <v>8</v>
      </c>
      <c r="H303" s="193" t="s">
        <v>9</v>
      </c>
      <c r="I303" s="193"/>
      <c r="J303" s="193"/>
    </row>
    <row r="304" spans="1:10" ht="13.5" customHeight="1">
      <c r="A304" s="6" t="s">
        <v>10</v>
      </c>
      <c r="B304" s="6"/>
      <c r="C304" s="194" t="s">
        <v>825</v>
      </c>
      <c r="D304" s="194"/>
      <c r="E304" s="2"/>
      <c r="F304" s="3"/>
      <c r="G304" s="1" t="s">
        <v>12</v>
      </c>
      <c r="H304" s="195" t="s">
        <v>13</v>
      </c>
      <c r="I304" s="195"/>
      <c r="J304" s="195"/>
    </row>
    <row r="305" spans="1:10" ht="13.5" customHeight="1">
      <c r="A305" s="2" t="s">
        <v>14</v>
      </c>
      <c r="B305" s="2"/>
      <c r="C305" s="1" t="s">
        <v>15</v>
      </c>
      <c r="D305" s="1"/>
      <c r="E305" s="2"/>
      <c r="F305" s="3"/>
      <c r="G305" s="1" t="s">
        <v>16</v>
      </c>
      <c r="H305" s="209" t="s">
        <v>429</v>
      </c>
      <c r="I305" s="209"/>
      <c r="J305" s="209"/>
    </row>
    <row r="306" spans="1:10" ht="13.5" customHeight="1">
      <c r="A306" s="2">
        <v>30</v>
      </c>
      <c r="B306" s="2"/>
      <c r="C306" s="2">
        <f>A306-H306</f>
        <v>0</v>
      </c>
      <c r="D306" s="2"/>
      <c r="E306" s="2"/>
      <c r="F306" s="3"/>
      <c r="G306" s="8" t="s">
        <v>18</v>
      </c>
      <c r="H306" s="197">
        <v>30</v>
      </c>
      <c r="I306" s="197"/>
      <c r="J306" s="197"/>
    </row>
    <row r="307" spans="1:10" ht="13.5" customHeight="1">
      <c r="A307" s="198" t="s">
        <v>19</v>
      </c>
      <c r="B307" s="199"/>
      <c r="C307" s="200"/>
      <c r="D307" s="13" t="s">
        <v>20</v>
      </c>
      <c r="E307" s="14" t="s">
        <v>21</v>
      </c>
      <c r="F307" s="15"/>
      <c r="G307" s="16" t="s">
        <v>20</v>
      </c>
      <c r="H307" s="201" t="s">
        <v>22</v>
      </c>
      <c r="I307" s="202"/>
      <c r="J307" s="203"/>
    </row>
    <row r="308" spans="1:10" ht="13.5" customHeight="1">
      <c r="A308" s="17" t="s">
        <v>23</v>
      </c>
      <c r="B308" s="1"/>
      <c r="C308" s="1"/>
      <c r="D308" s="2">
        <v>15000</v>
      </c>
      <c r="E308" s="17" t="s">
        <v>24</v>
      </c>
      <c r="F308" s="1"/>
      <c r="G308" s="2" t="s">
        <v>25</v>
      </c>
      <c r="H308" s="18" t="s">
        <v>502</v>
      </c>
      <c r="I308" s="6"/>
      <c r="J308" s="19"/>
    </row>
    <row r="309" spans="1:10" ht="13.5" customHeight="1">
      <c r="A309" s="17" t="s">
        <v>77</v>
      </c>
      <c r="B309" s="209" t="s">
        <v>320</v>
      </c>
      <c r="C309" s="209"/>
      <c r="D309" s="2">
        <v>1000</v>
      </c>
      <c r="E309" s="17" t="s">
        <v>58</v>
      </c>
      <c r="F309" s="1"/>
      <c r="G309" s="2" t="s">
        <v>25</v>
      </c>
      <c r="H309" s="18" t="s">
        <v>504</v>
      </c>
      <c r="I309" s="6"/>
      <c r="J309" s="19"/>
    </row>
    <row r="310" spans="1:10" ht="13.5" customHeight="1">
      <c r="A310" s="17" t="s">
        <v>72</v>
      </c>
      <c r="B310" s="1"/>
      <c r="C310" s="1"/>
      <c r="D310" s="2" t="s">
        <v>25</v>
      </c>
      <c r="E310" s="17" t="s">
        <v>28</v>
      </c>
      <c r="F310" s="1"/>
      <c r="G310" s="2" t="s">
        <v>25</v>
      </c>
      <c r="H310" s="18" t="s">
        <v>32</v>
      </c>
      <c r="I310" s="6"/>
      <c r="J310" s="19"/>
    </row>
    <row r="311" spans="1:10" ht="13.5" customHeight="1">
      <c r="A311" s="17" t="s">
        <v>34</v>
      </c>
      <c r="B311" s="1"/>
      <c r="C311" s="1"/>
      <c r="D311" s="2" t="s">
        <v>25</v>
      </c>
      <c r="E311" s="17" t="s">
        <v>35</v>
      </c>
      <c r="F311" s="1"/>
      <c r="G311" s="2" t="s">
        <v>25</v>
      </c>
      <c r="H311" s="18"/>
      <c r="I311" s="6"/>
      <c r="J311" s="19"/>
    </row>
    <row r="312" spans="1:10" ht="13.5" customHeight="1">
      <c r="A312" s="17" t="s">
        <v>110</v>
      </c>
      <c r="B312" s="1"/>
      <c r="C312" s="1"/>
      <c r="D312" s="2" t="s">
        <v>25</v>
      </c>
      <c r="E312" s="17" t="s">
        <v>61</v>
      </c>
      <c r="F312" s="1"/>
      <c r="G312" s="2" t="s">
        <v>25</v>
      </c>
      <c r="H312" s="18" t="s">
        <v>844</v>
      </c>
      <c r="I312" s="6"/>
      <c r="J312" s="40"/>
    </row>
    <row r="313" spans="1:10" ht="13.5" customHeight="1">
      <c r="A313" s="17" t="s">
        <v>78</v>
      </c>
      <c r="B313" s="1"/>
      <c r="C313" s="1"/>
      <c r="D313" s="2" t="s">
        <v>25</v>
      </c>
      <c r="E313" s="17" t="s">
        <v>39</v>
      </c>
      <c r="F313" s="1"/>
      <c r="G313" s="2">
        <v>100</v>
      </c>
      <c r="H313" s="18"/>
      <c r="I313" s="6"/>
      <c r="J313" s="19"/>
    </row>
    <row r="314" spans="1:10" ht="13.5" customHeight="1">
      <c r="A314" s="18" t="s">
        <v>40</v>
      </c>
      <c r="B314" s="6"/>
      <c r="C314" s="6"/>
      <c r="D314" s="2" t="s">
        <v>25</v>
      </c>
      <c r="E314" s="17" t="s">
        <v>78</v>
      </c>
      <c r="F314" s="1"/>
      <c r="G314" s="2" t="s">
        <v>25</v>
      </c>
      <c r="H314" s="18"/>
      <c r="I314" s="6"/>
      <c r="J314" s="40"/>
    </row>
    <row r="315" spans="1:10" ht="13.5" customHeight="1">
      <c r="A315" s="204" t="s">
        <v>63</v>
      </c>
      <c r="B315" s="205"/>
      <c r="C315" s="206"/>
      <c r="D315" s="229">
        <f>SUM(D308:D314)</f>
        <v>16000</v>
      </c>
      <c r="E315" s="1" t="s">
        <v>58</v>
      </c>
      <c r="F315" s="1"/>
      <c r="G315" s="2" t="s">
        <v>25</v>
      </c>
      <c r="H315" s="18"/>
      <c r="I315" s="6"/>
      <c r="J315" s="19"/>
    </row>
    <row r="316" spans="1:10" ht="13.5" customHeight="1">
      <c r="A316" s="207"/>
      <c r="B316" s="197"/>
      <c r="C316" s="208"/>
      <c r="D316" s="230"/>
      <c r="E316" s="21" t="s">
        <v>21</v>
      </c>
      <c r="F316" s="22"/>
      <c r="G316" s="13">
        <f>SUM(G308:G315)</f>
        <v>100</v>
      </c>
      <c r="H316" s="21" t="s">
        <v>44</v>
      </c>
      <c r="I316" s="22"/>
      <c r="J316" s="13">
        <f>D315-G316</f>
        <v>15900</v>
      </c>
    </row>
    <row r="317" spans="1:10" ht="13.5" customHeight="1">
      <c r="A317" s="3" t="s">
        <v>45</v>
      </c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3.5" customHeight="1">
      <c r="A319" s="3"/>
      <c r="B319" s="3" t="s">
        <v>47</v>
      </c>
      <c r="C319" s="3"/>
      <c r="D319" s="3"/>
      <c r="E319" s="3" t="s">
        <v>48</v>
      </c>
      <c r="F319" s="3"/>
      <c r="G319" s="3"/>
      <c r="H319" s="3" t="s">
        <v>49</v>
      </c>
      <c r="I319" s="3"/>
      <c r="J319" s="3"/>
    </row>
    <row r="320" spans="1:10" ht="13.5" customHeight="1">
      <c r="A320" s="184" t="s">
        <v>0</v>
      </c>
      <c r="B320" s="185"/>
      <c r="C320" s="185"/>
      <c r="D320" s="185"/>
      <c r="E320" s="185"/>
      <c r="F320" s="185"/>
      <c r="G320" s="185"/>
      <c r="H320" s="185"/>
      <c r="I320" s="185"/>
      <c r="J320" s="186"/>
    </row>
    <row r="321" spans="1:10" ht="13.5" customHeight="1">
      <c r="A321" s="187" t="s">
        <v>1</v>
      </c>
      <c r="B321" s="188"/>
      <c r="C321" s="188"/>
      <c r="D321" s="188"/>
      <c r="E321" s="188"/>
      <c r="F321" s="188"/>
      <c r="G321" s="188"/>
      <c r="H321" s="188"/>
      <c r="I321" s="188"/>
      <c r="J321" s="189"/>
    </row>
    <row r="322" spans="1:10" ht="13.5" customHeight="1">
      <c r="A322" s="1" t="s">
        <v>2</v>
      </c>
      <c r="B322" s="1"/>
      <c r="C322" s="194"/>
      <c r="D322" s="194"/>
      <c r="E322" s="2"/>
      <c r="F322" s="3"/>
      <c r="G322" s="1" t="s">
        <v>4</v>
      </c>
      <c r="H322" s="209" t="s">
        <v>182</v>
      </c>
      <c r="I322" s="209"/>
      <c r="J322" s="209"/>
    </row>
    <row r="323" spans="1:10" ht="13.5" customHeight="1">
      <c r="A323" s="1" t="s">
        <v>6</v>
      </c>
      <c r="B323" s="1"/>
      <c r="C323" s="192" t="s">
        <v>845</v>
      </c>
      <c r="D323" s="192"/>
      <c r="E323" s="2"/>
      <c r="F323" s="3"/>
      <c r="G323" s="1" t="s">
        <v>8</v>
      </c>
      <c r="H323" s="193" t="s">
        <v>9</v>
      </c>
      <c r="I323" s="193"/>
      <c r="J323" s="193"/>
    </row>
    <row r="324" spans="1:10" ht="13.5" customHeight="1">
      <c r="A324" s="6" t="s">
        <v>10</v>
      </c>
      <c r="B324" s="6"/>
      <c r="C324" s="194" t="s">
        <v>839</v>
      </c>
      <c r="D324" s="194"/>
      <c r="E324" s="2"/>
      <c r="F324" s="3"/>
      <c r="G324" s="1" t="s">
        <v>12</v>
      </c>
      <c r="H324" s="195" t="s">
        <v>13</v>
      </c>
      <c r="I324" s="195"/>
      <c r="J324" s="195"/>
    </row>
    <row r="325" spans="1:10" ht="13.5" customHeight="1">
      <c r="A325" s="2" t="s">
        <v>14</v>
      </c>
      <c r="B325" s="2"/>
      <c r="C325" s="1" t="s">
        <v>15</v>
      </c>
      <c r="D325" s="1"/>
      <c r="E325" s="2"/>
      <c r="F325" s="3"/>
      <c r="G325" s="1" t="s">
        <v>16</v>
      </c>
      <c r="H325" s="209" t="s">
        <v>846</v>
      </c>
      <c r="I325" s="209"/>
      <c r="J325" s="209"/>
    </row>
    <row r="326" spans="1:10" ht="13.5" customHeight="1">
      <c r="A326" s="2">
        <v>30</v>
      </c>
      <c r="B326" s="2"/>
      <c r="C326" s="2">
        <f>A326-H326</f>
        <v>0</v>
      </c>
      <c r="D326" s="2"/>
      <c r="E326" s="2"/>
      <c r="F326" s="3"/>
      <c r="G326" s="8" t="s">
        <v>18</v>
      </c>
      <c r="H326" s="197">
        <v>30</v>
      </c>
      <c r="I326" s="197"/>
      <c r="J326" s="197"/>
    </row>
    <row r="327" spans="1:10" ht="13.5" customHeight="1">
      <c r="A327" s="198" t="s">
        <v>19</v>
      </c>
      <c r="B327" s="199"/>
      <c r="C327" s="200"/>
      <c r="D327" s="13" t="s">
        <v>20</v>
      </c>
      <c r="E327" s="14" t="s">
        <v>21</v>
      </c>
      <c r="F327" s="15"/>
      <c r="G327" s="16" t="s">
        <v>20</v>
      </c>
      <c r="H327" s="201" t="s">
        <v>22</v>
      </c>
      <c r="I327" s="202"/>
      <c r="J327" s="203"/>
    </row>
    <row r="328" spans="1:10" ht="13.5" customHeight="1">
      <c r="A328" s="17" t="s">
        <v>56</v>
      </c>
      <c r="B328" s="1"/>
      <c r="C328" s="1"/>
      <c r="D328" s="2">
        <v>15000</v>
      </c>
      <c r="E328" s="17" t="s">
        <v>24</v>
      </c>
      <c r="F328" s="1"/>
      <c r="G328" s="2" t="s">
        <v>25</v>
      </c>
      <c r="H328" s="18" t="s">
        <v>502</v>
      </c>
      <c r="I328" s="6"/>
      <c r="J328" s="19"/>
    </row>
    <row r="329" spans="1:10" ht="13.5" customHeight="1">
      <c r="A329" s="17" t="s">
        <v>57</v>
      </c>
      <c r="B329" s="209"/>
      <c r="C329" s="209"/>
      <c r="D329" s="2" t="s">
        <v>25</v>
      </c>
      <c r="E329" s="17" t="s">
        <v>28</v>
      </c>
      <c r="F329" s="1"/>
      <c r="G329" s="2" t="s">
        <v>25</v>
      </c>
      <c r="H329" s="18" t="s">
        <v>504</v>
      </c>
      <c r="I329" s="6"/>
      <c r="J329" s="19"/>
    </row>
    <row r="330" spans="1:10" ht="13.5" customHeight="1">
      <c r="A330" s="17" t="s">
        <v>847</v>
      </c>
      <c r="B330" s="209"/>
      <c r="C330" s="209"/>
      <c r="D330" s="2" t="s">
        <v>25</v>
      </c>
      <c r="E330" s="17" t="s">
        <v>58</v>
      </c>
      <c r="F330" s="1"/>
      <c r="G330" s="2" t="s">
        <v>25</v>
      </c>
      <c r="H330" s="18" t="s">
        <v>32</v>
      </c>
      <c r="I330" s="6"/>
      <c r="J330" s="19"/>
    </row>
    <row r="331" spans="1:10" ht="13.5" customHeight="1">
      <c r="A331" s="17" t="s">
        <v>34</v>
      </c>
      <c r="B331" s="1"/>
      <c r="C331" s="1"/>
      <c r="D331" s="2" t="s">
        <v>25</v>
      </c>
      <c r="E331" s="17" t="s">
        <v>35</v>
      </c>
      <c r="F331" s="1"/>
      <c r="G331" s="2" t="s">
        <v>25</v>
      </c>
      <c r="H331" s="18"/>
      <c r="I331" s="6"/>
      <c r="J331" s="19"/>
    </row>
    <row r="332" spans="1:10" ht="13.5" customHeight="1">
      <c r="A332" s="17" t="s">
        <v>230</v>
      </c>
      <c r="B332" s="1"/>
      <c r="C332" s="1"/>
      <c r="D332" s="2">
        <v>1000</v>
      </c>
      <c r="E332" s="17" t="s">
        <v>61</v>
      </c>
      <c r="F332" s="1"/>
      <c r="G332" s="2" t="s">
        <v>25</v>
      </c>
      <c r="H332" s="18"/>
      <c r="I332" s="6"/>
      <c r="J332" s="19"/>
    </row>
    <row r="333" spans="1:10" ht="13.5" customHeight="1">
      <c r="A333" s="17" t="s">
        <v>136</v>
      </c>
      <c r="B333" s="1"/>
      <c r="C333" s="1"/>
      <c r="D333" s="2" t="s">
        <v>25</v>
      </c>
      <c r="E333" s="17" t="s">
        <v>39</v>
      </c>
      <c r="F333" s="1"/>
      <c r="G333" s="2">
        <v>100</v>
      </c>
      <c r="H333" s="18"/>
      <c r="I333" s="6"/>
      <c r="J333" s="19"/>
    </row>
    <row r="334" spans="1:10" ht="13.5" customHeight="1">
      <c r="A334" s="18" t="s">
        <v>40</v>
      </c>
      <c r="B334" s="6"/>
      <c r="C334" s="6"/>
      <c r="D334" s="2" t="s">
        <v>25</v>
      </c>
      <c r="E334" s="17" t="s">
        <v>78</v>
      </c>
      <c r="F334" s="1"/>
      <c r="G334" s="2" t="s">
        <v>25</v>
      </c>
      <c r="H334" s="18"/>
      <c r="I334" s="6"/>
      <c r="J334" s="19"/>
    </row>
    <row r="335" spans="1:10" ht="13.5" customHeight="1">
      <c r="A335" s="204" t="s">
        <v>63</v>
      </c>
      <c r="B335" s="205"/>
      <c r="C335" s="206"/>
      <c r="D335" s="229">
        <f>SUM(D328:D334)</f>
        <v>16000</v>
      </c>
      <c r="E335" s="1" t="s">
        <v>43</v>
      </c>
      <c r="F335" s="1"/>
      <c r="G335" s="2" t="s">
        <v>25</v>
      </c>
      <c r="H335" s="18"/>
      <c r="I335" s="6"/>
      <c r="J335" s="19"/>
    </row>
    <row r="336" spans="1:10" ht="13.5" customHeight="1">
      <c r="A336" s="207"/>
      <c r="B336" s="197"/>
      <c r="C336" s="208"/>
      <c r="D336" s="230"/>
      <c r="E336" s="21" t="s">
        <v>21</v>
      </c>
      <c r="F336" s="22"/>
      <c r="G336" s="13">
        <f>SUM(G328:G335)</f>
        <v>100</v>
      </c>
      <c r="H336" s="21" t="s">
        <v>44</v>
      </c>
      <c r="I336" s="22"/>
      <c r="J336" s="13">
        <f>D335-G336</f>
        <v>15900</v>
      </c>
    </row>
    <row r="337" spans="1:10" ht="13.5" customHeight="1">
      <c r="A337" s="3" t="s">
        <v>45</v>
      </c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3.5" customHeight="1">
      <c r="A339" s="3"/>
      <c r="B339" s="3" t="s">
        <v>47</v>
      </c>
      <c r="C339" s="3"/>
      <c r="D339" s="3"/>
      <c r="E339" s="3" t="s">
        <v>48</v>
      </c>
      <c r="F339" s="3"/>
      <c r="G339" s="3"/>
      <c r="H339" s="3" t="s">
        <v>49</v>
      </c>
      <c r="I339" s="3"/>
      <c r="J339" s="3"/>
    </row>
    <row r="340" spans="1:10" ht="13.5" customHeight="1">
      <c r="A340" s="184" t="s">
        <v>0</v>
      </c>
      <c r="B340" s="185"/>
      <c r="C340" s="185"/>
      <c r="D340" s="185"/>
      <c r="E340" s="185"/>
      <c r="F340" s="185"/>
      <c r="G340" s="185"/>
      <c r="H340" s="185"/>
      <c r="I340" s="185"/>
      <c r="J340" s="186"/>
    </row>
    <row r="341" spans="1:10" ht="13.5" customHeight="1">
      <c r="A341" s="187" t="s">
        <v>1</v>
      </c>
      <c r="B341" s="188"/>
      <c r="C341" s="188"/>
      <c r="D341" s="188"/>
      <c r="E341" s="188"/>
      <c r="F341" s="188"/>
      <c r="G341" s="188"/>
      <c r="H341" s="188"/>
      <c r="I341" s="188"/>
      <c r="J341" s="189"/>
    </row>
    <row r="342" spans="1:10" ht="13.5" customHeight="1">
      <c r="A342" s="1" t="s">
        <v>2</v>
      </c>
      <c r="B342" s="1"/>
      <c r="C342" s="194"/>
      <c r="D342" s="194"/>
      <c r="E342" s="2"/>
      <c r="F342" s="3"/>
      <c r="G342" s="1" t="s">
        <v>4</v>
      </c>
      <c r="H342" s="209" t="s">
        <v>182</v>
      </c>
      <c r="I342" s="209"/>
      <c r="J342" s="209"/>
    </row>
    <row r="343" spans="1:10" ht="13.5" customHeight="1">
      <c r="A343" s="1" t="s">
        <v>6</v>
      </c>
      <c r="B343" s="1"/>
      <c r="C343" s="192" t="s">
        <v>848</v>
      </c>
      <c r="D343" s="192"/>
      <c r="E343" s="2"/>
      <c r="F343" s="3"/>
      <c r="G343" s="1" t="s">
        <v>8</v>
      </c>
      <c r="H343" s="193" t="s">
        <v>9</v>
      </c>
      <c r="I343" s="193"/>
      <c r="J343" s="193"/>
    </row>
    <row r="344" spans="1:10" ht="13.5" customHeight="1">
      <c r="A344" s="6" t="s">
        <v>10</v>
      </c>
      <c r="B344" s="6"/>
      <c r="C344" s="194" t="s">
        <v>839</v>
      </c>
      <c r="D344" s="194"/>
      <c r="E344" s="2"/>
      <c r="F344" s="3"/>
      <c r="G344" s="1" t="s">
        <v>12</v>
      </c>
      <c r="H344" s="195" t="s">
        <v>13</v>
      </c>
      <c r="I344" s="195"/>
      <c r="J344" s="195"/>
    </row>
    <row r="345" spans="1:10" ht="13.5" customHeight="1">
      <c r="A345" s="2" t="s">
        <v>14</v>
      </c>
      <c r="B345" s="2"/>
      <c r="C345" s="1" t="s">
        <v>15</v>
      </c>
      <c r="D345" s="1"/>
      <c r="E345" s="2"/>
      <c r="F345" s="3"/>
      <c r="G345" s="1" t="s">
        <v>16</v>
      </c>
      <c r="H345" s="209" t="s">
        <v>55</v>
      </c>
      <c r="I345" s="209"/>
      <c r="J345" s="209"/>
    </row>
    <row r="346" spans="1:10" ht="13.5" customHeight="1">
      <c r="A346" s="2">
        <v>30</v>
      </c>
      <c r="B346" s="2"/>
      <c r="C346" s="2">
        <f>A346-H346</f>
        <v>0</v>
      </c>
      <c r="D346" s="2"/>
      <c r="E346" s="2"/>
      <c r="F346" s="3"/>
      <c r="G346" s="8" t="s">
        <v>18</v>
      </c>
      <c r="H346" s="197">
        <v>30</v>
      </c>
      <c r="I346" s="197"/>
      <c r="J346" s="197"/>
    </row>
    <row r="347" spans="1:10" ht="13.5" customHeight="1">
      <c r="A347" s="198" t="s">
        <v>19</v>
      </c>
      <c r="B347" s="199"/>
      <c r="C347" s="200"/>
      <c r="D347" s="13" t="s">
        <v>20</v>
      </c>
      <c r="E347" s="14" t="s">
        <v>21</v>
      </c>
      <c r="F347" s="15"/>
      <c r="G347" s="16" t="s">
        <v>20</v>
      </c>
      <c r="H347" s="201" t="s">
        <v>22</v>
      </c>
      <c r="I347" s="202"/>
      <c r="J347" s="203"/>
    </row>
    <row r="348" spans="1:10" ht="13.5" customHeight="1">
      <c r="A348" s="17" t="s">
        <v>56</v>
      </c>
      <c r="B348" s="1"/>
      <c r="C348" s="1"/>
      <c r="D348" s="2">
        <v>15000</v>
      </c>
      <c r="E348" s="17" t="s">
        <v>24</v>
      </c>
      <c r="F348" s="1"/>
      <c r="G348" s="2" t="s">
        <v>25</v>
      </c>
      <c r="H348" s="18" t="s">
        <v>502</v>
      </c>
      <c r="I348" s="6"/>
      <c r="J348" s="19"/>
    </row>
    <row r="349" spans="1:10" ht="13.5" customHeight="1">
      <c r="A349" s="17" t="s">
        <v>57</v>
      </c>
      <c r="B349" s="209"/>
      <c r="C349" s="209"/>
      <c r="D349" s="2" t="s">
        <v>25</v>
      </c>
      <c r="E349" s="17" t="s">
        <v>333</v>
      </c>
      <c r="F349" s="1"/>
      <c r="G349" s="2" t="s">
        <v>25</v>
      </c>
      <c r="H349" s="18" t="s">
        <v>504</v>
      </c>
      <c r="I349" s="6"/>
      <c r="J349" s="19"/>
    </row>
    <row r="350" spans="1:10" ht="13.5" customHeight="1">
      <c r="A350" s="17" t="s">
        <v>847</v>
      </c>
      <c r="B350" s="209"/>
      <c r="C350" s="209"/>
      <c r="D350" s="2" t="s">
        <v>25</v>
      </c>
      <c r="E350" s="17" t="s">
        <v>40</v>
      </c>
      <c r="F350" s="1"/>
      <c r="G350" s="2" t="s">
        <v>25</v>
      </c>
      <c r="H350" s="18" t="s">
        <v>32</v>
      </c>
      <c r="I350" s="6"/>
      <c r="J350" s="19"/>
    </row>
    <row r="351" spans="1:10" ht="13.5" customHeight="1">
      <c r="A351" s="17" t="s">
        <v>72</v>
      </c>
      <c r="B351" s="1"/>
      <c r="C351" s="1"/>
      <c r="D351" s="2" t="s">
        <v>25</v>
      </c>
      <c r="E351" s="17" t="s">
        <v>35</v>
      </c>
      <c r="F351" s="1"/>
      <c r="G351" s="2" t="s">
        <v>25</v>
      </c>
      <c r="H351" s="18"/>
      <c r="I351" s="6"/>
      <c r="J351" s="19"/>
    </row>
    <row r="352" spans="1:10" ht="13.5" customHeight="1">
      <c r="A352" s="17" t="s">
        <v>78</v>
      </c>
      <c r="B352" s="1"/>
      <c r="C352" s="1"/>
      <c r="D352" s="2" t="s">
        <v>25</v>
      </c>
      <c r="E352" s="17" t="s">
        <v>61</v>
      </c>
      <c r="F352" s="1"/>
      <c r="G352" s="2" t="s">
        <v>25</v>
      </c>
      <c r="H352" s="18"/>
      <c r="I352" s="6"/>
      <c r="J352" s="19"/>
    </row>
    <row r="353" spans="1:10" ht="13.5" customHeight="1">
      <c r="A353" s="17" t="s">
        <v>136</v>
      </c>
      <c r="B353" s="1"/>
      <c r="C353" s="1"/>
      <c r="D353" s="2" t="s">
        <v>25</v>
      </c>
      <c r="E353" s="17" t="s">
        <v>39</v>
      </c>
      <c r="F353" s="1"/>
      <c r="G353" s="2">
        <v>100</v>
      </c>
      <c r="H353" s="18"/>
      <c r="I353" s="6"/>
      <c r="J353" s="19"/>
    </row>
    <row r="354" spans="1:10" ht="13.5" customHeight="1">
      <c r="A354" s="18" t="s">
        <v>40</v>
      </c>
      <c r="B354" s="6"/>
      <c r="C354" s="6"/>
      <c r="D354" s="2" t="s">
        <v>25</v>
      </c>
      <c r="E354" s="17" t="s">
        <v>78</v>
      </c>
      <c r="F354" s="1"/>
      <c r="G354" s="2" t="s">
        <v>25</v>
      </c>
      <c r="H354" s="18"/>
      <c r="I354" s="6"/>
      <c r="J354" s="19"/>
    </row>
    <row r="355" spans="1:10" ht="13.5" customHeight="1">
      <c r="A355" s="204" t="s">
        <v>63</v>
      </c>
      <c r="B355" s="205"/>
      <c r="C355" s="206"/>
      <c r="D355" s="229">
        <f>SUM(D348:D354)</f>
        <v>15000</v>
      </c>
      <c r="E355" s="1" t="s">
        <v>43</v>
      </c>
      <c r="F355" s="1"/>
      <c r="G355" s="2" t="s">
        <v>25</v>
      </c>
      <c r="H355" s="18"/>
      <c r="I355" s="6"/>
      <c r="J355" s="19"/>
    </row>
    <row r="356" spans="1:10" ht="13.5" customHeight="1">
      <c r="A356" s="207"/>
      <c r="B356" s="197"/>
      <c r="C356" s="208"/>
      <c r="D356" s="230"/>
      <c r="E356" s="21" t="s">
        <v>21</v>
      </c>
      <c r="F356" s="22"/>
      <c r="G356" s="13">
        <f>SUM(G348:G355)</f>
        <v>100</v>
      </c>
      <c r="H356" s="21" t="s">
        <v>44</v>
      </c>
      <c r="I356" s="22"/>
      <c r="J356" s="13">
        <f>D355-G356</f>
        <v>14900</v>
      </c>
    </row>
    <row r="357" spans="1:10" ht="13.5" customHeight="1">
      <c r="A357" s="3" t="s">
        <v>45</v>
      </c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3.5" customHeight="1">
      <c r="A359" s="3"/>
      <c r="B359" s="3" t="s">
        <v>47</v>
      </c>
      <c r="C359" s="3"/>
      <c r="D359" s="3"/>
      <c r="E359" s="3" t="s">
        <v>48</v>
      </c>
      <c r="F359" s="3"/>
      <c r="G359" s="3"/>
      <c r="H359" s="3" t="s">
        <v>49</v>
      </c>
      <c r="I359" s="3"/>
      <c r="J359" s="3"/>
    </row>
    <row r="360" spans="1:10" ht="13.5" customHeight="1">
      <c r="A360" s="184" t="s">
        <v>0</v>
      </c>
      <c r="B360" s="185"/>
      <c r="C360" s="185"/>
      <c r="D360" s="185"/>
      <c r="E360" s="185"/>
      <c r="F360" s="185"/>
      <c r="G360" s="185"/>
      <c r="H360" s="185"/>
      <c r="I360" s="185"/>
      <c r="J360" s="186"/>
    </row>
    <row r="361" spans="1:10" ht="13.5" customHeight="1">
      <c r="A361" s="187" t="s">
        <v>1</v>
      </c>
      <c r="B361" s="188"/>
      <c r="C361" s="188"/>
      <c r="D361" s="188"/>
      <c r="E361" s="188"/>
      <c r="F361" s="188"/>
      <c r="G361" s="188"/>
      <c r="H361" s="188"/>
      <c r="I361" s="188"/>
      <c r="J361" s="189"/>
    </row>
    <row r="362" spans="1:10" ht="13.5" customHeight="1">
      <c r="A362" s="1" t="s">
        <v>2</v>
      </c>
      <c r="B362" s="1"/>
      <c r="C362" s="194"/>
      <c r="D362" s="194"/>
      <c r="E362" s="2"/>
      <c r="F362" s="3"/>
      <c r="G362" s="1" t="s">
        <v>4</v>
      </c>
      <c r="H362" s="191" t="s">
        <v>849</v>
      </c>
      <c r="I362" s="191"/>
      <c r="J362" s="191"/>
    </row>
    <row r="363" spans="1:10" ht="13.5" customHeight="1">
      <c r="A363" s="1" t="s">
        <v>6</v>
      </c>
      <c r="B363" s="1"/>
      <c r="C363" s="25" t="s">
        <v>850</v>
      </c>
      <c r="D363" s="25"/>
      <c r="E363" s="2"/>
      <c r="F363" s="3"/>
      <c r="G363" s="1" t="s">
        <v>8</v>
      </c>
      <c r="H363" s="193" t="s">
        <v>9</v>
      </c>
      <c r="I363" s="193"/>
      <c r="J363" s="193"/>
    </row>
    <row r="364" spans="1:10" ht="13.5" customHeight="1">
      <c r="A364" s="6" t="s">
        <v>10</v>
      </c>
      <c r="B364" s="6"/>
      <c r="C364" s="209" t="s">
        <v>825</v>
      </c>
      <c r="D364" s="209"/>
      <c r="E364" s="2"/>
      <c r="F364" s="3"/>
      <c r="G364" s="1" t="s">
        <v>12</v>
      </c>
      <c r="H364" s="195" t="s">
        <v>13</v>
      </c>
      <c r="I364" s="195"/>
      <c r="J364" s="195"/>
    </row>
    <row r="365" spans="1:10" ht="13.5" customHeight="1">
      <c r="A365" s="2"/>
      <c r="B365" s="2"/>
      <c r="C365" s="2" t="s">
        <v>15</v>
      </c>
      <c r="D365" s="2"/>
      <c r="E365" s="2"/>
      <c r="F365" s="3"/>
      <c r="G365" s="1" t="s">
        <v>16</v>
      </c>
      <c r="H365" s="196" t="s">
        <v>55</v>
      </c>
      <c r="I365" s="196"/>
      <c r="J365" s="196"/>
    </row>
    <row r="366" spans="1:10" ht="13.5" customHeight="1">
      <c r="A366" s="2">
        <v>30</v>
      </c>
      <c r="B366" s="2"/>
      <c r="C366" s="2">
        <f>A366-I366</f>
        <v>0</v>
      </c>
      <c r="D366" s="2"/>
      <c r="E366" s="2"/>
      <c r="F366" s="3"/>
      <c r="G366" s="8" t="s">
        <v>18</v>
      </c>
      <c r="H366" s="8"/>
      <c r="I366" s="9">
        <v>30</v>
      </c>
      <c r="J366" s="9"/>
    </row>
    <row r="367" spans="1:10" ht="13.5" customHeight="1">
      <c r="A367" s="198" t="s">
        <v>19</v>
      </c>
      <c r="B367" s="199"/>
      <c r="C367" s="200"/>
      <c r="D367" s="13" t="s">
        <v>20</v>
      </c>
      <c r="E367" s="14" t="s">
        <v>21</v>
      </c>
      <c r="F367" s="15"/>
      <c r="G367" s="16" t="s">
        <v>20</v>
      </c>
      <c r="H367" s="201" t="s">
        <v>22</v>
      </c>
      <c r="I367" s="202"/>
      <c r="J367" s="203"/>
    </row>
    <row r="368" spans="1:10" ht="13.5" customHeight="1">
      <c r="A368" s="17" t="s">
        <v>23</v>
      </c>
      <c r="B368" s="1"/>
      <c r="C368" s="1"/>
      <c r="D368" s="2">
        <v>17000</v>
      </c>
      <c r="E368" s="17" t="s">
        <v>24</v>
      </c>
      <c r="F368" s="1"/>
      <c r="G368" s="2" t="s">
        <v>25</v>
      </c>
      <c r="H368" s="18" t="s">
        <v>26</v>
      </c>
      <c r="I368" s="23"/>
      <c r="J368" s="24"/>
    </row>
    <row r="369" spans="1:10" ht="13.5" customHeight="1">
      <c r="A369" s="17" t="s">
        <v>69</v>
      </c>
      <c r="B369" s="209"/>
      <c r="C369" s="209"/>
      <c r="D369" s="2" t="s">
        <v>25</v>
      </c>
      <c r="E369" s="17" t="s">
        <v>58</v>
      </c>
      <c r="F369" s="1"/>
      <c r="G369" s="2" t="s">
        <v>25</v>
      </c>
      <c r="H369" s="18" t="s">
        <v>29</v>
      </c>
      <c r="I369" s="23"/>
      <c r="J369" s="24"/>
    </row>
    <row r="370" spans="1:10" ht="13.5" customHeight="1">
      <c r="A370" s="17" t="s">
        <v>30</v>
      </c>
      <c r="B370" s="1"/>
      <c r="C370" s="1"/>
      <c r="D370" s="2" t="s">
        <v>25</v>
      </c>
      <c r="E370" s="17" t="s">
        <v>70</v>
      </c>
      <c r="F370" s="1"/>
      <c r="G370" s="2" t="s">
        <v>25</v>
      </c>
      <c r="H370" s="18" t="s">
        <v>32</v>
      </c>
      <c r="I370" s="23"/>
      <c r="J370" s="24"/>
    </row>
    <row r="371" spans="1:10" ht="13.5" customHeight="1">
      <c r="A371" s="17" t="s">
        <v>345</v>
      </c>
      <c r="B371" s="1"/>
      <c r="C371" s="1"/>
      <c r="D371" s="2" t="s">
        <v>25</v>
      </c>
      <c r="E371" s="17" t="s">
        <v>71</v>
      </c>
      <c r="F371" s="1"/>
      <c r="G371" s="2" t="s">
        <v>25</v>
      </c>
      <c r="H371" s="18"/>
      <c r="I371" s="6"/>
      <c r="J371" s="19"/>
    </row>
    <row r="372" spans="1:10" ht="13.5" customHeight="1">
      <c r="A372" s="17" t="s">
        <v>72</v>
      </c>
      <c r="B372" s="1"/>
      <c r="C372" s="1"/>
      <c r="D372" s="2" t="s">
        <v>25</v>
      </c>
      <c r="E372" s="17" t="s">
        <v>61</v>
      </c>
      <c r="F372" s="1"/>
      <c r="G372" s="2" t="s">
        <v>25</v>
      </c>
      <c r="H372" s="211"/>
      <c r="I372" s="194"/>
      <c r="J372" s="212"/>
    </row>
    <row r="373" spans="1:10" ht="13.5" customHeight="1">
      <c r="A373" s="17" t="s">
        <v>136</v>
      </c>
      <c r="B373" s="1"/>
      <c r="C373" s="1"/>
      <c r="D373" s="2" t="s">
        <v>25</v>
      </c>
      <c r="E373" s="17" t="s">
        <v>39</v>
      </c>
      <c r="F373" s="1"/>
      <c r="G373" s="2">
        <v>100</v>
      </c>
      <c r="H373" s="18"/>
      <c r="I373" s="6"/>
      <c r="J373" s="19"/>
    </row>
    <row r="374" spans="1:10" ht="13.5" customHeight="1">
      <c r="A374" s="18" t="s">
        <v>40</v>
      </c>
      <c r="B374" s="6"/>
      <c r="C374" s="6"/>
      <c r="D374" s="2" t="s">
        <v>25</v>
      </c>
      <c r="E374" s="17" t="s">
        <v>62</v>
      </c>
      <c r="F374" s="1"/>
      <c r="G374" s="2" t="s">
        <v>25</v>
      </c>
      <c r="H374" s="18"/>
      <c r="I374" s="6"/>
      <c r="J374" s="19"/>
    </row>
    <row r="375" spans="1:10" ht="13.5" customHeight="1">
      <c r="A375" s="204" t="s">
        <v>63</v>
      </c>
      <c r="B375" s="205"/>
      <c r="C375" s="206"/>
      <c r="D375" s="229">
        <f>SUM(D368:D374)</f>
        <v>17000</v>
      </c>
      <c r="E375" s="1" t="s">
        <v>43</v>
      </c>
      <c r="F375" s="1"/>
      <c r="G375" s="2" t="s">
        <v>25</v>
      </c>
      <c r="H375" s="18"/>
      <c r="I375" s="6"/>
      <c r="J375" s="19"/>
    </row>
    <row r="376" spans="1:10" ht="13.5" customHeight="1">
      <c r="A376" s="207"/>
      <c r="B376" s="197"/>
      <c r="C376" s="208"/>
      <c r="D376" s="230"/>
      <c r="E376" s="21" t="s">
        <v>21</v>
      </c>
      <c r="F376" s="22"/>
      <c r="G376" s="13">
        <f>SUM(G368:G375)</f>
        <v>100</v>
      </c>
      <c r="H376" s="21" t="s">
        <v>44</v>
      </c>
      <c r="I376" s="22"/>
      <c r="J376" s="13">
        <f>D375-G376</f>
        <v>16900</v>
      </c>
    </row>
    <row r="377" spans="1:10" ht="13.5" customHeight="1">
      <c r="A377" s="2"/>
      <c r="B377" s="2"/>
      <c r="C377" s="2"/>
      <c r="D377" s="2"/>
      <c r="E377" s="1"/>
      <c r="F377" s="1"/>
      <c r="G377" s="2"/>
      <c r="H377" s="1"/>
      <c r="I377" s="1"/>
      <c r="J377" s="2"/>
    </row>
    <row r="378" spans="1:10" ht="13.5" customHeight="1">
      <c r="A378" s="3" t="s">
        <v>45</v>
      </c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3.5" customHeight="1">
      <c r="A379" s="3"/>
      <c r="B379" s="3" t="s">
        <v>47</v>
      </c>
      <c r="C379" s="3"/>
      <c r="D379" s="3" t="s">
        <v>73</v>
      </c>
      <c r="E379" s="3" t="s">
        <v>48</v>
      </c>
      <c r="F379" s="3"/>
      <c r="G379" s="3"/>
      <c r="H379" s="3" t="s">
        <v>49</v>
      </c>
      <c r="I379" s="3"/>
      <c r="J379" s="3"/>
    </row>
    <row r="380" spans="1:10" ht="13.5" customHeight="1">
      <c r="A380" s="184" t="s">
        <v>0</v>
      </c>
      <c r="B380" s="185"/>
      <c r="C380" s="185"/>
      <c r="D380" s="185"/>
      <c r="E380" s="185"/>
      <c r="F380" s="185"/>
      <c r="G380" s="185"/>
      <c r="H380" s="185"/>
      <c r="I380" s="185"/>
      <c r="J380" s="186"/>
    </row>
    <row r="381" spans="1:10" ht="13.5" customHeight="1">
      <c r="A381" s="187" t="s">
        <v>1</v>
      </c>
      <c r="B381" s="188"/>
      <c r="C381" s="188"/>
      <c r="D381" s="188"/>
      <c r="E381" s="188"/>
      <c r="F381" s="188"/>
      <c r="G381" s="188"/>
      <c r="H381" s="188"/>
      <c r="I381" s="188"/>
      <c r="J381" s="189"/>
    </row>
    <row r="382" spans="1:10" ht="13.5" customHeight="1">
      <c r="A382" s="1" t="s">
        <v>2</v>
      </c>
      <c r="B382" s="1"/>
      <c r="C382" s="194"/>
      <c r="D382" s="194"/>
      <c r="E382" s="2"/>
      <c r="F382" s="3"/>
      <c r="G382" s="1" t="s">
        <v>4</v>
      </c>
      <c r="H382" s="191" t="s">
        <v>191</v>
      </c>
      <c r="I382" s="191"/>
      <c r="J382" s="191"/>
    </row>
    <row r="383" spans="1:10" ht="13.5" customHeight="1">
      <c r="A383" s="1" t="s">
        <v>6</v>
      </c>
      <c r="B383" s="1"/>
      <c r="C383" s="192" t="s">
        <v>851</v>
      </c>
      <c r="D383" s="192"/>
      <c r="E383" s="2"/>
      <c r="F383" s="3"/>
      <c r="G383" s="1" t="s">
        <v>8</v>
      </c>
      <c r="H383" s="193" t="s">
        <v>9</v>
      </c>
      <c r="I383" s="193"/>
      <c r="J383" s="193"/>
    </row>
    <row r="384" spans="1:10" ht="13.5" customHeight="1">
      <c r="A384" s="6" t="s">
        <v>10</v>
      </c>
      <c r="B384" s="6"/>
      <c r="C384" s="194" t="s">
        <v>839</v>
      </c>
      <c r="D384" s="194"/>
      <c r="E384" s="2"/>
      <c r="F384" s="3"/>
      <c r="G384" s="1" t="s">
        <v>12</v>
      </c>
      <c r="H384" s="195" t="s">
        <v>13</v>
      </c>
      <c r="I384" s="195"/>
      <c r="J384" s="195"/>
    </row>
    <row r="385" spans="1:10" ht="13.5" customHeight="1">
      <c r="A385" s="2" t="s">
        <v>14</v>
      </c>
      <c r="B385" s="2"/>
      <c r="C385" s="2" t="s">
        <v>15</v>
      </c>
      <c r="D385" s="2"/>
      <c r="E385" s="2"/>
      <c r="F385" s="3"/>
      <c r="G385" s="1" t="s">
        <v>16</v>
      </c>
      <c r="H385" s="196" t="s">
        <v>171</v>
      </c>
      <c r="I385" s="196"/>
      <c r="J385" s="196"/>
    </row>
    <row r="386" spans="1:10" ht="13.5" customHeight="1">
      <c r="A386" s="2">
        <v>30</v>
      </c>
      <c r="B386" s="2"/>
      <c r="C386" s="2">
        <f>A386-H386</f>
        <v>0</v>
      </c>
      <c r="D386" s="2"/>
      <c r="E386" s="2"/>
      <c r="F386" s="3"/>
      <c r="G386" s="8" t="s">
        <v>18</v>
      </c>
      <c r="H386" s="197">
        <v>30</v>
      </c>
      <c r="I386" s="197"/>
      <c r="J386" s="197"/>
    </row>
    <row r="387" spans="1:10" ht="13.5" customHeight="1">
      <c r="A387" s="198" t="s">
        <v>19</v>
      </c>
      <c r="B387" s="199"/>
      <c r="C387" s="200"/>
      <c r="D387" s="13" t="s">
        <v>20</v>
      </c>
      <c r="E387" s="14" t="s">
        <v>21</v>
      </c>
      <c r="F387" s="15"/>
      <c r="G387" s="16" t="s">
        <v>20</v>
      </c>
      <c r="H387" s="201" t="s">
        <v>22</v>
      </c>
      <c r="I387" s="202"/>
      <c r="J387" s="203"/>
    </row>
    <row r="388" spans="1:10" ht="13.5" customHeight="1">
      <c r="A388" s="17" t="s">
        <v>23</v>
      </c>
      <c r="B388" s="1"/>
      <c r="C388" s="1"/>
      <c r="D388" s="2">
        <v>10000</v>
      </c>
      <c r="E388" s="17" t="s">
        <v>24</v>
      </c>
      <c r="F388" s="1"/>
      <c r="G388" s="2" t="s">
        <v>25</v>
      </c>
      <c r="H388" s="18" t="s">
        <v>502</v>
      </c>
      <c r="I388" s="6"/>
      <c r="J388" s="19"/>
    </row>
    <row r="389" spans="1:10" ht="13.5" customHeight="1">
      <c r="A389" s="17" t="s">
        <v>57</v>
      </c>
      <c r="B389" s="209" t="s">
        <v>82</v>
      </c>
      <c r="C389" s="209"/>
      <c r="D389" s="2">
        <v>667</v>
      </c>
      <c r="E389" s="17" t="s">
        <v>58</v>
      </c>
      <c r="F389" s="1"/>
      <c r="G389" s="2" t="s">
        <v>25</v>
      </c>
      <c r="H389" s="18" t="s">
        <v>504</v>
      </c>
      <c r="I389" s="6"/>
      <c r="J389" s="19"/>
    </row>
    <row r="390" spans="1:10" ht="13.5" customHeight="1">
      <c r="A390" s="17" t="s">
        <v>852</v>
      </c>
      <c r="B390" s="209"/>
      <c r="C390" s="209"/>
      <c r="D390" s="2" t="s">
        <v>25</v>
      </c>
      <c r="E390" s="17" t="s">
        <v>853</v>
      </c>
      <c r="F390" s="1"/>
      <c r="G390" s="2" t="s">
        <v>25</v>
      </c>
      <c r="H390" s="18" t="s">
        <v>32</v>
      </c>
      <c r="I390" s="6"/>
      <c r="J390" s="19"/>
    </row>
    <row r="391" spans="1:10" ht="13.5" customHeight="1">
      <c r="A391" s="17" t="s">
        <v>72</v>
      </c>
      <c r="B391" s="1"/>
      <c r="C391" s="1"/>
      <c r="D391" s="2" t="s">
        <v>25</v>
      </c>
      <c r="E391" s="17" t="s">
        <v>35</v>
      </c>
      <c r="F391" s="1"/>
      <c r="G391" s="2" t="s">
        <v>25</v>
      </c>
      <c r="H391" s="18"/>
      <c r="I391" s="6"/>
      <c r="J391" s="19"/>
    </row>
    <row r="392" spans="1:10" ht="13.5" customHeight="1">
      <c r="A392" s="17" t="s">
        <v>97</v>
      </c>
      <c r="B392" s="1"/>
      <c r="C392" s="1"/>
      <c r="D392" s="2">
        <v>1000</v>
      </c>
      <c r="E392" s="17" t="s">
        <v>37</v>
      </c>
      <c r="F392" s="2"/>
      <c r="G392" s="2" t="s">
        <v>25</v>
      </c>
      <c r="H392" s="18" t="s">
        <v>854</v>
      </c>
      <c r="I392" s="6"/>
      <c r="J392" s="19"/>
    </row>
    <row r="393" spans="1:10" ht="13.5" customHeight="1">
      <c r="A393" s="17" t="s">
        <v>136</v>
      </c>
      <c r="B393" s="1"/>
      <c r="C393" s="1"/>
      <c r="D393" s="2" t="s">
        <v>25</v>
      </c>
      <c r="E393" s="17" t="s">
        <v>39</v>
      </c>
      <c r="F393" s="1"/>
      <c r="G393" s="2">
        <v>100</v>
      </c>
      <c r="H393" s="18"/>
      <c r="I393" s="6"/>
      <c r="J393" s="19"/>
    </row>
    <row r="394" spans="1:10" ht="13.5" customHeight="1">
      <c r="A394" s="18" t="s">
        <v>40</v>
      </c>
      <c r="B394" s="6"/>
      <c r="C394" s="6"/>
      <c r="D394" s="2" t="s">
        <v>25</v>
      </c>
      <c r="E394" s="17" t="s">
        <v>78</v>
      </c>
      <c r="F394" s="1"/>
      <c r="G394" s="2" t="s">
        <v>25</v>
      </c>
      <c r="H394" s="18"/>
      <c r="I394" s="6"/>
      <c r="J394" s="19"/>
    </row>
    <row r="395" spans="1:10" ht="13.5" customHeight="1">
      <c r="A395" s="204" t="s">
        <v>63</v>
      </c>
      <c r="B395" s="205"/>
      <c r="C395" s="206"/>
      <c r="D395" s="229">
        <f>SUM(D388:D394)</f>
        <v>11667</v>
      </c>
      <c r="E395" s="1" t="s">
        <v>43</v>
      </c>
      <c r="F395" s="1"/>
      <c r="G395" s="2" t="s">
        <v>25</v>
      </c>
      <c r="H395" s="18"/>
      <c r="I395" s="6"/>
      <c r="J395" s="19"/>
    </row>
    <row r="396" spans="1:10" ht="13.5" customHeight="1">
      <c r="A396" s="207"/>
      <c r="B396" s="197"/>
      <c r="C396" s="208"/>
      <c r="D396" s="230"/>
      <c r="E396" s="21" t="s">
        <v>21</v>
      </c>
      <c r="F396" s="22"/>
      <c r="G396" s="13">
        <f>SUM(G388:G395)</f>
        <v>100</v>
      </c>
      <c r="H396" s="21" t="s">
        <v>44</v>
      </c>
      <c r="I396" s="22"/>
      <c r="J396" s="13">
        <f>D395-G396</f>
        <v>11567</v>
      </c>
    </row>
    <row r="397" spans="1:10" ht="13.5" customHeight="1">
      <c r="A397" s="3" t="s">
        <v>45</v>
      </c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3.5" customHeight="1">
      <c r="A399" s="3"/>
      <c r="B399" s="3" t="s">
        <v>47</v>
      </c>
      <c r="C399" s="3"/>
      <c r="D399" s="3"/>
      <c r="E399" s="3" t="s">
        <v>48</v>
      </c>
      <c r="F399" s="3"/>
      <c r="G399" s="3"/>
      <c r="H399" s="3" t="s">
        <v>49</v>
      </c>
      <c r="I399" s="3"/>
      <c r="J399" s="3"/>
    </row>
    <row r="400" spans="1:10" ht="13.5" customHeight="1">
      <c r="A400" s="184" t="s">
        <v>0</v>
      </c>
      <c r="B400" s="185"/>
      <c r="C400" s="185"/>
      <c r="D400" s="185"/>
      <c r="E400" s="185"/>
      <c r="F400" s="185"/>
      <c r="G400" s="185"/>
      <c r="H400" s="185"/>
      <c r="I400" s="185"/>
      <c r="J400" s="186"/>
    </row>
    <row r="401" spans="1:10" ht="13.5" customHeight="1">
      <c r="A401" s="187" t="s">
        <v>1</v>
      </c>
      <c r="B401" s="188"/>
      <c r="C401" s="188"/>
      <c r="D401" s="188"/>
      <c r="E401" s="188"/>
      <c r="F401" s="188"/>
      <c r="G401" s="188"/>
      <c r="H401" s="188"/>
      <c r="I401" s="188"/>
      <c r="J401" s="189"/>
    </row>
    <row r="402" spans="1:10" ht="13.5" customHeight="1">
      <c r="A402" s="1" t="s">
        <v>2</v>
      </c>
      <c r="B402" s="1"/>
      <c r="C402" s="194"/>
      <c r="D402" s="194"/>
      <c r="E402" s="2"/>
      <c r="F402" s="3"/>
      <c r="G402" s="1" t="s">
        <v>4</v>
      </c>
      <c r="H402" s="191" t="s">
        <v>191</v>
      </c>
      <c r="I402" s="191"/>
      <c r="J402" s="191"/>
    </row>
    <row r="403" spans="1:10" ht="13.5" customHeight="1">
      <c r="A403" s="1" t="s">
        <v>6</v>
      </c>
      <c r="B403" s="1"/>
      <c r="C403" s="192" t="s">
        <v>855</v>
      </c>
      <c r="D403" s="192"/>
      <c r="E403" s="2"/>
      <c r="F403" s="3"/>
      <c r="G403" s="1" t="s">
        <v>8</v>
      </c>
      <c r="H403" s="193" t="s">
        <v>9</v>
      </c>
      <c r="I403" s="193"/>
      <c r="J403" s="193"/>
    </row>
    <row r="404" spans="1:10" ht="13.5" customHeight="1">
      <c r="A404" s="6" t="s">
        <v>10</v>
      </c>
      <c r="B404" s="6"/>
      <c r="C404" s="194" t="s">
        <v>839</v>
      </c>
      <c r="D404" s="194"/>
      <c r="E404" s="2"/>
      <c r="F404" s="3"/>
      <c r="G404" s="1" t="s">
        <v>12</v>
      </c>
      <c r="H404" s="195" t="s">
        <v>13</v>
      </c>
      <c r="I404" s="195"/>
      <c r="J404" s="195"/>
    </row>
    <row r="405" spans="1:10" ht="13.5" customHeight="1">
      <c r="A405" s="2" t="s">
        <v>14</v>
      </c>
      <c r="B405" s="2"/>
      <c r="C405" s="2" t="s">
        <v>15</v>
      </c>
      <c r="D405" s="2"/>
      <c r="E405" s="2"/>
      <c r="F405" s="3"/>
      <c r="G405" s="1" t="s">
        <v>16</v>
      </c>
      <c r="H405" s="196" t="s">
        <v>171</v>
      </c>
      <c r="I405" s="196"/>
      <c r="J405" s="196"/>
    </row>
    <row r="406" spans="1:10" ht="13.5" customHeight="1">
      <c r="A406" s="2">
        <v>30</v>
      </c>
      <c r="B406" s="2"/>
      <c r="C406" s="2">
        <f>A406-H406</f>
        <v>0</v>
      </c>
      <c r="D406" s="2"/>
      <c r="E406" s="2"/>
      <c r="F406" s="3"/>
      <c r="G406" s="8" t="s">
        <v>18</v>
      </c>
      <c r="H406" s="197">
        <v>30</v>
      </c>
      <c r="I406" s="197"/>
      <c r="J406" s="197"/>
    </row>
    <row r="407" spans="1:10" ht="13.5" customHeight="1">
      <c r="A407" s="198" t="s">
        <v>19</v>
      </c>
      <c r="B407" s="199"/>
      <c r="C407" s="200"/>
      <c r="D407" s="13" t="s">
        <v>20</v>
      </c>
      <c r="E407" s="14" t="s">
        <v>21</v>
      </c>
      <c r="F407" s="15"/>
      <c r="G407" s="16" t="s">
        <v>20</v>
      </c>
      <c r="H407" s="201" t="s">
        <v>22</v>
      </c>
      <c r="I407" s="202"/>
      <c r="J407" s="203"/>
    </row>
    <row r="408" spans="1:10" ht="13.5" customHeight="1">
      <c r="A408" s="17" t="s">
        <v>23</v>
      </c>
      <c r="B408" s="1"/>
      <c r="C408" s="1"/>
      <c r="D408" s="2">
        <v>10000</v>
      </c>
      <c r="E408" s="17" t="s">
        <v>24</v>
      </c>
      <c r="F408" s="1"/>
      <c r="G408" s="2" t="s">
        <v>25</v>
      </c>
      <c r="H408" s="18" t="s">
        <v>502</v>
      </c>
      <c r="I408" s="6"/>
      <c r="J408" s="19"/>
    </row>
    <row r="409" spans="1:10" ht="13.5" customHeight="1">
      <c r="A409" s="17" t="s">
        <v>57</v>
      </c>
      <c r="B409" s="209" t="s">
        <v>82</v>
      </c>
      <c r="C409" s="209"/>
      <c r="D409" s="2">
        <v>667</v>
      </c>
      <c r="E409" s="17" t="s">
        <v>28</v>
      </c>
      <c r="F409" s="1"/>
      <c r="G409" s="2" t="s">
        <v>25</v>
      </c>
      <c r="H409" s="18" t="s">
        <v>504</v>
      </c>
      <c r="I409" s="6"/>
      <c r="J409" s="19"/>
    </row>
    <row r="410" spans="1:10" ht="13.5" customHeight="1">
      <c r="A410" s="17" t="s">
        <v>852</v>
      </c>
      <c r="B410" s="209"/>
      <c r="C410" s="209"/>
      <c r="D410" s="2">
        <v>433</v>
      </c>
      <c r="E410" s="17" t="s">
        <v>853</v>
      </c>
      <c r="F410" s="1"/>
      <c r="G410" s="2" t="s">
        <v>25</v>
      </c>
      <c r="H410" s="18" t="s">
        <v>32</v>
      </c>
      <c r="I410" s="6"/>
      <c r="J410" s="19"/>
    </row>
    <row r="411" spans="1:10" ht="13.5" customHeight="1">
      <c r="A411" s="17" t="s">
        <v>72</v>
      </c>
      <c r="B411" s="1"/>
      <c r="C411" s="1"/>
      <c r="D411" s="2" t="s">
        <v>25</v>
      </c>
      <c r="E411" s="17" t="s">
        <v>35</v>
      </c>
      <c r="F411" s="1"/>
      <c r="G411" s="2" t="s">
        <v>25</v>
      </c>
      <c r="H411" s="18"/>
      <c r="I411" s="6"/>
      <c r="J411" s="19"/>
    </row>
    <row r="412" spans="1:10" ht="13.5" customHeight="1">
      <c r="A412" s="17" t="s">
        <v>78</v>
      </c>
      <c r="B412" s="1"/>
      <c r="C412" s="1"/>
      <c r="D412" s="2" t="s">
        <v>25</v>
      </c>
      <c r="E412" s="17" t="s">
        <v>37</v>
      </c>
      <c r="F412" s="2"/>
      <c r="G412" s="2" t="s">
        <v>25</v>
      </c>
      <c r="H412" s="18" t="s">
        <v>662</v>
      </c>
      <c r="I412" s="6"/>
      <c r="J412" s="19"/>
    </row>
    <row r="413" spans="1:10" ht="13.5" customHeight="1">
      <c r="A413" s="17" t="s">
        <v>136</v>
      </c>
      <c r="B413" s="1"/>
      <c r="C413" s="1"/>
      <c r="D413" s="2" t="s">
        <v>25</v>
      </c>
      <c r="E413" s="17" t="s">
        <v>39</v>
      </c>
      <c r="F413" s="1"/>
      <c r="G413" s="2">
        <v>100</v>
      </c>
      <c r="H413" s="18"/>
      <c r="I413" s="6"/>
      <c r="J413" s="19"/>
    </row>
    <row r="414" spans="1:10" ht="13.5" customHeight="1">
      <c r="A414" s="18" t="s">
        <v>40</v>
      </c>
      <c r="B414" s="6"/>
      <c r="C414" s="6"/>
      <c r="D414" s="2" t="s">
        <v>25</v>
      </c>
      <c r="E414" s="17" t="s">
        <v>78</v>
      </c>
      <c r="F414" s="1"/>
      <c r="G414" s="2" t="s">
        <v>25</v>
      </c>
      <c r="H414" s="18"/>
      <c r="I414" s="6"/>
      <c r="J414" s="19"/>
    </row>
    <row r="415" spans="1:10" ht="13.5" customHeight="1">
      <c r="A415" s="204" t="s">
        <v>63</v>
      </c>
      <c r="B415" s="205"/>
      <c r="C415" s="206"/>
      <c r="D415" s="229">
        <f>SUM(D408:D414)</f>
        <v>11100</v>
      </c>
      <c r="E415" s="1" t="s">
        <v>43</v>
      </c>
      <c r="F415" s="1"/>
      <c r="G415" s="2" t="s">
        <v>25</v>
      </c>
      <c r="H415" s="18"/>
      <c r="I415" s="6"/>
      <c r="J415" s="19"/>
    </row>
    <row r="416" spans="1:10" ht="13.5" customHeight="1">
      <c r="A416" s="207"/>
      <c r="B416" s="197"/>
      <c r="C416" s="208"/>
      <c r="D416" s="230"/>
      <c r="E416" s="21" t="s">
        <v>21</v>
      </c>
      <c r="F416" s="22"/>
      <c r="G416" s="13">
        <f>SUM(G408:G415)</f>
        <v>100</v>
      </c>
      <c r="H416" s="21" t="s">
        <v>44</v>
      </c>
      <c r="I416" s="22"/>
      <c r="J416" s="13">
        <f>D415-G416</f>
        <v>11000</v>
      </c>
    </row>
    <row r="417" spans="1:10" ht="13.5" customHeight="1">
      <c r="A417" s="3" t="s">
        <v>45</v>
      </c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3.5" customHeight="1">
      <c r="A419" s="3"/>
      <c r="B419" s="3" t="s">
        <v>47</v>
      </c>
      <c r="C419" s="3"/>
      <c r="D419" s="3"/>
      <c r="E419" s="3" t="s">
        <v>48</v>
      </c>
      <c r="F419" s="3"/>
      <c r="G419" s="3"/>
      <c r="H419" s="3" t="s">
        <v>49</v>
      </c>
      <c r="I419" s="3"/>
      <c r="J419" s="3"/>
    </row>
    <row r="420" spans="1:10" ht="13.5" customHeight="1">
      <c r="A420" s="184" t="s">
        <v>0</v>
      </c>
      <c r="B420" s="185"/>
      <c r="C420" s="185"/>
      <c r="D420" s="185"/>
      <c r="E420" s="185"/>
      <c r="F420" s="185"/>
      <c r="G420" s="185"/>
      <c r="H420" s="185"/>
      <c r="I420" s="185"/>
      <c r="J420" s="186"/>
    </row>
    <row r="421" spans="1:10" ht="13.5" customHeight="1">
      <c r="A421" s="187" t="s">
        <v>1</v>
      </c>
      <c r="B421" s="188"/>
      <c r="C421" s="188"/>
      <c r="D421" s="188"/>
      <c r="E421" s="188"/>
      <c r="F421" s="188"/>
      <c r="G421" s="188"/>
      <c r="H421" s="188"/>
      <c r="I421" s="188"/>
      <c r="J421" s="189"/>
    </row>
    <row r="422" spans="1:10" ht="13.5" customHeight="1">
      <c r="A422" s="1" t="s">
        <v>2</v>
      </c>
      <c r="B422" s="1"/>
      <c r="C422" s="194"/>
      <c r="D422" s="194"/>
      <c r="E422" s="2"/>
      <c r="F422" s="3"/>
      <c r="G422" s="1" t="s">
        <v>4</v>
      </c>
      <c r="H422" s="191" t="s">
        <v>191</v>
      </c>
      <c r="I422" s="191"/>
      <c r="J422" s="191"/>
    </row>
    <row r="423" spans="1:10" ht="13.5" customHeight="1">
      <c r="A423" s="1" t="s">
        <v>6</v>
      </c>
      <c r="B423" s="1"/>
      <c r="C423" s="192" t="s">
        <v>848</v>
      </c>
      <c r="D423" s="192"/>
      <c r="E423" s="2"/>
      <c r="F423" s="3"/>
      <c r="G423" s="1" t="s">
        <v>8</v>
      </c>
      <c r="H423" s="193" t="s">
        <v>9</v>
      </c>
      <c r="I423" s="193"/>
      <c r="J423" s="193"/>
    </row>
    <row r="424" spans="1:10" ht="13.5" customHeight="1">
      <c r="A424" s="6" t="s">
        <v>10</v>
      </c>
      <c r="B424" s="6"/>
      <c r="C424" s="194" t="s">
        <v>839</v>
      </c>
      <c r="D424" s="194"/>
      <c r="E424" s="2"/>
      <c r="F424" s="3"/>
      <c r="G424" s="1" t="s">
        <v>12</v>
      </c>
      <c r="H424" s="195" t="s">
        <v>13</v>
      </c>
      <c r="I424" s="195"/>
      <c r="J424" s="195"/>
    </row>
    <row r="425" spans="1:10" ht="13.5" customHeight="1">
      <c r="A425" s="2" t="s">
        <v>14</v>
      </c>
      <c r="B425" s="2"/>
      <c r="C425" s="2" t="s">
        <v>15</v>
      </c>
      <c r="D425" s="2"/>
      <c r="E425" s="2"/>
      <c r="F425" s="3"/>
      <c r="G425" s="1" t="s">
        <v>16</v>
      </c>
      <c r="H425" s="196" t="s">
        <v>522</v>
      </c>
      <c r="I425" s="196"/>
      <c r="J425" s="196"/>
    </row>
    <row r="426" spans="1:10" ht="13.5" customHeight="1">
      <c r="A426" s="2">
        <v>30</v>
      </c>
      <c r="B426" s="2"/>
      <c r="C426" s="2">
        <f>A426-H426</f>
        <v>0</v>
      </c>
      <c r="D426" s="2"/>
      <c r="E426" s="2"/>
      <c r="F426" s="3"/>
      <c r="G426" s="8" t="s">
        <v>18</v>
      </c>
      <c r="H426" s="197">
        <v>30</v>
      </c>
      <c r="I426" s="197"/>
      <c r="J426" s="197"/>
    </row>
    <row r="427" spans="1:10" ht="13.5" customHeight="1">
      <c r="A427" s="198" t="s">
        <v>19</v>
      </c>
      <c r="B427" s="199"/>
      <c r="C427" s="200"/>
      <c r="D427" s="13" t="s">
        <v>20</v>
      </c>
      <c r="E427" s="14" t="s">
        <v>21</v>
      </c>
      <c r="F427" s="15"/>
      <c r="G427" s="16" t="s">
        <v>20</v>
      </c>
      <c r="H427" s="201" t="s">
        <v>22</v>
      </c>
      <c r="I427" s="202"/>
      <c r="J427" s="203"/>
    </row>
    <row r="428" spans="1:10" ht="13.5" customHeight="1">
      <c r="A428" s="17" t="s">
        <v>23</v>
      </c>
      <c r="B428" s="1"/>
      <c r="C428" s="1"/>
      <c r="D428" s="2">
        <v>10000</v>
      </c>
      <c r="E428" s="17" t="s">
        <v>24</v>
      </c>
      <c r="F428" s="1"/>
      <c r="G428" s="2" t="s">
        <v>25</v>
      </c>
      <c r="H428" s="18" t="s">
        <v>502</v>
      </c>
      <c r="I428" s="6"/>
      <c r="J428" s="19"/>
    </row>
    <row r="429" spans="1:10" ht="13.5" customHeight="1">
      <c r="A429" s="17" t="s">
        <v>57</v>
      </c>
      <c r="B429" s="209" t="s">
        <v>82</v>
      </c>
      <c r="C429" s="209"/>
      <c r="D429" s="2">
        <v>667</v>
      </c>
      <c r="E429" s="17" t="s">
        <v>28</v>
      </c>
      <c r="F429" s="1"/>
      <c r="G429" s="2" t="s">
        <v>25</v>
      </c>
      <c r="H429" s="18" t="s">
        <v>504</v>
      </c>
      <c r="I429" s="6"/>
      <c r="J429" s="19"/>
    </row>
    <row r="430" spans="1:10" ht="13.5" customHeight="1">
      <c r="A430" s="17" t="s">
        <v>852</v>
      </c>
      <c r="B430" s="209"/>
      <c r="C430" s="209"/>
      <c r="D430" s="2">
        <v>433</v>
      </c>
      <c r="E430" s="17" t="s">
        <v>853</v>
      </c>
      <c r="F430" s="1"/>
      <c r="G430" s="2" t="s">
        <v>25</v>
      </c>
      <c r="H430" s="18" t="s">
        <v>32</v>
      </c>
      <c r="I430" s="6"/>
      <c r="J430" s="19"/>
    </row>
    <row r="431" spans="1:10" ht="13.5" customHeight="1">
      <c r="A431" s="17" t="s">
        <v>72</v>
      </c>
      <c r="B431" s="1"/>
      <c r="C431" s="1"/>
      <c r="D431" s="2" t="s">
        <v>25</v>
      </c>
      <c r="E431" s="17" t="s">
        <v>35</v>
      </c>
      <c r="F431" s="1"/>
      <c r="G431" s="2" t="s">
        <v>25</v>
      </c>
      <c r="H431" s="18"/>
      <c r="I431" s="6"/>
      <c r="J431" s="19"/>
    </row>
    <row r="432" spans="1:10" ht="13.5" customHeight="1">
      <c r="A432" s="17" t="s">
        <v>78</v>
      </c>
      <c r="B432" s="1"/>
      <c r="C432" s="1"/>
      <c r="D432" s="2" t="s">
        <v>25</v>
      </c>
      <c r="E432" s="17" t="s">
        <v>37</v>
      </c>
      <c r="F432" s="2"/>
      <c r="G432" s="2" t="s">
        <v>25</v>
      </c>
      <c r="H432" s="18" t="s">
        <v>854</v>
      </c>
      <c r="I432" s="6"/>
      <c r="J432" s="19"/>
    </row>
    <row r="433" spans="1:10" ht="13.5" customHeight="1">
      <c r="A433" s="17" t="s">
        <v>136</v>
      </c>
      <c r="B433" s="1"/>
      <c r="C433" s="1"/>
      <c r="D433" s="2" t="s">
        <v>25</v>
      </c>
      <c r="E433" s="17" t="s">
        <v>39</v>
      </c>
      <c r="F433" s="1"/>
      <c r="G433" s="2">
        <v>100</v>
      </c>
      <c r="H433" s="18"/>
      <c r="I433" s="6"/>
      <c r="J433" s="19"/>
    </row>
    <row r="434" spans="1:10" ht="13.5" customHeight="1">
      <c r="A434" s="18" t="s">
        <v>40</v>
      </c>
      <c r="B434" s="6"/>
      <c r="C434" s="6"/>
      <c r="D434" s="2" t="s">
        <v>25</v>
      </c>
      <c r="E434" s="17" t="s">
        <v>78</v>
      </c>
      <c r="F434" s="1"/>
      <c r="G434" s="2" t="s">
        <v>25</v>
      </c>
      <c r="H434" s="18"/>
      <c r="I434" s="6"/>
      <c r="J434" s="19"/>
    </row>
    <row r="435" spans="1:10" ht="13.5" customHeight="1">
      <c r="A435" s="204" t="s">
        <v>63</v>
      </c>
      <c r="B435" s="205"/>
      <c r="C435" s="206"/>
      <c r="D435" s="229">
        <f>SUM(D428:D434)</f>
        <v>11100</v>
      </c>
      <c r="E435" s="1" t="s">
        <v>43</v>
      </c>
      <c r="F435" s="1"/>
      <c r="G435" s="2" t="s">
        <v>25</v>
      </c>
      <c r="H435" s="18"/>
      <c r="I435" s="6"/>
      <c r="J435" s="19"/>
    </row>
    <row r="436" spans="1:10" ht="13.5" customHeight="1">
      <c r="A436" s="207"/>
      <c r="B436" s="197"/>
      <c r="C436" s="208"/>
      <c r="D436" s="230"/>
      <c r="E436" s="21" t="s">
        <v>21</v>
      </c>
      <c r="F436" s="22"/>
      <c r="G436" s="13">
        <f>SUM(G428:G435)</f>
        <v>100</v>
      </c>
      <c r="H436" s="21" t="s">
        <v>44</v>
      </c>
      <c r="I436" s="22"/>
      <c r="J436" s="13">
        <f>D435-G436</f>
        <v>11000</v>
      </c>
    </row>
    <row r="437" spans="1:10" ht="13.5" customHeight="1">
      <c r="A437" s="3" t="s">
        <v>45</v>
      </c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3.5" customHeight="1">
      <c r="A439" s="3"/>
      <c r="B439" s="3" t="s">
        <v>47</v>
      </c>
      <c r="C439" s="3"/>
      <c r="D439" s="3"/>
      <c r="E439" s="3" t="s">
        <v>48</v>
      </c>
      <c r="F439" s="3"/>
      <c r="G439" s="3"/>
      <c r="H439" s="3" t="s">
        <v>49</v>
      </c>
      <c r="I439" s="3"/>
      <c r="J439" s="3"/>
    </row>
    <row r="440" spans="1:10" ht="13.5" customHeight="1">
      <c r="A440" s="184" t="s">
        <v>0</v>
      </c>
      <c r="B440" s="185"/>
      <c r="C440" s="185"/>
      <c r="D440" s="185"/>
      <c r="E440" s="185"/>
      <c r="F440" s="185"/>
      <c r="G440" s="185"/>
      <c r="H440" s="185"/>
      <c r="I440" s="185"/>
      <c r="J440" s="186"/>
    </row>
    <row r="441" spans="1:10" ht="13.5" customHeight="1">
      <c r="A441" s="187" t="s">
        <v>1</v>
      </c>
      <c r="B441" s="188"/>
      <c r="C441" s="188"/>
      <c r="D441" s="188"/>
      <c r="E441" s="188"/>
      <c r="F441" s="188"/>
      <c r="G441" s="188"/>
      <c r="H441" s="188"/>
      <c r="I441" s="188"/>
      <c r="J441" s="189"/>
    </row>
    <row r="442" spans="1:10" ht="13.5" customHeight="1">
      <c r="A442" s="1" t="s">
        <v>2</v>
      </c>
      <c r="B442" s="1"/>
      <c r="C442" s="194"/>
      <c r="D442" s="194"/>
      <c r="E442" s="2"/>
      <c r="F442" s="3"/>
      <c r="G442" s="1" t="s">
        <v>4</v>
      </c>
      <c r="H442" s="191" t="s">
        <v>205</v>
      </c>
      <c r="I442" s="191"/>
      <c r="J442" s="191"/>
    </row>
    <row r="443" spans="1:10" ht="13.5" customHeight="1">
      <c r="A443" s="1" t="s">
        <v>6</v>
      </c>
      <c r="B443" s="1"/>
      <c r="C443" s="192" t="s">
        <v>856</v>
      </c>
      <c r="D443" s="192"/>
      <c r="E443" s="2"/>
      <c r="F443" s="3"/>
      <c r="G443" s="1" t="s">
        <v>8</v>
      </c>
      <c r="H443" s="193" t="s">
        <v>9</v>
      </c>
      <c r="I443" s="193"/>
      <c r="J443" s="193"/>
    </row>
    <row r="444" spans="1:10" ht="13.5" customHeight="1">
      <c r="A444" s="6" t="s">
        <v>10</v>
      </c>
      <c r="B444" s="6"/>
      <c r="C444" s="194" t="s">
        <v>825</v>
      </c>
      <c r="D444" s="194"/>
      <c r="E444" s="2"/>
      <c r="F444" s="3"/>
      <c r="G444" s="1" t="s">
        <v>12</v>
      </c>
      <c r="H444" s="195" t="s">
        <v>13</v>
      </c>
      <c r="I444" s="195"/>
      <c r="J444" s="195"/>
    </row>
    <row r="445" spans="1:10" ht="13.5" customHeight="1">
      <c r="A445" s="2" t="s">
        <v>14</v>
      </c>
      <c r="B445" s="2"/>
      <c r="C445" s="2" t="s">
        <v>15</v>
      </c>
      <c r="D445" s="2"/>
      <c r="E445" s="2"/>
      <c r="F445" s="3"/>
      <c r="G445" s="1" t="s">
        <v>16</v>
      </c>
      <c r="H445" s="196" t="s">
        <v>140</v>
      </c>
      <c r="I445" s="196"/>
      <c r="J445" s="196"/>
    </row>
    <row r="446" spans="1:10" ht="13.5" customHeight="1">
      <c r="A446" s="2">
        <v>30</v>
      </c>
      <c r="B446" s="2"/>
      <c r="C446" s="2">
        <f>A446-H446</f>
        <v>9</v>
      </c>
      <c r="D446" s="2"/>
      <c r="E446" s="2"/>
      <c r="F446" s="3"/>
      <c r="G446" s="8" t="s">
        <v>18</v>
      </c>
      <c r="H446" s="197">
        <v>21</v>
      </c>
      <c r="I446" s="197"/>
      <c r="J446" s="197"/>
    </row>
    <row r="447" spans="1:10" ht="13.5" customHeight="1">
      <c r="A447" s="198" t="s">
        <v>19</v>
      </c>
      <c r="B447" s="199"/>
      <c r="C447" s="200"/>
      <c r="D447" s="13" t="s">
        <v>20</v>
      </c>
      <c r="E447" s="14" t="s">
        <v>21</v>
      </c>
      <c r="F447" s="15"/>
      <c r="G447" s="16" t="s">
        <v>20</v>
      </c>
      <c r="H447" s="201" t="s">
        <v>22</v>
      </c>
      <c r="I447" s="202"/>
      <c r="J447" s="203"/>
    </row>
    <row r="448" spans="1:10" ht="13.5" customHeight="1">
      <c r="A448" s="17" t="s">
        <v>23</v>
      </c>
      <c r="B448" s="1"/>
      <c r="C448" s="1"/>
      <c r="D448" s="2">
        <v>15000</v>
      </c>
      <c r="E448" s="17" t="s">
        <v>24</v>
      </c>
      <c r="F448" s="1"/>
      <c r="G448" s="2" t="s">
        <v>25</v>
      </c>
      <c r="H448" s="18" t="s">
        <v>502</v>
      </c>
      <c r="I448" s="6"/>
      <c r="J448" s="19"/>
    </row>
    <row r="449" spans="1:10" ht="13.5" customHeight="1">
      <c r="A449" s="17" t="s">
        <v>77</v>
      </c>
      <c r="B449" s="209"/>
      <c r="C449" s="209"/>
      <c r="D449" s="2" t="s">
        <v>25</v>
      </c>
      <c r="E449" s="17" t="s">
        <v>58</v>
      </c>
      <c r="F449" s="1"/>
      <c r="G449" s="2" t="s">
        <v>25</v>
      </c>
      <c r="H449" s="18" t="s">
        <v>504</v>
      </c>
      <c r="I449" s="6"/>
      <c r="J449" s="19"/>
    </row>
    <row r="450" spans="1:10" ht="13.5" customHeight="1">
      <c r="A450" s="17" t="s">
        <v>30</v>
      </c>
      <c r="B450" s="1"/>
      <c r="C450" s="1"/>
      <c r="D450" s="2" t="s">
        <v>25</v>
      </c>
      <c r="E450" s="17" t="s">
        <v>40</v>
      </c>
      <c r="F450" s="1"/>
      <c r="G450" s="2" t="s">
        <v>25</v>
      </c>
      <c r="H450" s="18" t="s">
        <v>32</v>
      </c>
      <c r="I450" s="6"/>
      <c r="J450" s="19"/>
    </row>
    <row r="451" spans="1:10" ht="13.5" customHeight="1">
      <c r="A451" s="17" t="s">
        <v>34</v>
      </c>
      <c r="B451" s="1"/>
      <c r="C451" s="1"/>
      <c r="D451" s="2" t="s">
        <v>25</v>
      </c>
      <c r="E451" s="17" t="s">
        <v>71</v>
      </c>
      <c r="F451" s="1"/>
      <c r="G451" s="2" t="s">
        <v>25</v>
      </c>
      <c r="H451" s="18"/>
      <c r="I451" s="36"/>
      <c r="J451" s="19"/>
    </row>
    <row r="452" spans="1:10" ht="13.5" customHeight="1">
      <c r="A452" s="17" t="s">
        <v>72</v>
      </c>
      <c r="B452" s="1"/>
      <c r="C452" s="1"/>
      <c r="D452" s="2" t="s">
        <v>25</v>
      </c>
      <c r="E452" s="17" t="s">
        <v>61</v>
      </c>
      <c r="F452" s="1"/>
      <c r="G452" s="2" t="s">
        <v>25</v>
      </c>
      <c r="H452" s="42"/>
      <c r="I452" s="36"/>
      <c r="J452" s="43"/>
    </row>
    <row r="453" spans="1:10" ht="13.5" customHeight="1">
      <c r="A453" s="17" t="s">
        <v>78</v>
      </c>
      <c r="B453" s="1"/>
      <c r="C453" s="1"/>
      <c r="D453" s="2" t="s">
        <v>25</v>
      </c>
      <c r="E453" s="17" t="s">
        <v>39</v>
      </c>
      <c r="F453" s="1"/>
      <c r="G453" s="2">
        <v>100</v>
      </c>
      <c r="H453" s="44"/>
      <c r="I453" s="36"/>
      <c r="J453" s="43"/>
    </row>
    <row r="454" spans="1:10" ht="13.5" customHeight="1">
      <c r="A454" s="18" t="s">
        <v>40</v>
      </c>
      <c r="B454" s="6"/>
      <c r="C454" s="6"/>
      <c r="D454" s="2" t="s">
        <v>25</v>
      </c>
      <c r="E454" s="17" t="s">
        <v>41</v>
      </c>
      <c r="F454" s="1"/>
      <c r="G454" s="2" t="s">
        <v>25</v>
      </c>
      <c r="H454" s="42"/>
      <c r="I454" s="36"/>
      <c r="J454" s="43"/>
    </row>
    <row r="455" spans="1:10" ht="13.5" customHeight="1">
      <c r="A455" s="204" t="s">
        <v>63</v>
      </c>
      <c r="B455" s="205"/>
      <c r="C455" s="206"/>
      <c r="D455" s="229">
        <f>SUM(D448:D454)</f>
        <v>15000</v>
      </c>
      <c r="E455" s="1" t="s">
        <v>78</v>
      </c>
      <c r="F455" s="1"/>
      <c r="G455" s="2" t="s">
        <v>25</v>
      </c>
      <c r="H455" s="18"/>
      <c r="I455" s="6"/>
      <c r="J455" s="19"/>
    </row>
    <row r="456" spans="1:10" ht="13.5" customHeight="1">
      <c r="A456" s="207"/>
      <c r="B456" s="197"/>
      <c r="C456" s="208"/>
      <c r="D456" s="230"/>
      <c r="E456" s="21" t="s">
        <v>21</v>
      </c>
      <c r="F456" s="22"/>
      <c r="G456" s="13">
        <f>SUM(G448:G455)</f>
        <v>100</v>
      </c>
      <c r="H456" s="21" t="s">
        <v>44</v>
      </c>
      <c r="I456" s="22"/>
      <c r="J456" s="13">
        <f>D455-G456</f>
        <v>14900</v>
      </c>
    </row>
    <row r="457" spans="1:10" ht="13.5" customHeight="1">
      <c r="A457" s="3" t="s">
        <v>45</v>
      </c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3.5" customHeight="1">
      <c r="A458" s="3"/>
      <c r="B458" s="3" t="s">
        <v>47</v>
      </c>
      <c r="C458" s="3"/>
      <c r="D458" s="3"/>
      <c r="E458" s="3" t="s">
        <v>48</v>
      </c>
      <c r="F458" s="3"/>
      <c r="G458" s="3"/>
      <c r="H458" s="3" t="s">
        <v>49</v>
      </c>
      <c r="I458" s="3"/>
      <c r="J458" s="3"/>
    </row>
    <row r="459" spans="1:10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3.5" customHeight="1">
      <c r="A460" s="184" t="s">
        <v>0</v>
      </c>
      <c r="B460" s="185"/>
      <c r="C460" s="185"/>
      <c r="D460" s="185"/>
      <c r="E460" s="185"/>
      <c r="F460" s="185"/>
      <c r="G460" s="185"/>
      <c r="H460" s="185"/>
      <c r="I460" s="185"/>
      <c r="J460" s="186"/>
    </row>
    <row r="461" spans="1:10" ht="13.5" customHeight="1">
      <c r="A461" s="187" t="s">
        <v>1</v>
      </c>
      <c r="B461" s="188"/>
      <c r="C461" s="188"/>
      <c r="D461" s="188"/>
      <c r="E461" s="188"/>
      <c r="F461" s="188"/>
      <c r="G461" s="188"/>
      <c r="H461" s="188"/>
      <c r="I461" s="188"/>
      <c r="J461" s="189"/>
    </row>
    <row r="462" spans="1:10" ht="13.5" customHeight="1">
      <c r="A462" s="1" t="s">
        <v>2</v>
      </c>
      <c r="B462" s="1"/>
      <c r="C462" s="190" t="s">
        <v>418</v>
      </c>
      <c r="D462" s="190"/>
      <c r="E462" s="2"/>
      <c r="F462" s="3"/>
      <c r="G462" s="1" t="s">
        <v>4</v>
      </c>
      <c r="H462" s="193" t="s">
        <v>211</v>
      </c>
      <c r="I462" s="193"/>
      <c r="J462" s="193"/>
    </row>
    <row r="463" spans="1:10" ht="13.5" customHeight="1">
      <c r="A463" s="1" t="s">
        <v>6</v>
      </c>
      <c r="B463" s="1"/>
      <c r="C463" s="192" t="s">
        <v>857</v>
      </c>
      <c r="D463" s="192"/>
      <c r="E463" s="2"/>
      <c r="F463" s="3"/>
      <c r="G463" s="1" t="s">
        <v>8</v>
      </c>
      <c r="H463" s="193" t="s">
        <v>9</v>
      </c>
      <c r="I463" s="193"/>
      <c r="J463" s="193"/>
    </row>
    <row r="464" spans="1:10" ht="13.5" customHeight="1">
      <c r="A464" s="6" t="s">
        <v>10</v>
      </c>
      <c r="B464" s="6"/>
      <c r="C464" s="6" t="s">
        <v>825</v>
      </c>
      <c r="D464" s="6"/>
      <c r="E464" s="2"/>
      <c r="F464" s="3"/>
      <c r="G464" s="1" t="s">
        <v>12</v>
      </c>
      <c r="H464" s="195" t="s">
        <v>13</v>
      </c>
      <c r="I464" s="195"/>
      <c r="J464" s="195"/>
    </row>
    <row r="465" spans="1:10" ht="13.5" customHeight="1">
      <c r="A465" s="2" t="s">
        <v>14</v>
      </c>
      <c r="B465" s="2"/>
      <c r="C465" s="2" t="s">
        <v>15</v>
      </c>
      <c r="D465" s="2"/>
      <c r="E465" s="2"/>
      <c r="F465" s="3"/>
      <c r="G465" s="1" t="s">
        <v>16</v>
      </c>
      <c r="H465" s="196" t="s">
        <v>386</v>
      </c>
      <c r="I465" s="196"/>
      <c r="J465" s="196"/>
    </row>
    <row r="466" spans="1:10" ht="13.5" customHeight="1">
      <c r="A466" s="2">
        <v>30</v>
      </c>
      <c r="B466" s="2"/>
      <c r="C466" s="2">
        <f>A466-H466</f>
        <v>0</v>
      </c>
      <c r="D466" s="2"/>
      <c r="E466" s="2"/>
      <c r="F466" s="3"/>
      <c r="G466" s="8" t="s">
        <v>18</v>
      </c>
      <c r="H466" s="197">
        <v>30</v>
      </c>
      <c r="I466" s="197"/>
      <c r="J466" s="197"/>
    </row>
    <row r="467" spans="1:10" ht="13.5" customHeight="1">
      <c r="A467" s="198" t="s">
        <v>19</v>
      </c>
      <c r="B467" s="199"/>
      <c r="C467" s="200"/>
      <c r="D467" s="13" t="s">
        <v>20</v>
      </c>
      <c r="E467" s="14" t="s">
        <v>21</v>
      </c>
      <c r="F467" s="15"/>
      <c r="G467" s="16" t="s">
        <v>20</v>
      </c>
      <c r="H467" s="201" t="s">
        <v>22</v>
      </c>
      <c r="I467" s="202"/>
      <c r="J467" s="203"/>
    </row>
    <row r="468" spans="1:10" ht="13.5" customHeight="1">
      <c r="A468" s="17" t="s">
        <v>23</v>
      </c>
      <c r="B468" s="1"/>
      <c r="C468" s="1"/>
      <c r="D468" s="2">
        <v>15000</v>
      </c>
      <c r="E468" s="17" t="s">
        <v>24</v>
      </c>
      <c r="F468" s="1"/>
      <c r="G468" s="2" t="s">
        <v>25</v>
      </c>
      <c r="H468" s="18" t="s">
        <v>502</v>
      </c>
      <c r="I468" s="6"/>
      <c r="J468" s="19"/>
    </row>
    <row r="469" spans="1:10" ht="13.5" customHeight="1">
      <c r="A469" s="17" t="s">
        <v>77</v>
      </c>
      <c r="B469" s="209"/>
      <c r="C469" s="209"/>
      <c r="D469" s="2" t="s">
        <v>25</v>
      </c>
      <c r="E469" s="17" t="s">
        <v>58</v>
      </c>
      <c r="F469" s="1"/>
      <c r="G469" s="2" t="s">
        <v>25</v>
      </c>
      <c r="H469" s="18" t="s">
        <v>504</v>
      </c>
      <c r="I469" s="6"/>
      <c r="J469" s="19"/>
    </row>
    <row r="470" spans="1:10" ht="13.5" customHeight="1">
      <c r="A470" s="17" t="s">
        <v>30</v>
      </c>
      <c r="B470" s="1"/>
      <c r="C470" s="1"/>
      <c r="D470" s="2" t="s">
        <v>25</v>
      </c>
      <c r="E470" s="17" t="s">
        <v>40</v>
      </c>
      <c r="F470" s="1"/>
      <c r="G470" s="2" t="s">
        <v>25</v>
      </c>
      <c r="H470" s="18" t="s">
        <v>32</v>
      </c>
      <c r="I470" s="6"/>
      <c r="J470" s="19"/>
    </row>
    <row r="471" spans="1:10" ht="13.5" customHeight="1">
      <c r="A471" s="17" t="s">
        <v>147</v>
      </c>
      <c r="B471" s="1"/>
      <c r="C471" s="1"/>
      <c r="D471" s="2" t="s">
        <v>25</v>
      </c>
      <c r="E471" s="17" t="s">
        <v>35</v>
      </c>
      <c r="F471" s="1"/>
      <c r="G471" s="2" t="s">
        <v>25</v>
      </c>
      <c r="H471" s="18"/>
      <c r="I471" s="36"/>
      <c r="J471" s="19"/>
    </row>
    <row r="472" spans="1:10" ht="13.5" customHeight="1">
      <c r="A472" s="17" t="s">
        <v>78</v>
      </c>
      <c r="B472" s="1"/>
      <c r="C472" s="1"/>
      <c r="D472" s="2" t="s">
        <v>25</v>
      </c>
      <c r="E472" s="17" t="s">
        <v>61</v>
      </c>
      <c r="F472" s="1"/>
      <c r="G472" s="2" t="s">
        <v>25</v>
      </c>
      <c r="H472" s="78"/>
      <c r="I472" s="36"/>
      <c r="J472" s="43"/>
    </row>
    <row r="473" spans="1:10" ht="13.5" customHeight="1">
      <c r="A473" s="17" t="s">
        <v>136</v>
      </c>
      <c r="B473" s="1"/>
      <c r="C473" s="1"/>
      <c r="D473" s="2" t="s">
        <v>25</v>
      </c>
      <c r="E473" s="17" t="s">
        <v>39</v>
      </c>
      <c r="F473" s="1"/>
      <c r="G473" s="2">
        <v>100</v>
      </c>
      <c r="H473" s="42"/>
      <c r="I473" s="36"/>
      <c r="J473" s="43"/>
    </row>
    <row r="474" spans="1:10" ht="13.5" customHeight="1">
      <c r="A474" s="18" t="s">
        <v>40</v>
      </c>
      <c r="B474" s="6"/>
      <c r="C474" s="6"/>
      <c r="D474" s="2" t="s">
        <v>25</v>
      </c>
      <c r="E474" s="17" t="s">
        <v>78</v>
      </c>
      <c r="F474" s="1"/>
      <c r="G474" s="2" t="s">
        <v>25</v>
      </c>
      <c r="H474" s="42"/>
      <c r="I474" s="36"/>
      <c r="J474" s="43"/>
    </row>
    <row r="475" spans="1:10" ht="13.5" customHeight="1">
      <c r="A475" s="204" t="s">
        <v>63</v>
      </c>
      <c r="B475" s="205"/>
      <c r="C475" s="206"/>
      <c r="D475" s="229">
        <f>SUM(D468:D474)</f>
        <v>15000</v>
      </c>
      <c r="E475" s="1" t="s">
        <v>43</v>
      </c>
      <c r="F475" s="1"/>
      <c r="G475" s="2" t="s">
        <v>25</v>
      </c>
      <c r="H475" s="18"/>
      <c r="I475" s="6"/>
      <c r="J475" s="19"/>
    </row>
    <row r="476" spans="1:10" ht="13.5" customHeight="1">
      <c r="A476" s="207"/>
      <c r="B476" s="197"/>
      <c r="C476" s="208"/>
      <c r="D476" s="230"/>
      <c r="E476" s="21" t="s">
        <v>21</v>
      </c>
      <c r="F476" s="22"/>
      <c r="G476" s="13">
        <f>SUM(G468:G475)</f>
        <v>100</v>
      </c>
      <c r="H476" s="21" t="s">
        <v>44</v>
      </c>
      <c r="I476" s="22"/>
      <c r="J476" s="13">
        <f>D475-G476</f>
        <v>14900</v>
      </c>
    </row>
    <row r="477" spans="1:10" ht="13.5" customHeight="1">
      <c r="A477" s="3" t="s">
        <v>45</v>
      </c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3.5" customHeight="1"/>
    <row r="479" spans="1:10" ht="13.5" customHeight="1">
      <c r="A479" s="184" t="s">
        <v>0</v>
      </c>
      <c r="B479" s="185"/>
      <c r="C479" s="185"/>
      <c r="D479" s="185"/>
      <c r="E479" s="185"/>
      <c r="F479" s="185"/>
      <c r="G479" s="185"/>
      <c r="H479" s="185"/>
      <c r="I479" s="185"/>
      <c r="J479" s="186"/>
    </row>
    <row r="480" spans="1:10" ht="13.5" customHeight="1">
      <c r="A480" s="187" t="s">
        <v>1</v>
      </c>
      <c r="B480" s="188"/>
      <c r="C480" s="188"/>
      <c r="D480" s="188"/>
      <c r="E480" s="188"/>
      <c r="F480" s="188"/>
      <c r="G480" s="188"/>
      <c r="H480" s="188"/>
      <c r="I480" s="188"/>
      <c r="J480" s="189"/>
    </row>
    <row r="481" spans="1:10" ht="13.5" customHeight="1">
      <c r="A481" s="1" t="s">
        <v>2</v>
      </c>
      <c r="B481" s="1"/>
      <c r="C481" s="190" t="s">
        <v>418</v>
      </c>
      <c r="D481" s="190"/>
      <c r="E481" s="2"/>
      <c r="F481" s="3"/>
      <c r="G481" s="1" t="s">
        <v>4</v>
      </c>
      <c r="H481" s="193" t="s">
        <v>211</v>
      </c>
      <c r="I481" s="193"/>
      <c r="J481" s="193"/>
    </row>
    <row r="482" spans="1:10" ht="13.5" customHeight="1">
      <c r="A482" s="1" t="s">
        <v>6</v>
      </c>
      <c r="B482" s="1"/>
      <c r="C482" s="192" t="s">
        <v>858</v>
      </c>
      <c r="D482" s="192"/>
      <c r="E482" s="2"/>
      <c r="F482" s="3"/>
      <c r="G482" s="1" t="s">
        <v>8</v>
      </c>
      <c r="H482" s="193" t="s">
        <v>9</v>
      </c>
      <c r="I482" s="193"/>
      <c r="J482" s="193"/>
    </row>
    <row r="483" spans="1:10" ht="13.5" customHeight="1">
      <c r="A483" s="6" t="s">
        <v>10</v>
      </c>
      <c r="B483" s="6"/>
      <c r="C483" s="6" t="s">
        <v>825</v>
      </c>
      <c r="D483" s="6"/>
      <c r="E483" s="2"/>
      <c r="F483" s="3"/>
      <c r="G483" s="1" t="s">
        <v>12</v>
      </c>
      <c r="H483" s="195" t="s">
        <v>13</v>
      </c>
      <c r="I483" s="195"/>
      <c r="J483" s="195"/>
    </row>
    <row r="484" spans="1:10" ht="13.5" customHeight="1">
      <c r="A484" s="2" t="s">
        <v>14</v>
      </c>
      <c r="B484" s="2"/>
      <c r="C484" s="2" t="s">
        <v>15</v>
      </c>
      <c r="D484" s="2"/>
      <c r="E484" s="2"/>
      <c r="F484" s="3"/>
      <c r="G484" s="1" t="s">
        <v>16</v>
      </c>
      <c r="H484" s="196" t="s">
        <v>859</v>
      </c>
      <c r="I484" s="196"/>
      <c r="J484" s="196"/>
    </row>
    <row r="485" spans="1:10" ht="13.5" customHeight="1">
      <c r="A485" s="2">
        <v>30</v>
      </c>
      <c r="B485" s="2"/>
      <c r="C485" s="2">
        <f>A485-H485</f>
        <v>7</v>
      </c>
      <c r="D485" s="2"/>
      <c r="E485" s="2"/>
      <c r="F485" s="3"/>
      <c r="G485" s="8" t="s">
        <v>18</v>
      </c>
      <c r="H485" s="197">
        <v>23</v>
      </c>
      <c r="I485" s="197"/>
      <c r="J485" s="197"/>
    </row>
    <row r="486" spans="1:10" ht="13.5" customHeight="1">
      <c r="A486" s="198" t="s">
        <v>19</v>
      </c>
      <c r="B486" s="199"/>
      <c r="C486" s="200"/>
      <c r="D486" s="13" t="s">
        <v>20</v>
      </c>
      <c r="E486" s="14" t="s">
        <v>21</v>
      </c>
      <c r="F486" s="15"/>
      <c r="G486" s="16" t="s">
        <v>20</v>
      </c>
      <c r="H486" s="201" t="s">
        <v>22</v>
      </c>
      <c r="I486" s="202"/>
      <c r="J486" s="203"/>
    </row>
    <row r="487" spans="1:10" ht="13.5" customHeight="1">
      <c r="A487" s="17" t="s">
        <v>23</v>
      </c>
      <c r="B487" s="1"/>
      <c r="C487" s="1"/>
      <c r="D487" s="2">
        <v>15000</v>
      </c>
      <c r="E487" s="17" t="s">
        <v>24</v>
      </c>
      <c r="F487" s="1"/>
      <c r="G487" s="2" t="s">
        <v>25</v>
      </c>
      <c r="H487" s="18" t="s">
        <v>502</v>
      </c>
      <c r="I487" s="6"/>
      <c r="J487" s="19"/>
    </row>
    <row r="488" spans="1:10" ht="13.5" customHeight="1">
      <c r="A488" s="17" t="s">
        <v>77</v>
      </c>
      <c r="B488" s="209"/>
      <c r="C488" s="209"/>
      <c r="D488" s="2" t="s">
        <v>25</v>
      </c>
      <c r="E488" s="17" t="s">
        <v>58</v>
      </c>
      <c r="F488" s="1"/>
      <c r="G488" s="2" t="s">
        <v>25</v>
      </c>
      <c r="H488" s="18" t="s">
        <v>504</v>
      </c>
      <c r="I488" s="6"/>
      <c r="J488" s="19"/>
    </row>
    <row r="489" spans="1:10" ht="13.5" customHeight="1">
      <c r="A489" s="17" t="s">
        <v>30</v>
      </c>
      <c r="B489" s="1"/>
      <c r="C489" s="1"/>
      <c r="D489" s="2">
        <v>1100</v>
      </c>
      <c r="E489" s="17" t="s">
        <v>40</v>
      </c>
      <c r="F489" s="1"/>
      <c r="G489" s="2" t="s">
        <v>25</v>
      </c>
      <c r="H489" s="18" t="s">
        <v>32</v>
      </c>
      <c r="I489" s="6"/>
      <c r="J489" s="19"/>
    </row>
    <row r="490" spans="1:10" ht="13.5" customHeight="1">
      <c r="A490" s="17" t="s">
        <v>147</v>
      </c>
      <c r="B490" s="1"/>
      <c r="C490" s="1"/>
      <c r="D490" s="2" t="s">
        <v>25</v>
      </c>
      <c r="E490" s="17" t="s">
        <v>35</v>
      </c>
      <c r="F490" s="1"/>
      <c r="G490" s="2">
        <v>3500</v>
      </c>
      <c r="H490" s="18"/>
      <c r="I490" s="36"/>
      <c r="J490" s="19"/>
    </row>
    <row r="491" spans="1:10" ht="13.5" customHeight="1">
      <c r="A491" s="17" t="s">
        <v>78</v>
      </c>
      <c r="B491" s="1"/>
      <c r="C491" s="1"/>
      <c r="D491" s="2" t="s">
        <v>25</v>
      </c>
      <c r="E491" s="17" t="s">
        <v>61</v>
      </c>
      <c r="F491" s="1"/>
      <c r="G491" s="2" t="s">
        <v>25</v>
      </c>
      <c r="H491" s="78"/>
      <c r="I491" s="36"/>
      <c r="J491" s="43"/>
    </row>
    <row r="492" spans="1:10" ht="13.5" customHeight="1">
      <c r="A492" s="17" t="s">
        <v>136</v>
      </c>
      <c r="B492" s="1"/>
      <c r="C492" s="1"/>
      <c r="D492" s="2" t="s">
        <v>25</v>
      </c>
      <c r="E492" s="17" t="s">
        <v>39</v>
      </c>
      <c r="F492" s="1"/>
      <c r="G492" s="2">
        <v>100</v>
      </c>
      <c r="H492" s="42"/>
      <c r="I492" s="36"/>
      <c r="J492" s="43"/>
    </row>
    <row r="493" spans="1:10" ht="13.5" customHeight="1">
      <c r="A493" s="18" t="s">
        <v>40</v>
      </c>
      <c r="B493" s="6"/>
      <c r="C493" s="6"/>
      <c r="D493" s="2" t="s">
        <v>25</v>
      </c>
      <c r="E493" s="17" t="s">
        <v>78</v>
      </c>
      <c r="F493" s="1"/>
      <c r="G493" s="2" t="s">
        <v>25</v>
      </c>
      <c r="H493" s="42"/>
      <c r="I493" s="36"/>
      <c r="J493" s="43"/>
    </row>
    <row r="494" spans="1:10" ht="13.5" customHeight="1">
      <c r="A494" s="204" t="s">
        <v>63</v>
      </c>
      <c r="B494" s="205"/>
      <c r="C494" s="206"/>
      <c r="D494" s="229">
        <f>SUM(D487:D493)</f>
        <v>16100</v>
      </c>
      <c r="E494" s="1" t="s">
        <v>43</v>
      </c>
      <c r="F494" s="1"/>
      <c r="G494" s="2" t="s">
        <v>25</v>
      </c>
      <c r="H494" s="18"/>
      <c r="I494" s="6"/>
      <c r="J494" s="19"/>
    </row>
    <row r="495" spans="1:10" ht="13.5" customHeight="1">
      <c r="A495" s="207"/>
      <c r="B495" s="197"/>
      <c r="C495" s="208"/>
      <c r="D495" s="230"/>
      <c r="E495" s="21" t="s">
        <v>21</v>
      </c>
      <c r="F495" s="22"/>
      <c r="G495" s="13">
        <f>SUM(G487:G494)</f>
        <v>3600</v>
      </c>
      <c r="H495" s="21" t="s">
        <v>44</v>
      </c>
      <c r="I495" s="22"/>
      <c r="J495" s="13">
        <f>D494-G495</f>
        <v>12500</v>
      </c>
    </row>
    <row r="496" spans="1:10" ht="13.5" customHeight="1">
      <c r="A496" s="3" t="s">
        <v>45</v>
      </c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3.5" customHeight="1"/>
    <row r="498" spans="1:10" ht="13.5" customHeight="1">
      <c r="A498" s="184" t="s">
        <v>0</v>
      </c>
      <c r="B498" s="185"/>
      <c r="C498" s="185"/>
      <c r="D498" s="185"/>
      <c r="E498" s="185"/>
      <c r="F498" s="185"/>
      <c r="G498" s="185"/>
      <c r="H498" s="185"/>
      <c r="I498" s="185"/>
      <c r="J498" s="186"/>
    </row>
    <row r="499" spans="1:10" ht="13.5" customHeight="1">
      <c r="A499" s="187" t="s">
        <v>1</v>
      </c>
      <c r="B499" s="188"/>
      <c r="C499" s="188"/>
      <c r="D499" s="188"/>
      <c r="E499" s="188"/>
      <c r="F499" s="188"/>
      <c r="G499" s="188"/>
      <c r="H499" s="188"/>
      <c r="I499" s="188"/>
      <c r="J499" s="189"/>
    </row>
    <row r="500" spans="1:10" ht="13.5" customHeight="1">
      <c r="A500" s="1" t="s">
        <v>2</v>
      </c>
      <c r="B500" s="1"/>
      <c r="C500" s="190" t="s">
        <v>418</v>
      </c>
      <c r="D500" s="190"/>
      <c r="E500" s="2"/>
      <c r="F500" s="3"/>
      <c r="G500" s="1" t="s">
        <v>4</v>
      </c>
      <c r="H500" s="191" t="s">
        <v>215</v>
      </c>
      <c r="I500" s="191"/>
      <c r="J500" s="191"/>
    </row>
    <row r="501" spans="1:10" ht="13.5" customHeight="1">
      <c r="A501" s="1" t="s">
        <v>6</v>
      </c>
      <c r="B501" s="1"/>
      <c r="C501" s="192" t="s">
        <v>860</v>
      </c>
      <c r="D501" s="192"/>
      <c r="E501" s="2"/>
      <c r="F501" s="3"/>
      <c r="G501" s="1" t="s">
        <v>8</v>
      </c>
      <c r="H501" s="193" t="s">
        <v>9</v>
      </c>
      <c r="I501" s="193"/>
      <c r="J501" s="193"/>
    </row>
    <row r="502" spans="1:10" ht="13.5" customHeight="1">
      <c r="A502" s="6" t="s">
        <v>10</v>
      </c>
      <c r="B502" s="6"/>
      <c r="C502" s="6" t="s">
        <v>839</v>
      </c>
      <c r="D502" s="6"/>
      <c r="E502" s="2"/>
      <c r="F502" s="3"/>
      <c r="G502" s="1" t="s">
        <v>12</v>
      </c>
      <c r="H502" s="195" t="s">
        <v>13</v>
      </c>
      <c r="I502" s="195"/>
      <c r="J502" s="195"/>
    </row>
    <row r="503" spans="1:10" ht="13.5" customHeight="1">
      <c r="A503" s="2" t="s">
        <v>14</v>
      </c>
      <c r="B503" s="2"/>
      <c r="C503" s="2" t="s">
        <v>15</v>
      </c>
      <c r="D503" s="2"/>
      <c r="E503" s="2"/>
      <c r="F503" s="3"/>
      <c r="G503" s="1" t="s">
        <v>16</v>
      </c>
      <c r="H503" s="196" t="s">
        <v>68</v>
      </c>
      <c r="I503" s="196"/>
      <c r="J503" s="196"/>
    </row>
    <row r="504" spans="1:10" ht="13.5" customHeight="1">
      <c r="A504" s="2">
        <v>30</v>
      </c>
      <c r="B504" s="2"/>
      <c r="C504" s="2">
        <f>A504-H504</f>
        <v>1</v>
      </c>
      <c r="D504" s="2"/>
      <c r="E504" s="2"/>
      <c r="F504" s="3"/>
      <c r="G504" s="8" t="s">
        <v>18</v>
      </c>
      <c r="H504" s="197">
        <v>29</v>
      </c>
      <c r="I504" s="197"/>
      <c r="J504" s="197"/>
    </row>
    <row r="505" spans="1:10" ht="13.5" customHeight="1">
      <c r="A505" s="198" t="s">
        <v>19</v>
      </c>
      <c r="B505" s="199"/>
      <c r="C505" s="200"/>
      <c r="D505" s="13" t="s">
        <v>20</v>
      </c>
      <c r="E505" s="14" t="s">
        <v>21</v>
      </c>
      <c r="F505" s="15"/>
      <c r="G505" s="16" t="s">
        <v>20</v>
      </c>
      <c r="H505" s="201" t="s">
        <v>22</v>
      </c>
      <c r="I505" s="202"/>
      <c r="J505" s="203"/>
    </row>
    <row r="506" spans="1:10" ht="13.5" customHeight="1">
      <c r="A506" s="17" t="s">
        <v>23</v>
      </c>
      <c r="B506" s="1"/>
      <c r="C506" s="1"/>
      <c r="D506" s="2">
        <v>15000</v>
      </c>
      <c r="E506" s="17" t="s">
        <v>24</v>
      </c>
      <c r="F506" s="1"/>
      <c r="G506" s="2" t="s">
        <v>25</v>
      </c>
      <c r="H506" s="18" t="s">
        <v>502</v>
      </c>
      <c r="I506" s="6"/>
      <c r="J506" s="19"/>
    </row>
    <row r="507" spans="1:10" ht="13.5" customHeight="1">
      <c r="A507" s="17" t="s">
        <v>77</v>
      </c>
      <c r="B507" s="209" t="s">
        <v>320</v>
      </c>
      <c r="C507" s="209"/>
      <c r="D507" s="2">
        <v>1000</v>
      </c>
      <c r="E507" s="17" t="s">
        <v>58</v>
      </c>
      <c r="F507" s="1"/>
      <c r="G507" s="2" t="s">
        <v>25</v>
      </c>
      <c r="H507" s="18" t="s">
        <v>504</v>
      </c>
      <c r="I507" s="6"/>
      <c r="J507" s="19"/>
    </row>
    <row r="508" spans="1:10" ht="13.5" customHeight="1">
      <c r="A508" s="17" t="s">
        <v>30</v>
      </c>
      <c r="B508" s="1"/>
      <c r="C508" s="1"/>
      <c r="D508" s="2" t="s">
        <v>25</v>
      </c>
      <c r="E508" s="17" t="s">
        <v>40</v>
      </c>
      <c r="F508" s="1"/>
      <c r="G508" s="2" t="s">
        <v>25</v>
      </c>
      <c r="H508" s="18" t="s">
        <v>32</v>
      </c>
      <c r="I508" s="6"/>
      <c r="J508" s="19"/>
    </row>
    <row r="509" spans="1:10" ht="13.5" customHeight="1">
      <c r="A509" s="17" t="s">
        <v>72</v>
      </c>
      <c r="B509" s="1"/>
      <c r="C509" s="1"/>
      <c r="D509" s="2" t="s">
        <v>25</v>
      </c>
      <c r="E509" s="17" t="s">
        <v>35</v>
      </c>
      <c r="F509" s="1"/>
      <c r="G509" s="2">
        <v>500</v>
      </c>
      <c r="H509" s="18"/>
      <c r="I509" s="36"/>
      <c r="J509" s="19"/>
    </row>
    <row r="510" spans="1:10" ht="13.5" customHeight="1">
      <c r="A510" s="17" t="s">
        <v>78</v>
      </c>
      <c r="B510" s="1"/>
      <c r="C510" s="1"/>
      <c r="D510" s="2" t="s">
        <v>25</v>
      </c>
      <c r="E510" s="17" t="s">
        <v>61</v>
      </c>
      <c r="F510" s="1"/>
      <c r="G510" s="2" t="s">
        <v>25</v>
      </c>
      <c r="H510" s="78" t="s">
        <v>861</v>
      </c>
      <c r="I510" s="36"/>
      <c r="J510" s="43"/>
    </row>
    <row r="511" spans="1:10" ht="13.5" customHeight="1">
      <c r="A511" s="17" t="s">
        <v>136</v>
      </c>
      <c r="B511" s="1"/>
      <c r="C511" s="1"/>
      <c r="D511" s="2" t="s">
        <v>25</v>
      </c>
      <c r="E511" s="17" t="s">
        <v>39</v>
      </c>
      <c r="F511" s="1"/>
      <c r="G511" s="2">
        <v>100</v>
      </c>
      <c r="H511" s="42"/>
      <c r="I511" s="36"/>
      <c r="J511" s="43"/>
    </row>
    <row r="512" spans="1:10" ht="13.5" customHeight="1">
      <c r="A512" s="18" t="s">
        <v>40</v>
      </c>
      <c r="B512" s="6"/>
      <c r="C512" s="6"/>
      <c r="D512" s="2" t="s">
        <v>25</v>
      </c>
      <c r="E512" s="17" t="s">
        <v>78</v>
      </c>
      <c r="F512" s="1"/>
      <c r="G512" s="2" t="s">
        <v>25</v>
      </c>
      <c r="H512" s="42"/>
      <c r="I512" s="36"/>
      <c r="J512" s="43"/>
    </row>
    <row r="513" spans="1:10" ht="13.5" customHeight="1">
      <c r="A513" s="204" t="s">
        <v>63</v>
      </c>
      <c r="B513" s="205"/>
      <c r="C513" s="206"/>
      <c r="D513" s="229">
        <f>SUM(D506:D512)</f>
        <v>16000</v>
      </c>
      <c r="E513" s="1" t="s">
        <v>43</v>
      </c>
      <c r="F513" s="1"/>
      <c r="G513" s="2" t="s">
        <v>25</v>
      </c>
      <c r="H513" s="18"/>
      <c r="I513" s="6"/>
      <c r="J513" s="19"/>
    </row>
    <row r="514" spans="1:10" ht="13.5" customHeight="1">
      <c r="A514" s="207"/>
      <c r="B514" s="197"/>
      <c r="C514" s="208"/>
      <c r="D514" s="230"/>
      <c r="E514" s="21" t="s">
        <v>21</v>
      </c>
      <c r="F514" s="22"/>
      <c r="G514" s="13">
        <f>SUM(G506:G513)</f>
        <v>600</v>
      </c>
      <c r="H514" s="21" t="s">
        <v>44</v>
      </c>
      <c r="I514" s="22"/>
      <c r="J514" s="13">
        <f>D513-G514</f>
        <v>15400</v>
      </c>
    </row>
    <row r="515" spans="1:10" ht="13.5" customHeight="1">
      <c r="A515" s="3" t="s">
        <v>45</v>
      </c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3.5" customHeight="1"/>
    <row r="517" spans="1:10" ht="13.5" customHeight="1">
      <c r="A517" s="184" t="s">
        <v>0</v>
      </c>
      <c r="B517" s="185"/>
      <c r="C517" s="185"/>
      <c r="D517" s="185"/>
      <c r="E517" s="185"/>
      <c r="F517" s="185"/>
      <c r="G517" s="185"/>
      <c r="H517" s="185"/>
      <c r="I517" s="185"/>
      <c r="J517" s="186"/>
    </row>
    <row r="518" spans="1:10" ht="13.5" customHeight="1">
      <c r="A518" s="187" t="s">
        <v>1</v>
      </c>
      <c r="B518" s="188"/>
      <c r="C518" s="188"/>
      <c r="D518" s="188"/>
      <c r="E518" s="188"/>
      <c r="F518" s="188"/>
      <c r="G518" s="188"/>
      <c r="H518" s="188"/>
      <c r="I518" s="188"/>
      <c r="J518" s="189"/>
    </row>
    <row r="519" spans="1:10" ht="13.5" customHeight="1">
      <c r="A519" s="1" t="s">
        <v>2</v>
      </c>
      <c r="B519" s="1"/>
      <c r="C519" s="190" t="s">
        <v>418</v>
      </c>
      <c r="D519" s="190"/>
      <c r="E519" s="2"/>
      <c r="F519" s="3"/>
      <c r="G519" s="1" t="s">
        <v>4</v>
      </c>
      <c r="H519" s="193" t="s">
        <v>518</v>
      </c>
      <c r="I519" s="193"/>
      <c r="J519" s="193"/>
    </row>
    <row r="520" spans="1:10" ht="13.5" customHeight="1">
      <c r="A520" s="1" t="s">
        <v>6</v>
      </c>
      <c r="B520" s="1"/>
      <c r="C520" s="192" t="s">
        <v>862</v>
      </c>
      <c r="D520" s="192"/>
      <c r="E520" s="2"/>
      <c r="F520" s="3"/>
      <c r="G520" s="1" t="s">
        <v>8</v>
      </c>
      <c r="H520" s="193" t="s">
        <v>9</v>
      </c>
      <c r="I520" s="193"/>
      <c r="J520" s="193"/>
    </row>
    <row r="521" spans="1:10" ht="13.5" customHeight="1">
      <c r="A521" s="6" t="s">
        <v>10</v>
      </c>
      <c r="B521" s="6"/>
      <c r="C521" s="6" t="s">
        <v>839</v>
      </c>
      <c r="D521" s="6"/>
      <c r="E521" s="2"/>
      <c r="F521" s="3"/>
      <c r="G521" s="1" t="s">
        <v>12</v>
      </c>
      <c r="H521" s="195" t="s">
        <v>13</v>
      </c>
      <c r="I521" s="195"/>
      <c r="J521" s="195"/>
    </row>
    <row r="522" spans="1:10" ht="13.5" customHeight="1">
      <c r="A522" s="2" t="s">
        <v>14</v>
      </c>
      <c r="B522" s="2"/>
      <c r="C522" s="2" t="s">
        <v>15</v>
      </c>
      <c r="D522" s="2"/>
      <c r="E522" s="2"/>
      <c r="F522" s="3"/>
      <c r="G522" s="1" t="s">
        <v>16</v>
      </c>
      <c r="H522" s="196" t="s">
        <v>76</v>
      </c>
      <c r="I522" s="196"/>
      <c r="J522" s="196"/>
    </row>
    <row r="523" spans="1:10" ht="13.5" customHeight="1">
      <c r="A523" s="2">
        <v>30</v>
      </c>
      <c r="B523" s="2"/>
      <c r="C523" s="2">
        <f>A523-H523</f>
        <v>1</v>
      </c>
      <c r="D523" s="2"/>
      <c r="E523" s="2"/>
      <c r="F523" s="3"/>
      <c r="G523" s="8" t="s">
        <v>18</v>
      </c>
      <c r="H523" s="197">
        <v>29</v>
      </c>
      <c r="I523" s="197"/>
      <c r="J523" s="197"/>
    </row>
    <row r="524" spans="1:10" ht="13.5" customHeight="1">
      <c r="A524" s="198" t="s">
        <v>19</v>
      </c>
      <c r="B524" s="199"/>
      <c r="C524" s="200"/>
      <c r="D524" s="13" t="s">
        <v>20</v>
      </c>
      <c r="E524" s="14" t="s">
        <v>21</v>
      </c>
      <c r="F524" s="15"/>
      <c r="G524" s="16" t="s">
        <v>20</v>
      </c>
      <c r="H524" s="201" t="s">
        <v>22</v>
      </c>
      <c r="I524" s="202"/>
      <c r="J524" s="203"/>
    </row>
    <row r="525" spans="1:10" ht="13.5" customHeight="1">
      <c r="A525" s="17" t="s">
        <v>23</v>
      </c>
      <c r="B525" s="1"/>
      <c r="C525" s="1"/>
      <c r="D525" s="2">
        <v>10000</v>
      </c>
      <c r="E525" s="17" t="s">
        <v>24</v>
      </c>
      <c r="F525" s="1"/>
      <c r="G525" s="2" t="s">
        <v>25</v>
      </c>
      <c r="H525" s="18" t="s">
        <v>502</v>
      </c>
      <c r="I525" s="6"/>
      <c r="J525" s="19"/>
    </row>
    <row r="526" spans="1:10" ht="13.5" customHeight="1">
      <c r="A526" s="17" t="s">
        <v>77</v>
      </c>
      <c r="B526" s="209"/>
      <c r="C526" s="209"/>
      <c r="D526" s="2" t="s">
        <v>25</v>
      </c>
      <c r="E526" s="17" t="s">
        <v>58</v>
      </c>
      <c r="F526" s="1"/>
      <c r="G526" s="2" t="s">
        <v>25</v>
      </c>
      <c r="H526" s="18" t="s">
        <v>504</v>
      </c>
      <c r="I526" s="6"/>
      <c r="J526" s="19"/>
    </row>
    <row r="527" spans="1:10" ht="13.5" customHeight="1">
      <c r="A527" s="17" t="s">
        <v>30</v>
      </c>
      <c r="B527" s="1"/>
      <c r="C527" s="1"/>
      <c r="D527" s="2">
        <v>933</v>
      </c>
      <c r="E527" s="17" t="s">
        <v>40</v>
      </c>
      <c r="F527" s="1"/>
      <c r="G527" s="2" t="s">
        <v>25</v>
      </c>
      <c r="H527" s="18" t="s">
        <v>32</v>
      </c>
      <c r="I527" s="6"/>
      <c r="J527" s="19"/>
    </row>
    <row r="528" spans="1:10" ht="13.5" customHeight="1">
      <c r="A528" s="17" t="s">
        <v>72</v>
      </c>
      <c r="B528" s="1"/>
      <c r="C528" s="1"/>
      <c r="D528" s="2" t="s">
        <v>25</v>
      </c>
      <c r="E528" s="17" t="s">
        <v>35</v>
      </c>
      <c r="F528" s="1"/>
      <c r="G528" s="2">
        <v>333</v>
      </c>
      <c r="H528" s="18"/>
      <c r="I528" s="36"/>
      <c r="J528" s="19"/>
    </row>
    <row r="529" spans="1:10" ht="13.5" customHeight="1">
      <c r="A529" s="17" t="s">
        <v>78</v>
      </c>
      <c r="B529" s="1"/>
      <c r="C529" s="1"/>
      <c r="D529" s="2" t="s">
        <v>25</v>
      </c>
      <c r="E529" s="17" t="s">
        <v>61</v>
      </c>
      <c r="F529" s="1"/>
      <c r="G529" s="2" t="s">
        <v>25</v>
      </c>
      <c r="H529" s="78"/>
      <c r="I529" s="36"/>
      <c r="J529" s="43"/>
    </row>
    <row r="530" spans="1:10" ht="13.5" customHeight="1">
      <c r="A530" s="17" t="s">
        <v>136</v>
      </c>
      <c r="B530" s="1"/>
      <c r="C530" s="1"/>
      <c r="D530" s="2" t="s">
        <v>25</v>
      </c>
      <c r="E530" s="17" t="s">
        <v>39</v>
      </c>
      <c r="F530" s="1"/>
      <c r="G530" s="2">
        <v>100</v>
      </c>
      <c r="H530" s="42"/>
      <c r="I530" s="36"/>
      <c r="J530" s="43"/>
    </row>
    <row r="531" spans="1:10" ht="13.5" customHeight="1">
      <c r="A531" s="18" t="s">
        <v>40</v>
      </c>
      <c r="B531" s="6"/>
      <c r="C531" s="6"/>
      <c r="D531" s="2" t="s">
        <v>25</v>
      </c>
      <c r="E531" s="17" t="s">
        <v>78</v>
      </c>
      <c r="F531" s="1"/>
      <c r="G531" s="2" t="s">
        <v>25</v>
      </c>
      <c r="H531" s="42"/>
      <c r="I531" s="36"/>
      <c r="J531" s="43"/>
    </row>
    <row r="532" spans="1:10" ht="13.5" customHeight="1">
      <c r="A532" s="204" t="s">
        <v>63</v>
      </c>
      <c r="B532" s="205"/>
      <c r="C532" s="206"/>
      <c r="D532" s="229">
        <f>SUM(D525:D531)</f>
        <v>10933</v>
      </c>
      <c r="E532" s="1" t="s">
        <v>43</v>
      </c>
      <c r="F532" s="1"/>
      <c r="G532" s="2" t="s">
        <v>25</v>
      </c>
      <c r="H532" s="18"/>
      <c r="I532" s="6"/>
      <c r="J532" s="19"/>
    </row>
    <row r="533" spans="1:10" ht="13.5" customHeight="1">
      <c r="A533" s="207"/>
      <c r="B533" s="197"/>
      <c r="C533" s="208"/>
      <c r="D533" s="230"/>
      <c r="E533" s="21" t="s">
        <v>21</v>
      </c>
      <c r="F533" s="22"/>
      <c r="G533" s="13">
        <f>SUM(G525:G532)</f>
        <v>433</v>
      </c>
      <c r="H533" s="21" t="s">
        <v>44</v>
      </c>
      <c r="I533" s="22"/>
      <c r="J533" s="13">
        <f>D532-G533</f>
        <v>10500</v>
      </c>
    </row>
    <row r="534" spans="1:10" ht="13.5" customHeight="1">
      <c r="A534" s="3" t="s">
        <v>45</v>
      </c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3.5" customHeight="1"/>
    <row r="536" spans="1:10" ht="13.5" customHeight="1">
      <c r="A536" s="184" t="s">
        <v>0</v>
      </c>
      <c r="B536" s="185"/>
      <c r="C536" s="185"/>
      <c r="D536" s="185"/>
      <c r="E536" s="185"/>
      <c r="F536" s="185"/>
      <c r="G536" s="185"/>
      <c r="H536" s="185"/>
      <c r="I536" s="185"/>
      <c r="J536" s="186"/>
    </row>
    <row r="537" spans="1:10" ht="13.5" customHeight="1">
      <c r="A537" s="187" t="s">
        <v>1</v>
      </c>
      <c r="B537" s="188"/>
      <c r="C537" s="188"/>
      <c r="D537" s="188"/>
      <c r="E537" s="188"/>
      <c r="F537" s="188"/>
      <c r="G537" s="188"/>
      <c r="H537" s="188"/>
      <c r="I537" s="188"/>
      <c r="J537" s="189"/>
    </row>
    <row r="538" spans="1:10" ht="13.5" customHeight="1">
      <c r="A538" s="1" t="s">
        <v>2</v>
      </c>
      <c r="B538" s="1"/>
      <c r="C538" s="190" t="s">
        <v>418</v>
      </c>
      <c r="D538" s="190"/>
      <c r="E538" s="2"/>
      <c r="F538" s="3"/>
      <c r="G538" s="1" t="s">
        <v>4</v>
      </c>
      <c r="H538" s="193" t="s">
        <v>518</v>
      </c>
      <c r="I538" s="193"/>
      <c r="J538" s="193"/>
    </row>
    <row r="539" spans="1:10" ht="13.5" customHeight="1">
      <c r="A539" s="1" t="s">
        <v>6</v>
      </c>
      <c r="B539" s="1"/>
      <c r="C539" s="192" t="s">
        <v>863</v>
      </c>
      <c r="D539" s="192"/>
      <c r="E539" s="2"/>
      <c r="F539" s="3"/>
      <c r="G539" s="1" t="s">
        <v>8</v>
      </c>
      <c r="H539" s="193" t="s">
        <v>9</v>
      </c>
      <c r="I539" s="193"/>
      <c r="J539" s="193"/>
    </row>
    <row r="540" spans="1:10" ht="13.5" customHeight="1">
      <c r="A540" s="6" t="s">
        <v>10</v>
      </c>
      <c r="B540" s="6"/>
      <c r="C540" s="6" t="s">
        <v>839</v>
      </c>
      <c r="D540" s="6"/>
      <c r="E540" s="2"/>
      <c r="F540" s="3"/>
      <c r="G540" s="1" t="s">
        <v>12</v>
      </c>
      <c r="H540" s="195" t="s">
        <v>13</v>
      </c>
      <c r="I540" s="195"/>
      <c r="J540" s="195"/>
    </row>
    <row r="541" spans="1:10" ht="13.5" customHeight="1">
      <c r="A541" s="2" t="s">
        <v>14</v>
      </c>
      <c r="B541" s="2"/>
      <c r="C541" s="2" t="s">
        <v>15</v>
      </c>
      <c r="D541" s="2"/>
      <c r="E541" s="2"/>
      <c r="F541" s="3"/>
      <c r="G541" s="1" t="s">
        <v>16</v>
      </c>
      <c r="H541" s="196" t="s">
        <v>68</v>
      </c>
      <c r="I541" s="196"/>
      <c r="J541" s="196"/>
    </row>
    <row r="542" spans="1:10" ht="13.5" customHeight="1">
      <c r="A542" s="2">
        <v>30</v>
      </c>
      <c r="B542" s="2"/>
      <c r="C542" s="2">
        <f>A542-H542</f>
        <v>0</v>
      </c>
      <c r="D542" s="2"/>
      <c r="E542" s="2"/>
      <c r="F542" s="3"/>
      <c r="G542" s="8" t="s">
        <v>18</v>
      </c>
      <c r="H542" s="197">
        <v>30</v>
      </c>
      <c r="I542" s="197"/>
      <c r="J542" s="197"/>
    </row>
    <row r="543" spans="1:10" ht="13.5" customHeight="1">
      <c r="A543" s="198" t="s">
        <v>19</v>
      </c>
      <c r="B543" s="199"/>
      <c r="C543" s="200"/>
      <c r="D543" s="13" t="s">
        <v>20</v>
      </c>
      <c r="E543" s="14" t="s">
        <v>21</v>
      </c>
      <c r="F543" s="15"/>
      <c r="G543" s="16" t="s">
        <v>20</v>
      </c>
      <c r="H543" s="201" t="s">
        <v>22</v>
      </c>
      <c r="I543" s="202"/>
      <c r="J543" s="203"/>
    </row>
    <row r="544" spans="1:10" ht="13.5" customHeight="1">
      <c r="A544" s="17" t="s">
        <v>23</v>
      </c>
      <c r="B544" s="1"/>
      <c r="C544" s="1"/>
      <c r="D544" s="2">
        <v>10000</v>
      </c>
      <c r="E544" s="17" t="s">
        <v>24</v>
      </c>
      <c r="F544" s="1"/>
      <c r="G544" s="2" t="s">
        <v>25</v>
      </c>
      <c r="H544" s="18" t="s">
        <v>502</v>
      </c>
      <c r="I544" s="6"/>
      <c r="J544" s="19"/>
    </row>
    <row r="545" spans="1:10" ht="13.5" customHeight="1">
      <c r="A545" s="17" t="s">
        <v>77</v>
      </c>
      <c r="B545" s="209" t="s">
        <v>320</v>
      </c>
      <c r="C545" s="209"/>
      <c r="D545" s="2">
        <v>667</v>
      </c>
      <c r="E545" s="17" t="s">
        <v>58</v>
      </c>
      <c r="F545" s="1"/>
      <c r="G545" s="2" t="s">
        <v>25</v>
      </c>
      <c r="H545" s="18" t="s">
        <v>504</v>
      </c>
      <c r="I545" s="6"/>
      <c r="J545" s="19"/>
    </row>
    <row r="546" spans="1:10" ht="13.5" customHeight="1">
      <c r="A546" s="17" t="s">
        <v>30</v>
      </c>
      <c r="B546" s="1"/>
      <c r="C546" s="1"/>
      <c r="D546" s="2">
        <v>433</v>
      </c>
      <c r="E546" s="17" t="s">
        <v>40</v>
      </c>
      <c r="F546" s="1"/>
      <c r="G546" s="2" t="s">
        <v>25</v>
      </c>
      <c r="H546" s="18" t="s">
        <v>32</v>
      </c>
      <c r="I546" s="6"/>
      <c r="J546" s="19"/>
    </row>
    <row r="547" spans="1:10" ht="13.5" customHeight="1">
      <c r="A547" s="17" t="s">
        <v>72</v>
      </c>
      <c r="B547" s="1"/>
      <c r="C547" s="1"/>
      <c r="D547" s="2" t="s">
        <v>25</v>
      </c>
      <c r="E547" s="17" t="s">
        <v>35</v>
      </c>
      <c r="F547" s="1"/>
      <c r="G547" s="2" t="s">
        <v>25</v>
      </c>
      <c r="H547" s="18"/>
      <c r="I547" s="36"/>
      <c r="J547" s="19"/>
    </row>
    <row r="548" spans="1:10" ht="13.5" customHeight="1">
      <c r="A548" s="17" t="s">
        <v>78</v>
      </c>
      <c r="B548" s="1"/>
      <c r="C548" s="1"/>
      <c r="D548" s="2" t="s">
        <v>25</v>
      </c>
      <c r="E548" s="17" t="s">
        <v>61</v>
      </c>
      <c r="F548" s="1"/>
      <c r="G548" s="2" t="s">
        <v>25</v>
      </c>
      <c r="H548" s="78" t="s">
        <v>864</v>
      </c>
      <c r="I548" s="36"/>
      <c r="J548" s="43"/>
    </row>
    <row r="549" spans="1:10" ht="13.5" customHeight="1">
      <c r="A549" s="17" t="s">
        <v>136</v>
      </c>
      <c r="B549" s="1"/>
      <c r="C549" s="1"/>
      <c r="D549" s="2" t="s">
        <v>25</v>
      </c>
      <c r="E549" s="17" t="s">
        <v>39</v>
      </c>
      <c r="F549" s="1"/>
      <c r="G549" s="2">
        <v>100</v>
      </c>
      <c r="H549" s="42"/>
      <c r="I549" s="36"/>
      <c r="J549" s="43"/>
    </row>
    <row r="550" spans="1:10" ht="13.5" customHeight="1">
      <c r="A550" s="18" t="s">
        <v>40</v>
      </c>
      <c r="B550" s="6"/>
      <c r="C550" s="6"/>
      <c r="D550" s="2" t="s">
        <v>25</v>
      </c>
      <c r="E550" s="17" t="s">
        <v>78</v>
      </c>
      <c r="F550" s="1"/>
      <c r="G550" s="2" t="s">
        <v>25</v>
      </c>
      <c r="H550" s="42"/>
      <c r="I550" s="36"/>
      <c r="J550" s="43"/>
    </row>
    <row r="551" spans="1:10" ht="13.5" customHeight="1">
      <c r="A551" s="204" t="s">
        <v>63</v>
      </c>
      <c r="B551" s="205"/>
      <c r="C551" s="206"/>
      <c r="D551" s="229">
        <f>SUM(D544:D550)</f>
        <v>11100</v>
      </c>
      <c r="E551" s="1" t="s">
        <v>43</v>
      </c>
      <c r="F551" s="1"/>
      <c r="G551" s="2" t="s">
        <v>25</v>
      </c>
      <c r="H551" s="18"/>
      <c r="I551" s="6"/>
      <c r="J551" s="19"/>
    </row>
    <row r="552" spans="1:10" ht="13.5" customHeight="1">
      <c r="A552" s="207"/>
      <c r="B552" s="197"/>
      <c r="C552" s="208"/>
      <c r="D552" s="230"/>
      <c r="E552" s="21" t="s">
        <v>21</v>
      </c>
      <c r="F552" s="22"/>
      <c r="G552" s="13">
        <f>SUM(G544:G551)</f>
        <v>100</v>
      </c>
      <c r="H552" s="21" t="s">
        <v>44</v>
      </c>
      <c r="I552" s="22"/>
      <c r="J552" s="13">
        <f>D551-G552</f>
        <v>11000</v>
      </c>
    </row>
    <row r="553" spans="1:10" ht="13.5" customHeight="1">
      <c r="A553" s="3" t="s">
        <v>45</v>
      </c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3.5" customHeight="1"/>
    <row r="555" spans="1:10" ht="13.5" customHeight="1">
      <c r="A555" s="306" t="s">
        <v>0</v>
      </c>
      <c r="B555" s="307"/>
      <c r="C555" s="307"/>
      <c r="D555" s="307"/>
      <c r="E555" s="307"/>
      <c r="F555" s="307"/>
      <c r="G555" s="307"/>
      <c r="H555" s="307"/>
      <c r="I555" s="307"/>
      <c r="J555" s="308"/>
    </row>
    <row r="556" spans="1:10" ht="13.5" customHeight="1">
      <c r="A556" s="187" t="s">
        <v>1</v>
      </c>
      <c r="B556" s="188"/>
      <c r="C556" s="188"/>
      <c r="D556" s="188"/>
      <c r="E556" s="188"/>
      <c r="F556" s="188"/>
      <c r="G556" s="188"/>
      <c r="H556" s="188"/>
      <c r="I556" s="188"/>
      <c r="J556" s="189"/>
    </row>
    <row r="557" spans="1:10" ht="13.5" customHeight="1">
      <c r="A557" s="57" t="s">
        <v>2</v>
      </c>
      <c r="B557" s="57"/>
      <c r="C557" s="342"/>
      <c r="D557" s="342"/>
      <c r="E557" s="58"/>
      <c r="F557" s="59"/>
      <c r="G557" s="57" t="s">
        <v>4</v>
      </c>
      <c r="H557" s="284" t="s">
        <v>227</v>
      </c>
      <c r="I557" s="284"/>
      <c r="J557" s="284"/>
    </row>
    <row r="558" spans="1:10" ht="13.5" customHeight="1">
      <c r="A558" s="57" t="s">
        <v>6</v>
      </c>
      <c r="B558" s="57"/>
      <c r="C558" s="343" t="s">
        <v>361</v>
      </c>
      <c r="D558" s="343"/>
      <c r="E558" s="58"/>
      <c r="F558" s="59"/>
      <c r="G558" s="57" t="s">
        <v>8</v>
      </c>
      <c r="H558" s="310" t="s">
        <v>9</v>
      </c>
      <c r="I558" s="310"/>
      <c r="J558" s="310"/>
    </row>
    <row r="559" spans="1:10" ht="13.5" customHeight="1">
      <c r="A559" s="61" t="s">
        <v>10</v>
      </c>
      <c r="B559" s="61"/>
      <c r="C559" s="342" t="s">
        <v>825</v>
      </c>
      <c r="D559" s="342"/>
      <c r="E559" s="58"/>
      <c r="F559" s="59"/>
      <c r="G559" s="57" t="s">
        <v>12</v>
      </c>
      <c r="H559" s="195" t="s">
        <v>13</v>
      </c>
      <c r="I559" s="195"/>
      <c r="J559" s="195"/>
    </row>
    <row r="560" spans="1:10" ht="13.5" customHeight="1">
      <c r="A560" s="58" t="s">
        <v>14</v>
      </c>
      <c r="B560" s="58"/>
      <c r="C560" s="58" t="s">
        <v>15</v>
      </c>
      <c r="D560" s="58"/>
      <c r="E560" s="58"/>
      <c r="F560" s="59"/>
      <c r="G560" s="57" t="s">
        <v>16</v>
      </c>
      <c r="H560" s="317" t="s">
        <v>55</v>
      </c>
      <c r="I560" s="317"/>
      <c r="J560" s="317"/>
    </row>
    <row r="561" spans="1:10" ht="13.5" customHeight="1">
      <c r="A561" s="58">
        <v>30</v>
      </c>
      <c r="B561" s="58"/>
      <c r="C561" s="58">
        <f>A561-H561</f>
        <v>3</v>
      </c>
      <c r="D561" s="58"/>
      <c r="E561" s="58"/>
      <c r="F561" s="59"/>
      <c r="G561" s="62" t="s">
        <v>18</v>
      </c>
      <c r="H561" s="324">
        <v>27</v>
      </c>
      <c r="I561" s="324"/>
      <c r="J561" s="324"/>
    </row>
    <row r="562" spans="1:10" ht="13.5" customHeight="1">
      <c r="A562" s="300" t="s">
        <v>19</v>
      </c>
      <c r="B562" s="301"/>
      <c r="C562" s="302"/>
      <c r="D562" s="64" t="s">
        <v>20</v>
      </c>
      <c r="E562" s="65" t="s">
        <v>21</v>
      </c>
      <c r="F562" s="66"/>
      <c r="G562" s="67" t="s">
        <v>20</v>
      </c>
      <c r="H562" s="303" t="s">
        <v>22</v>
      </c>
      <c r="I562" s="304"/>
      <c r="J562" s="305"/>
    </row>
    <row r="563" spans="1:10" ht="13.5" customHeight="1">
      <c r="A563" s="68" t="s">
        <v>23</v>
      </c>
      <c r="B563" s="57"/>
      <c r="C563" s="57"/>
      <c r="D563" s="58">
        <v>15000</v>
      </c>
      <c r="E563" s="68" t="s">
        <v>24</v>
      </c>
      <c r="F563" s="57"/>
      <c r="G563" s="58" t="s">
        <v>25</v>
      </c>
      <c r="H563" s="18" t="s">
        <v>502</v>
      </c>
      <c r="I563" s="6"/>
      <c r="J563" s="19"/>
    </row>
    <row r="564" spans="1:10" ht="13.5" customHeight="1">
      <c r="A564" s="68" t="s">
        <v>77</v>
      </c>
      <c r="B564" s="309" t="s">
        <v>196</v>
      </c>
      <c r="C564" s="309"/>
      <c r="D564" s="58">
        <v>1500</v>
      </c>
      <c r="E564" s="68" t="s">
        <v>58</v>
      </c>
      <c r="F564" s="57"/>
      <c r="G564" s="58" t="s">
        <v>25</v>
      </c>
      <c r="H564" s="18" t="s">
        <v>504</v>
      </c>
      <c r="I564" s="6"/>
      <c r="J564" s="19"/>
    </row>
    <row r="565" spans="1:10" ht="13.5" customHeight="1">
      <c r="A565" s="68" t="s">
        <v>30</v>
      </c>
      <c r="B565" s="57"/>
      <c r="C565" s="57"/>
      <c r="D565" s="58" t="s">
        <v>25</v>
      </c>
      <c r="E565" s="68" t="s">
        <v>40</v>
      </c>
      <c r="F565" s="57"/>
      <c r="G565" s="58" t="s">
        <v>25</v>
      </c>
      <c r="H565" s="18" t="s">
        <v>32</v>
      </c>
      <c r="I565" s="6"/>
      <c r="J565" s="19"/>
    </row>
    <row r="566" spans="1:10" ht="13.5" customHeight="1">
      <c r="A566" s="68" t="s">
        <v>34</v>
      </c>
      <c r="B566" s="57"/>
      <c r="C566" s="57"/>
      <c r="D566" s="58" t="s">
        <v>25</v>
      </c>
      <c r="E566" s="68" t="s">
        <v>35</v>
      </c>
      <c r="F566" s="57"/>
      <c r="G566" s="58">
        <v>1500</v>
      </c>
      <c r="H566" s="70"/>
      <c r="I566" s="61"/>
      <c r="J566" s="69"/>
    </row>
    <row r="567" spans="1:10" ht="13.5" customHeight="1">
      <c r="A567" s="68" t="s">
        <v>78</v>
      </c>
      <c r="B567" s="57"/>
      <c r="C567" s="57"/>
      <c r="D567" s="58" t="s">
        <v>25</v>
      </c>
      <c r="E567" s="68" t="s">
        <v>61</v>
      </c>
      <c r="F567" s="57"/>
      <c r="G567" s="58" t="s">
        <v>25</v>
      </c>
      <c r="H567" s="70" t="s">
        <v>104</v>
      </c>
      <c r="I567" s="61"/>
      <c r="J567" s="69"/>
    </row>
    <row r="568" spans="1:10" ht="13.5" customHeight="1">
      <c r="A568" s="68" t="s">
        <v>136</v>
      </c>
      <c r="B568" s="57"/>
      <c r="C568" s="57"/>
      <c r="D568" s="58" t="s">
        <v>25</v>
      </c>
      <c r="E568" s="68" t="s">
        <v>39</v>
      </c>
      <c r="F568" s="57"/>
      <c r="G568" s="58">
        <v>100</v>
      </c>
      <c r="H568" s="70" t="s">
        <v>865</v>
      </c>
      <c r="I568" s="61"/>
      <c r="J568" s="69"/>
    </row>
    <row r="569" spans="1:10" ht="13.5" customHeight="1">
      <c r="A569" s="70" t="s">
        <v>40</v>
      </c>
      <c r="B569" s="61"/>
      <c r="C569" s="61"/>
      <c r="D569" s="58" t="s">
        <v>25</v>
      </c>
      <c r="E569" s="68" t="s">
        <v>78</v>
      </c>
      <c r="F569" s="57"/>
      <c r="G569" s="58" t="s">
        <v>25</v>
      </c>
      <c r="H569" s="70"/>
      <c r="I569" s="61"/>
      <c r="J569" s="69"/>
    </row>
    <row r="570" spans="1:10" ht="13.5" customHeight="1">
      <c r="A570" s="320" t="s">
        <v>63</v>
      </c>
      <c r="B570" s="321"/>
      <c r="C570" s="322"/>
      <c r="D570" s="318">
        <f>SUM(D563:D569)</f>
        <v>16500</v>
      </c>
      <c r="E570" s="57" t="s">
        <v>283</v>
      </c>
      <c r="F570" s="57"/>
      <c r="G570" s="58" t="s">
        <v>25</v>
      </c>
      <c r="H570" s="70"/>
      <c r="I570" s="61"/>
      <c r="J570" s="69"/>
    </row>
    <row r="571" spans="1:10" ht="13.5" customHeight="1">
      <c r="A571" s="323"/>
      <c r="B571" s="324"/>
      <c r="C571" s="325"/>
      <c r="D571" s="319"/>
      <c r="E571" s="72" t="s">
        <v>21</v>
      </c>
      <c r="F571" s="73"/>
      <c r="G571" s="64">
        <f>SUM(G563:G570)</f>
        <v>1600</v>
      </c>
      <c r="H571" s="72" t="s">
        <v>44</v>
      </c>
      <c r="I571" s="73"/>
      <c r="J571" s="64">
        <f>D570-G571</f>
        <v>14900</v>
      </c>
    </row>
    <row r="572" spans="1:10" ht="13.5" customHeight="1">
      <c r="A572" s="58"/>
      <c r="B572" s="58"/>
      <c r="C572" s="58"/>
      <c r="D572" s="58"/>
      <c r="E572" s="57"/>
      <c r="F572" s="57"/>
      <c r="G572" s="58"/>
      <c r="H572" s="57"/>
      <c r="I572" s="57"/>
      <c r="J572" s="58"/>
    </row>
    <row r="573" spans="1:10" ht="13.5" customHeight="1">
      <c r="A573" s="58"/>
      <c r="B573" s="59" t="s">
        <v>47</v>
      </c>
      <c r="C573" s="59"/>
      <c r="D573" s="59"/>
      <c r="E573" s="59" t="s">
        <v>48</v>
      </c>
      <c r="F573" s="59"/>
      <c r="G573" s="59"/>
      <c r="H573" s="59" t="s">
        <v>49</v>
      </c>
      <c r="I573" s="59"/>
      <c r="J573" s="58"/>
    </row>
    <row r="574" spans="1:10" ht="13.5" customHeight="1">
      <c r="A574" s="306" t="s">
        <v>0</v>
      </c>
      <c r="B574" s="307"/>
      <c r="C574" s="307"/>
      <c r="D574" s="307"/>
      <c r="E574" s="307"/>
      <c r="F574" s="307"/>
      <c r="G574" s="307"/>
      <c r="H574" s="307"/>
      <c r="I574" s="307"/>
      <c r="J574" s="308"/>
    </row>
    <row r="575" spans="1:10" ht="13.5" customHeight="1">
      <c r="A575" s="187" t="s">
        <v>1</v>
      </c>
      <c r="B575" s="188"/>
      <c r="C575" s="188"/>
      <c r="D575" s="188"/>
      <c r="E575" s="188"/>
      <c r="F575" s="188"/>
      <c r="G575" s="188"/>
      <c r="H575" s="188"/>
      <c r="I575" s="188"/>
      <c r="J575" s="189"/>
    </row>
    <row r="576" spans="1:10" ht="13.5" customHeight="1">
      <c r="A576" s="57" t="s">
        <v>2</v>
      </c>
      <c r="B576" s="57"/>
      <c r="C576" s="342"/>
      <c r="D576" s="342"/>
      <c r="E576" s="58"/>
      <c r="F576" s="59"/>
      <c r="G576" s="57" t="s">
        <v>4</v>
      </c>
      <c r="H576" s="284" t="s">
        <v>227</v>
      </c>
      <c r="I576" s="284"/>
      <c r="J576" s="284"/>
    </row>
    <row r="577" spans="1:10" ht="13.5" customHeight="1">
      <c r="A577" s="57" t="s">
        <v>6</v>
      </c>
      <c r="B577" s="57"/>
      <c r="C577" s="343" t="s">
        <v>866</v>
      </c>
      <c r="D577" s="343"/>
      <c r="E577" s="58"/>
      <c r="F577" s="59"/>
      <c r="G577" s="57" t="s">
        <v>8</v>
      </c>
      <c r="H577" s="310" t="s">
        <v>9</v>
      </c>
      <c r="I577" s="310"/>
      <c r="J577" s="310"/>
    </row>
    <row r="578" spans="1:10" ht="13.5" customHeight="1">
      <c r="A578" s="61" t="s">
        <v>10</v>
      </c>
      <c r="B578" s="61"/>
      <c r="C578" s="342" t="s">
        <v>825</v>
      </c>
      <c r="D578" s="342"/>
      <c r="E578" s="58"/>
      <c r="F578" s="59"/>
      <c r="G578" s="57" t="s">
        <v>12</v>
      </c>
      <c r="H578" s="195" t="s">
        <v>13</v>
      </c>
      <c r="I578" s="195"/>
      <c r="J578" s="195"/>
    </row>
    <row r="579" spans="1:10" ht="13.5" customHeight="1">
      <c r="A579" s="58" t="s">
        <v>14</v>
      </c>
      <c r="B579" s="58"/>
      <c r="C579" s="58" t="s">
        <v>15</v>
      </c>
      <c r="D579" s="58"/>
      <c r="E579" s="58"/>
      <c r="F579" s="59"/>
      <c r="G579" s="57" t="s">
        <v>16</v>
      </c>
      <c r="H579" s="317" t="s">
        <v>140</v>
      </c>
      <c r="I579" s="317"/>
      <c r="J579" s="317"/>
    </row>
    <row r="580" spans="1:10" ht="13.5" customHeight="1">
      <c r="A580" s="58">
        <v>30</v>
      </c>
      <c r="B580" s="58"/>
      <c r="C580" s="58">
        <f>A580-H580</f>
        <v>1</v>
      </c>
      <c r="D580" s="58"/>
      <c r="E580" s="58"/>
      <c r="F580" s="59"/>
      <c r="G580" s="62" t="s">
        <v>18</v>
      </c>
      <c r="H580" s="324">
        <v>29</v>
      </c>
      <c r="I580" s="324"/>
      <c r="J580" s="324"/>
    </row>
    <row r="581" spans="1:10" ht="13.5" customHeight="1">
      <c r="A581" s="300" t="s">
        <v>19</v>
      </c>
      <c r="B581" s="301"/>
      <c r="C581" s="302"/>
      <c r="D581" s="64" t="s">
        <v>20</v>
      </c>
      <c r="E581" s="65" t="s">
        <v>21</v>
      </c>
      <c r="F581" s="66"/>
      <c r="G581" s="67" t="s">
        <v>20</v>
      </c>
      <c r="H581" s="303" t="s">
        <v>22</v>
      </c>
      <c r="I581" s="304"/>
      <c r="J581" s="305"/>
    </row>
    <row r="582" spans="1:10" ht="13.5" customHeight="1">
      <c r="A582" s="68" t="s">
        <v>23</v>
      </c>
      <c r="B582" s="57"/>
      <c r="C582" s="57"/>
      <c r="D582" s="58">
        <v>15000</v>
      </c>
      <c r="E582" s="68" t="s">
        <v>24</v>
      </c>
      <c r="F582" s="57"/>
      <c r="G582" s="58" t="s">
        <v>25</v>
      </c>
      <c r="H582" s="18" t="s">
        <v>502</v>
      </c>
      <c r="I582" s="6"/>
      <c r="J582" s="19"/>
    </row>
    <row r="583" spans="1:10" ht="13.5" customHeight="1">
      <c r="A583" s="68" t="s">
        <v>77</v>
      </c>
      <c r="B583" s="309" t="s">
        <v>393</v>
      </c>
      <c r="C583" s="309"/>
      <c r="D583" s="58">
        <v>2500</v>
      </c>
      <c r="E583" s="68" t="s">
        <v>58</v>
      </c>
      <c r="F583" s="57"/>
      <c r="G583" s="58" t="s">
        <v>25</v>
      </c>
      <c r="H583" s="18" t="s">
        <v>504</v>
      </c>
      <c r="I583" s="6"/>
      <c r="J583" s="19"/>
    </row>
    <row r="584" spans="1:10" ht="13.5" customHeight="1">
      <c r="A584" s="68" t="s">
        <v>30</v>
      </c>
      <c r="B584" s="57"/>
      <c r="C584" s="57"/>
      <c r="D584" s="58" t="s">
        <v>25</v>
      </c>
      <c r="E584" s="68" t="s">
        <v>40</v>
      </c>
      <c r="F584" s="57"/>
      <c r="G584" s="58" t="s">
        <v>25</v>
      </c>
      <c r="H584" s="18" t="s">
        <v>32</v>
      </c>
      <c r="I584" s="6"/>
      <c r="J584" s="19"/>
    </row>
    <row r="585" spans="1:10" ht="13.5" customHeight="1">
      <c r="A585" s="68" t="s">
        <v>72</v>
      </c>
      <c r="B585" s="61"/>
      <c r="C585" s="61"/>
      <c r="D585" s="58" t="s">
        <v>25</v>
      </c>
      <c r="E585" s="68" t="s">
        <v>35</v>
      </c>
      <c r="F585" s="57"/>
      <c r="G585" s="58">
        <v>500</v>
      </c>
      <c r="H585" s="70"/>
      <c r="I585" s="61"/>
      <c r="J585" s="69"/>
    </row>
    <row r="586" spans="1:10" ht="13.5" customHeight="1">
      <c r="A586" s="68" t="s">
        <v>78</v>
      </c>
      <c r="B586" s="57"/>
      <c r="C586" s="57"/>
      <c r="D586" s="58" t="s">
        <v>25</v>
      </c>
      <c r="E586" s="68" t="s">
        <v>61</v>
      </c>
      <c r="F586" s="57"/>
      <c r="G586" s="58" t="s">
        <v>25</v>
      </c>
      <c r="H586" s="70" t="s">
        <v>867</v>
      </c>
      <c r="I586" s="61"/>
      <c r="J586" s="69"/>
    </row>
    <row r="587" spans="1:10" ht="13.5" customHeight="1">
      <c r="A587" s="68" t="s">
        <v>136</v>
      </c>
      <c r="B587" s="57"/>
      <c r="C587" s="57"/>
      <c r="D587" s="58" t="s">
        <v>25</v>
      </c>
      <c r="E587" s="68" t="s">
        <v>39</v>
      </c>
      <c r="F587" s="57"/>
      <c r="G587" s="58">
        <v>100</v>
      </c>
      <c r="H587" s="70" t="s">
        <v>868</v>
      </c>
      <c r="I587" s="61"/>
      <c r="J587" s="69"/>
    </row>
    <row r="588" spans="1:10" ht="13.5" customHeight="1">
      <c r="A588" s="70" t="s">
        <v>40</v>
      </c>
      <c r="B588" s="61"/>
      <c r="C588" s="61"/>
      <c r="D588" s="58" t="s">
        <v>25</v>
      </c>
      <c r="E588" s="68" t="s">
        <v>78</v>
      </c>
      <c r="F588" s="57"/>
      <c r="G588" s="58" t="s">
        <v>25</v>
      </c>
      <c r="H588" s="70"/>
      <c r="I588" s="61"/>
      <c r="J588" s="69"/>
    </row>
    <row r="589" spans="1:10" ht="13.5" customHeight="1">
      <c r="A589" s="320" t="s">
        <v>63</v>
      </c>
      <c r="B589" s="321"/>
      <c r="C589" s="322"/>
      <c r="D589" s="318">
        <f>SUM(D582:D588)</f>
        <v>17500</v>
      </c>
      <c r="E589" s="57" t="s">
        <v>78</v>
      </c>
      <c r="F589" s="57"/>
      <c r="G589" s="58" t="s">
        <v>25</v>
      </c>
      <c r="H589" s="70"/>
      <c r="I589" s="61"/>
      <c r="J589" s="69"/>
    </row>
    <row r="590" spans="1:10" ht="13.5" customHeight="1">
      <c r="A590" s="323"/>
      <c r="B590" s="324"/>
      <c r="C590" s="325"/>
      <c r="D590" s="319"/>
      <c r="E590" s="72" t="s">
        <v>21</v>
      </c>
      <c r="F590" s="73"/>
      <c r="G590" s="64">
        <f>SUM(G582:G589)</f>
        <v>600</v>
      </c>
      <c r="H590" s="72" t="s">
        <v>44</v>
      </c>
      <c r="I590" s="73"/>
      <c r="J590" s="64">
        <f>D589-G590</f>
        <v>16900</v>
      </c>
    </row>
    <row r="591" spans="1:10" ht="13.5" customHeight="1">
      <c r="A591" s="58"/>
      <c r="B591" s="58"/>
      <c r="C591" s="58"/>
      <c r="D591" s="58"/>
      <c r="E591" s="57"/>
      <c r="F591" s="57"/>
      <c r="G591" s="58"/>
      <c r="H591" s="57"/>
      <c r="I591" s="57"/>
      <c r="J591" s="58"/>
    </row>
    <row r="592" spans="1:10" ht="13.5" customHeight="1">
      <c r="A592" s="58"/>
      <c r="B592" s="59" t="s">
        <v>47</v>
      </c>
      <c r="C592" s="59"/>
      <c r="D592" s="59"/>
      <c r="E592" s="59" t="s">
        <v>48</v>
      </c>
      <c r="F592" s="59"/>
      <c r="G592" s="59"/>
      <c r="H592" s="59" t="s">
        <v>49</v>
      </c>
      <c r="I592" s="59"/>
      <c r="J592" s="58"/>
    </row>
    <row r="593" spans="1:10" ht="13.5" customHeight="1"/>
    <row r="594" spans="1:10" ht="13.5" customHeight="1">
      <c r="A594" s="184" t="s">
        <v>0</v>
      </c>
      <c r="B594" s="185"/>
      <c r="C594" s="185"/>
      <c r="D594" s="185"/>
      <c r="E594" s="185"/>
      <c r="F594" s="185"/>
      <c r="G594" s="185"/>
      <c r="H594" s="185"/>
      <c r="I594" s="185"/>
      <c r="J594" s="186"/>
    </row>
    <row r="595" spans="1:10" ht="13.5" customHeight="1">
      <c r="A595" s="187" t="s">
        <v>1</v>
      </c>
      <c r="B595" s="188"/>
      <c r="C595" s="188"/>
      <c r="D595" s="188"/>
      <c r="E595" s="188"/>
      <c r="F595" s="188"/>
      <c r="G595" s="188"/>
      <c r="H595" s="188"/>
      <c r="I595" s="188"/>
      <c r="J595" s="189"/>
    </row>
    <row r="596" spans="1:10" ht="13.5" customHeight="1">
      <c r="A596" s="1" t="s">
        <v>2</v>
      </c>
      <c r="B596" s="1"/>
      <c r="C596" s="194"/>
      <c r="D596" s="194"/>
      <c r="E596" s="2"/>
      <c r="F596" s="3"/>
      <c r="G596" s="1" t="s">
        <v>4</v>
      </c>
      <c r="H596" s="209" t="s">
        <v>236</v>
      </c>
      <c r="I596" s="209"/>
      <c r="J596" s="209"/>
    </row>
    <row r="597" spans="1:10" ht="13.5" customHeight="1">
      <c r="A597" s="1" t="s">
        <v>6</v>
      </c>
      <c r="B597" s="1"/>
      <c r="C597" s="25" t="s">
        <v>869</v>
      </c>
      <c r="D597" s="25"/>
      <c r="E597" s="2"/>
      <c r="F597" s="3"/>
      <c r="G597" s="1" t="s">
        <v>8</v>
      </c>
      <c r="H597" s="193" t="s">
        <v>9</v>
      </c>
      <c r="I597" s="193"/>
      <c r="J597" s="193"/>
    </row>
    <row r="598" spans="1:10" ht="13.5" customHeight="1">
      <c r="A598" s="6" t="s">
        <v>10</v>
      </c>
      <c r="B598" s="6"/>
      <c r="C598" s="194" t="s">
        <v>825</v>
      </c>
      <c r="D598" s="194"/>
      <c r="E598" s="2"/>
      <c r="F598" s="3"/>
      <c r="G598" s="1" t="s">
        <v>12</v>
      </c>
      <c r="H598" s="195" t="s">
        <v>13</v>
      </c>
      <c r="I598" s="195"/>
      <c r="J598" s="195"/>
    </row>
    <row r="599" spans="1:10" ht="13.5" customHeight="1">
      <c r="A599" s="2"/>
      <c r="B599" s="2"/>
      <c r="C599" s="2" t="s">
        <v>15</v>
      </c>
      <c r="D599" s="2"/>
      <c r="E599" s="2"/>
      <c r="F599" s="3"/>
      <c r="G599" s="1" t="s">
        <v>16</v>
      </c>
      <c r="H599" s="196" t="s">
        <v>68</v>
      </c>
      <c r="I599" s="196"/>
      <c r="J599" s="196"/>
    </row>
    <row r="600" spans="1:10" ht="13.5" customHeight="1">
      <c r="A600" s="2">
        <v>30</v>
      </c>
      <c r="B600" s="2"/>
      <c r="C600" s="2">
        <f>A600-I600</f>
        <v>0</v>
      </c>
      <c r="D600" s="2"/>
      <c r="E600" s="2"/>
      <c r="F600" s="3"/>
      <c r="G600" s="8" t="s">
        <v>18</v>
      </c>
      <c r="H600" s="8"/>
      <c r="I600" s="9">
        <v>30</v>
      </c>
      <c r="J600" s="9"/>
    </row>
    <row r="601" spans="1:10" ht="13.5" customHeight="1">
      <c r="A601" s="198" t="s">
        <v>19</v>
      </c>
      <c r="B601" s="199"/>
      <c r="C601" s="200"/>
      <c r="D601" s="13" t="s">
        <v>20</v>
      </c>
      <c r="E601" s="14" t="s">
        <v>21</v>
      </c>
      <c r="F601" s="15"/>
      <c r="G601" s="16" t="s">
        <v>20</v>
      </c>
      <c r="H601" s="201" t="s">
        <v>22</v>
      </c>
      <c r="I601" s="202"/>
      <c r="J601" s="203"/>
    </row>
    <row r="602" spans="1:10" ht="13.5" customHeight="1">
      <c r="A602" s="17" t="s">
        <v>23</v>
      </c>
      <c r="B602" s="1"/>
      <c r="C602" s="1"/>
      <c r="D602" s="2">
        <v>15000</v>
      </c>
      <c r="E602" s="17" t="s">
        <v>24</v>
      </c>
      <c r="F602" s="1"/>
      <c r="G602" s="2" t="s">
        <v>25</v>
      </c>
      <c r="H602" s="18" t="s">
        <v>502</v>
      </c>
      <c r="I602" s="6"/>
      <c r="J602" s="19"/>
    </row>
    <row r="603" spans="1:10" ht="13.5" customHeight="1">
      <c r="A603" s="17" t="s">
        <v>69</v>
      </c>
      <c r="B603" s="209"/>
      <c r="C603" s="209"/>
      <c r="D603" s="2" t="s">
        <v>25</v>
      </c>
      <c r="E603" s="17" t="s">
        <v>28</v>
      </c>
      <c r="F603" s="1"/>
      <c r="G603" s="2" t="s">
        <v>25</v>
      </c>
      <c r="H603" s="18" t="s">
        <v>504</v>
      </c>
      <c r="I603" s="6"/>
      <c r="J603" s="19"/>
    </row>
    <row r="604" spans="1:10" ht="13.5" customHeight="1">
      <c r="A604" s="17" t="s">
        <v>30</v>
      </c>
      <c r="B604" s="1"/>
      <c r="C604" s="1"/>
      <c r="D604" s="2" t="s">
        <v>25</v>
      </c>
      <c r="E604" s="17" t="s">
        <v>58</v>
      </c>
      <c r="F604" s="1"/>
      <c r="G604" s="2" t="s">
        <v>25</v>
      </c>
      <c r="H604" s="18" t="s">
        <v>32</v>
      </c>
      <c r="I604" s="6"/>
      <c r="J604" s="19"/>
    </row>
    <row r="605" spans="1:10" ht="13.5" customHeight="1">
      <c r="A605" s="17" t="s">
        <v>147</v>
      </c>
      <c r="B605" s="6"/>
      <c r="C605" s="6"/>
      <c r="D605" s="2" t="s">
        <v>25</v>
      </c>
      <c r="E605" s="17" t="s">
        <v>71</v>
      </c>
      <c r="F605" s="1"/>
      <c r="G605" s="2" t="s">
        <v>25</v>
      </c>
      <c r="H605" s="18"/>
      <c r="I605" s="6"/>
      <c r="J605" s="19"/>
    </row>
    <row r="606" spans="1:10" ht="13.5" customHeight="1">
      <c r="A606" s="17" t="s">
        <v>27</v>
      </c>
      <c r="B606" s="1"/>
      <c r="C606" s="1"/>
      <c r="D606" s="2" t="s">
        <v>25</v>
      </c>
      <c r="E606" s="17" t="s">
        <v>61</v>
      </c>
      <c r="F606" s="1"/>
      <c r="G606" s="2" t="s">
        <v>25</v>
      </c>
      <c r="H606" s="18"/>
      <c r="I606" s="6"/>
      <c r="J606" s="40"/>
    </row>
    <row r="607" spans="1:10" ht="13.5" customHeight="1">
      <c r="A607" s="17" t="s">
        <v>136</v>
      </c>
      <c r="B607" s="1"/>
      <c r="C607" s="1"/>
      <c r="D607" s="2" t="s">
        <v>25</v>
      </c>
      <c r="E607" s="17" t="s">
        <v>39</v>
      </c>
      <c r="F607" s="1"/>
      <c r="G607" s="2">
        <v>100</v>
      </c>
      <c r="H607" s="18"/>
      <c r="I607" s="6"/>
      <c r="J607" s="40"/>
    </row>
    <row r="608" spans="1:10" ht="13.5" customHeight="1">
      <c r="A608" s="18" t="s">
        <v>40</v>
      </c>
      <c r="B608" s="6"/>
      <c r="C608" s="6"/>
      <c r="D608" s="2" t="s">
        <v>25</v>
      </c>
      <c r="E608" s="17" t="s">
        <v>62</v>
      </c>
      <c r="F608" s="1"/>
      <c r="G608" s="2" t="s">
        <v>25</v>
      </c>
      <c r="H608" s="18"/>
      <c r="I608" s="6"/>
      <c r="J608" s="40"/>
    </row>
    <row r="609" spans="1:10" ht="13.5" customHeight="1">
      <c r="A609" s="204" t="s">
        <v>63</v>
      </c>
      <c r="B609" s="205"/>
      <c r="C609" s="206"/>
      <c r="D609" s="229">
        <f>SUM(D602:D608)</f>
        <v>15000</v>
      </c>
      <c r="E609" s="1" t="s">
        <v>43</v>
      </c>
      <c r="F609" s="1"/>
      <c r="G609" s="2" t="s">
        <v>25</v>
      </c>
      <c r="H609" s="18"/>
      <c r="I609" s="6"/>
      <c r="J609" s="40"/>
    </row>
    <row r="610" spans="1:10" ht="13.5" customHeight="1">
      <c r="A610" s="207"/>
      <c r="B610" s="197"/>
      <c r="C610" s="208"/>
      <c r="D610" s="230"/>
      <c r="E610" s="21" t="s">
        <v>21</v>
      </c>
      <c r="F610" s="22"/>
      <c r="G610" s="13">
        <f>SUM(G602:G609)</f>
        <v>100</v>
      </c>
      <c r="H610" s="21" t="s">
        <v>44</v>
      </c>
      <c r="I610" s="22"/>
      <c r="J610" s="13">
        <f>D609-G610</f>
        <v>14900</v>
      </c>
    </row>
    <row r="611" spans="1:10" ht="13.5" customHeight="1">
      <c r="A611" s="2"/>
      <c r="B611" s="2"/>
      <c r="C611" s="2"/>
      <c r="D611" s="2"/>
      <c r="E611" s="1"/>
      <c r="F611" s="1"/>
      <c r="G611" s="2"/>
      <c r="H611" s="1"/>
      <c r="I611" s="1"/>
      <c r="J611" s="2"/>
    </row>
    <row r="612" spans="1:10" ht="13.5" customHeight="1">
      <c r="A612" s="3" t="s">
        <v>45</v>
      </c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3.5" customHeight="1">
      <c r="A613" s="3"/>
      <c r="B613" s="3" t="s">
        <v>47</v>
      </c>
      <c r="C613" s="3"/>
      <c r="D613" s="3" t="s">
        <v>73</v>
      </c>
      <c r="E613" s="3" t="s">
        <v>48</v>
      </c>
      <c r="F613" s="3"/>
      <c r="G613" s="3"/>
      <c r="H613" s="3" t="s">
        <v>49</v>
      </c>
      <c r="I613" s="3"/>
      <c r="J613" s="3"/>
    </row>
    <row r="614" spans="1:10" ht="13.5" customHeight="1">
      <c r="A614" s="184" t="s">
        <v>0</v>
      </c>
      <c r="B614" s="185"/>
      <c r="C614" s="185"/>
      <c r="D614" s="185"/>
      <c r="E614" s="185"/>
      <c r="F614" s="185"/>
      <c r="G614" s="185"/>
      <c r="H614" s="185"/>
      <c r="I614" s="185"/>
      <c r="J614" s="186"/>
    </row>
    <row r="615" spans="1:10" ht="13.5" customHeight="1">
      <c r="A615" s="187" t="s">
        <v>1</v>
      </c>
      <c r="B615" s="188"/>
      <c r="C615" s="188"/>
      <c r="D615" s="188"/>
      <c r="E615" s="188"/>
      <c r="F615" s="188"/>
      <c r="G615" s="188"/>
      <c r="H615" s="188"/>
      <c r="I615" s="188"/>
      <c r="J615" s="189"/>
    </row>
    <row r="616" spans="1:10" ht="13.5" customHeight="1">
      <c r="A616" s="1" t="s">
        <v>2</v>
      </c>
      <c r="B616" s="1"/>
      <c r="C616" s="190"/>
      <c r="D616" s="190"/>
      <c r="E616" s="2"/>
      <c r="F616" s="3"/>
      <c r="G616" s="1" t="s">
        <v>4</v>
      </c>
      <c r="H616" s="191" t="s">
        <v>240</v>
      </c>
      <c r="I616" s="191"/>
      <c r="J616" s="191"/>
    </row>
    <row r="617" spans="1:10" ht="13.5" customHeight="1">
      <c r="A617" s="1" t="s">
        <v>6</v>
      </c>
      <c r="B617" s="1"/>
      <c r="C617" s="192" t="s">
        <v>870</v>
      </c>
      <c r="D617" s="192"/>
      <c r="E617" s="2"/>
      <c r="F617" s="3"/>
      <c r="G617" s="1" t="s">
        <v>8</v>
      </c>
      <c r="H617" s="193" t="s">
        <v>9</v>
      </c>
      <c r="I617" s="193"/>
      <c r="J617" s="193"/>
    </row>
    <row r="618" spans="1:10" ht="13.5" customHeight="1">
      <c r="A618" s="6" t="s">
        <v>10</v>
      </c>
      <c r="B618" s="6"/>
      <c r="C618" s="6" t="s">
        <v>871</v>
      </c>
      <c r="D618" s="6"/>
      <c r="E618" s="2"/>
      <c r="F618" s="3"/>
      <c r="G618" s="1" t="s">
        <v>12</v>
      </c>
      <c r="H618" s="195" t="s">
        <v>13</v>
      </c>
      <c r="I618" s="195"/>
      <c r="J618" s="195"/>
    </row>
    <row r="619" spans="1:10" ht="13.5" customHeight="1">
      <c r="A619" s="2" t="s">
        <v>14</v>
      </c>
      <c r="B619" s="2"/>
      <c r="C619" s="2" t="s">
        <v>15</v>
      </c>
      <c r="D619" s="2"/>
      <c r="E619" s="2"/>
      <c r="F619" s="3"/>
      <c r="G619" s="1" t="s">
        <v>16</v>
      </c>
      <c r="H619" s="196" t="s">
        <v>55</v>
      </c>
      <c r="I619" s="196"/>
      <c r="J619" s="196"/>
    </row>
    <row r="620" spans="1:10" ht="13.5" customHeight="1">
      <c r="A620" s="2">
        <v>30</v>
      </c>
      <c r="B620" s="2"/>
      <c r="C620" s="2">
        <f>A620-H620</f>
        <v>0</v>
      </c>
      <c r="D620" s="2"/>
      <c r="E620" s="2"/>
      <c r="F620" s="3"/>
      <c r="G620" s="8" t="s">
        <v>18</v>
      </c>
      <c r="H620" s="197">
        <v>30</v>
      </c>
      <c r="I620" s="197"/>
      <c r="J620" s="197"/>
    </row>
    <row r="621" spans="1:10" ht="13.5" customHeight="1">
      <c r="A621" s="198" t="s">
        <v>19</v>
      </c>
      <c r="B621" s="199"/>
      <c r="C621" s="200"/>
      <c r="D621" s="13" t="s">
        <v>20</v>
      </c>
      <c r="E621" s="14" t="s">
        <v>21</v>
      </c>
      <c r="F621" s="15"/>
      <c r="G621" s="16" t="s">
        <v>20</v>
      </c>
      <c r="H621" s="201" t="s">
        <v>22</v>
      </c>
      <c r="I621" s="202"/>
      <c r="J621" s="203"/>
    </row>
    <row r="622" spans="1:10" ht="13.5" customHeight="1">
      <c r="A622" s="17" t="s">
        <v>23</v>
      </c>
      <c r="B622" s="1"/>
      <c r="C622" s="1"/>
      <c r="D622" s="2">
        <v>15000</v>
      </c>
      <c r="E622" s="17" t="s">
        <v>24</v>
      </c>
      <c r="F622" s="1"/>
      <c r="G622" s="2" t="s">
        <v>25</v>
      </c>
      <c r="H622" s="18" t="s">
        <v>502</v>
      </c>
      <c r="I622" s="6"/>
      <c r="J622" s="19"/>
    </row>
    <row r="623" spans="1:10" ht="13.5" customHeight="1">
      <c r="A623" s="17" t="s">
        <v>247</v>
      </c>
      <c r="B623" s="209"/>
      <c r="C623" s="209"/>
      <c r="D623" s="2" t="s">
        <v>25</v>
      </c>
      <c r="E623" s="17" t="s">
        <v>58</v>
      </c>
      <c r="F623" s="1"/>
      <c r="G623" s="2" t="s">
        <v>25</v>
      </c>
      <c r="H623" s="18" t="s">
        <v>504</v>
      </c>
      <c r="I623" s="6"/>
      <c r="J623" s="19"/>
    </row>
    <row r="624" spans="1:10" ht="13.5" customHeight="1">
      <c r="A624" s="17" t="s">
        <v>30</v>
      </c>
      <c r="B624" s="1"/>
      <c r="C624" s="1"/>
      <c r="D624" s="2" t="s">
        <v>25</v>
      </c>
      <c r="E624" s="17" t="s">
        <v>40</v>
      </c>
      <c r="F624" s="1"/>
      <c r="G624" s="2" t="s">
        <v>25</v>
      </c>
      <c r="H624" s="18" t="s">
        <v>32</v>
      </c>
      <c r="I624" s="6"/>
      <c r="J624" s="19"/>
    </row>
    <row r="625" spans="1:10" ht="13.5" customHeight="1">
      <c r="A625" s="17" t="s">
        <v>147</v>
      </c>
      <c r="B625" s="1"/>
      <c r="C625" s="1"/>
      <c r="D625" s="2" t="s">
        <v>25</v>
      </c>
      <c r="E625" s="17" t="s">
        <v>35</v>
      </c>
      <c r="F625" s="1"/>
      <c r="G625" s="2" t="s">
        <v>25</v>
      </c>
      <c r="H625" s="18"/>
      <c r="I625" s="36"/>
      <c r="J625" s="19"/>
    </row>
    <row r="626" spans="1:10" ht="13.5" customHeight="1">
      <c r="A626" s="17" t="s">
        <v>78</v>
      </c>
      <c r="B626" s="1"/>
      <c r="C626" s="1"/>
      <c r="D626" s="2" t="s">
        <v>25</v>
      </c>
      <c r="E626" s="17" t="s">
        <v>61</v>
      </c>
      <c r="F626" s="1"/>
      <c r="G626" s="2" t="s">
        <v>25</v>
      </c>
      <c r="H626" s="78"/>
      <c r="I626" s="36"/>
      <c r="J626" s="43"/>
    </row>
    <row r="627" spans="1:10" ht="13.5" customHeight="1">
      <c r="A627" s="17" t="s">
        <v>136</v>
      </c>
      <c r="B627" s="1"/>
      <c r="C627" s="1"/>
      <c r="D627" s="2" t="s">
        <v>25</v>
      </c>
      <c r="E627" s="17" t="s">
        <v>39</v>
      </c>
      <c r="F627" s="1"/>
      <c r="G627" s="2">
        <v>100</v>
      </c>
      <c r="H627" s="42"/>
      <c r="I627" s="36"/>
      <c r="J627" s="43"/>
    </row>
    <row r="628" spans="1:10" ht="13.5" customHeight="1">
      <c r="A628" s="18" t="s">
        <v>40</v>
      </c>
      <c r="B628" s="6"/>
      <c r="C628" s="6"/>
      <c r="D628" s="2" t="s">
        <v>25</v>
      </c>
      <c r="E628" s="17" t="s">
        <v>78</v>
      </c>
      <c r="F628" s="1"/>
      <c r="G628" s="2" t="s">
        <v>25</v>
      </c>
      <c r="H628" s="42"/>
      <c r="I628" s="36"/>
      <c r="J628" s="43"/>
    </row>
    <row r="629" spans="1:10" ht="13.5" customHeight="1">
      <c r="A629" s="204" t="s">
        <v>63</v>
      </c>
      <c r="B629" s="205"/>
      <c r="C629" s="206"/>
      <c r="D629" s="229">
        <f>SUM(D622:D628)</f>
        <v>15000</v>
      </c>
      <c r="E629" s="1" t="s">
        <v>43</v>
      </c>
      <c r="F629" s="1"/>
      <c r="G629" s="2" t="s">
        <v>25</v>
      </c>
      <c r="H629" s="18"/>
      <c r="I629" s="6"/>
      <c r="J629" s="19"/>
    </row>
    <row r="630" spans="1:10" ht="13.5" customHeight="1">
      <c r="A630" s="207"/>
      <c r="B630" s="197"/>
      <c r="C630" s="208"/>
      <c r="D630" s="230"/>
      <c r="E630" s="21" t="s">
        <v>21</v>
      </c>
      <c r="F630" s="22"/>
      <c r="G630" s="13">
        <f>SUM(G622:G629)</f>
        <v>100</v>
      </c>
      <c r="H630" s="21" t="s">
        <v>44</v>
      </c>
      <c r="I630" s="22"/>
      <c r="J630" s="13">
        <f>D629-G630</f>
        <v>14900</v>
      </c>
    </row>
    <row r="631" spans="1:10" ht="13.5" customHeight="1">
      <c r="A631" s="3" t="s">
        <v>45</v>
      </c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3.5" customHeight="1">
      <c r="A633" s="3"/>
      <c r="B633" s="3" t="s">
        <v>47</v>
      </c>
      <c r="C633" s="3"/>
      <c r="D633" s="3"/>
      <c r="E633" s="3" t="s">
        <v>48</v>
      </c>
      <c r="F633" s="3"/>
      <c r="G633" s="3"/>
      <c r="H633" s="3" t="s">
        <v>49</v>
      </c>
      <c r="I633" s="3"/>
      <c r="J633" s="3"/>
    </row>
    <row r="634" spans="1:10" ht="13.5" customHeight="1">
      <c r="A634" s="184" t="s">
        <v>0</v>
      </c>
      <c r="B634" s="185"/>
      <c r="C634" s="185"/>
      <c r="D634" s="185"/>
      <c r="E634" s="185"/>
      <c r="F634" s="185"/>
      <c r="G634" s="185"/>
      <c r="H634" s="185"/>
      <c r="I634" s="185"/>
      <c r="J634" s="186"/>
    </row>
    <row r="635" spans="1:10" ht="13.5" customHeight="1">
      <c r="A635" s="187" t="s">
        <v>1</v>
      </c>
      <c r="B635" s="188"/>
      <c r="C635" s="188"/>
      <c r="D635" s="188"/>
      <c r="E635" s="188"/>
      <c r="F635" s="188"/>
      <c r="G635" s="188"/>
      <c r="H635" s="188"/>
      <c r="I635" s="188"/>
      <c r="J635" s="189"/>
    </row>
    <row r="636" spans="1:10" ht="13.5" customHeight="1">
      <c r="A636" s="1" t="s">
        <v>2</v>
      </c>
      <c r="B636" s="1"/>
      <c r="C636" s="190"/>
      <c r="D636" s="190"/>
      <c r="E636" s="2"/>
      <c r="F636" s="3"/>
      <c r="G636" s="1" t="s">
        <v>4</v>
      </c>
      <c r="H636" s="191" t="s">
        <v>240</v>
      </c>
      <c r="I636" s="191"/>
      <c r="J636" s="191"/>
    </row>
    <row r="637" spans="1:10" ht="13.5" customHeight="1">
      <c r="A637" s="1" t="s">
        <v>6</v>
      </c>
      <c r="B637" s="1"/>
      <c r="C637" s="192" t="s">
        <v>872</v>
      </c>
      <c r="D637" s="192"/>
      <c r="E637" s="2"/>
      <c r="F637" s="3"/>
      <c r="G637" s="1" t="s">
        <v>8</v>
      </c>
      <c r="H637" s="193" t="s">
        <v>9</v>
      </c>
      <c r="I637" s="193"/>
      <c r="J637" s="193"/>
    </row>
    <row r="638" spans="1:10" ht="13.5" customHeight="1">
      <c r="A638" s="6" t="s">
        <v>10</v>
      </c>
      <c r="B638" s="6"/>
      <c r="C638" s="6" t="s">
        <v>825</v>
      </c>
      <c r="D638" s="6"/>
      <c r="E638" s="2"/>
      <c r="F638" s="3"/>
      <c r="G638" s="1" t="s">
        <v>12</v>
      </c>
      <c r="H638" s="195" t="s">
        <v>13</v>
      </c>
      <c r="I638" s="195"/>
      <c r="J638" s="195"/>
    </row>
    <row r="639" spans="1:10" ht="13.5" customHeight="1">
      <c r="A639" s="2" t="s">
        <v>14</v>
      </c>
      <c r="B639" s="2"/>
      <c r="C639" s="2" t="s">
        <v>15</v>
      </c>
      <c r="D639" s="2"/>
      <c r="E639" s="2"/>
      <c r="F639" s="3"/>
      <c r="G639" s="1" t="s">
        <v>16</v>
      </c>
      <c r="H639" s="196" t="s">
        <v>140</v>
      </c>
      <c r="I639" s="196"/>
      <c r="J639" s="196"/>
    </row>
    <row r="640" spans="1:10" ht="13.5" customHeight="1">
      <c r="A640" s="2">
        <v>30</v>
      </c>
      <c r="B640" s="2"/>
      <c r="C640" s="2">
        <f>A640-H640</f>
        <v>0</v>
      </c>
      <c r="D640" s="2"/>
      <c r="E640" s="2"/>
      <c r="F640" s="3"/>
      <c r="G640" s="8" t="s">
        <v>18</v>
      </c>
      <c r="H640" s="197">
        <v>30</v>
      </c>
      <c r="I640" s="197"/>
      <c r="J640" s="197"/>
    </row>
    <row r="641" spans="1:10" ht="13.5" customHeight="1">
      <c r="A641" s="198" t="s">
        <v>19</v>
      </c>
      <c r="B641" s="199"/>
      <c r="C641" s="200"/>
      <c r="D641" s="13" t="s">
        <v>20</v>
      </c>
      <c r="E641" s="14" t="s">
        <v>21</v>
      </c>
      <c r="F641" s="15"/>
      <c r="G641" s="16" t="s">
        <v>20</v>
      </c>
      <c r="H641" s="201" t="s">
        <v>22</v>
      </c>
      <c r="I641" s="202"/>
      <c r="J641" s="203"/>
    </row>
    <row r="642" spans="1:10" ht="13.5" customHeight="1">
      <c r="A642" s="17" t="s">
        <v>23</v>
      </c>
      <c r="B642" s="1"/>
      <c r="C642" s="1"/>
      <c r="D642" s="2">
        <v>15000</v>
      </c>
      <c r="E642" s="17" t="s">
        <v>24</v>
      </c>
      <c r="F642" s="1"/>
      <c r="G642" s="2" t="s">
        <v>25</v>
      </c>
      <c r="H642" s="18" t="s">
        <v>502</v>
      </c>
      <c r="I642" s="6"/>
      <c r="J642" s="19"/>
    </row>
    <row r="643" spans="1:10" ht="13.5" customHeight="1">
      <c r="A643" s="17" t="s">
        <v>247</v>
      </c>
      <c r="B643" s="209" t="s">
        <v>320</v>
      </c>
      <c r="C643" s="209"/>
      <c r="D643" s="2">
        <v>1000</v>
      </c>
      <c r="E643" s="17" t="s">
        <v>58</v>
      </c>
      <c r="F643" s="1"/>
      <c r="G643" s="2" t="s">
        <v>25</v>
      </c>
      <c r="H643" s="18" t="s">
        <v>504</v>
      </c>
      <c r="I643" s="6"/>
      <c r="J643" s="19"/>
    </row>
    <row r="644" spans="1:10" ht="13.5" customHeight="1">
      <c r="A644" s="17" t="s">
        <v>30</v>
      </c>
      <c r="B644" s="1"/>
      <c r="C644" s="1"/>
      <c r="D644" s="2" t="s">
        <v>25</v>
      </c>
      <c r="E644" s="17" t="s">
        <v>40</v>
      </c>
      <c r="F644" s="1"/>
      <c r="G644" s="2" t="s">
        <v>25</v>
      </c>
      <c r="H644" s="18" t="s">
        <v>32</v>
      </c>
      <c r="I644" s="6"/>
      <c r="J644" s="19"/>
    </row>
    <row r="645" spans="1:10" ht="13.5" customHeight="1">
      <c r="A645" s="17" t="s">
        <v>147</v>
      </c>
      <c r="B645" s="1"/>
      <c r="C645" s="1"/>
      <c r="D645" s="2" t="s">
        <v>25</v>
      </c>
      <c r="E645" s="17" t="s">
        <v>35</v>
      </c>
      <c r="F645" s="1"/>
      <c r="G645" s="2" t="s">
        <v>25</v>
      </c>
      <c r="H645" s="18"/>
      <c r="I645" s="36"/>
      <c r="J645" s="19"/>
    </row>
    <row r="646" spans="1:10" ht="13.5" customHeight="1">
      <c r="A646" s="17" t="s">
        <v>78</v>
      </c>
      <c r="B646" s="1"/>
      <c r="C646" s="1"/>
      <c r="D646" s="2" t="s">
        <v>25</v>
      </c>
      <c r="E646" s="17" t="s">
        <v>61</v>
      </c>
      <c r="F646" s="1"/>
      <c r="G646" s="2" t="s">
        <v>25</v>
      </c>
      <c r="H646" s="78" t="s">
        <v>873</v>
      </c>
      <c r="I646" s="36"/>
      <c r="J646" s="43"/>
    </row>
    <row r="647" spans="1:10" ht="13.5" customHeight="1">
      <c r="A647" s="17" t="s">
        <v>136</v>
      </c>
      <c r="B647" s="1"/>
      <c r="C647" s="1"/>
      <c r="D647" s="2" t="s">
        <v>25</v>
      </c>
      <c r="E647" s="17" t="s">
        <v>39</v>
      </c>
      <c r="F647" s="1"/>
      <c r="G647" s="2">
        <v>100</v>
      </c>
      <c r="H647" s="42"/>
      <c r="I647" s="36"/>
      <c r="J647" s="43"/>
    </row>
    <row r="648" spans="1:10" ht="13.5" customHeight="1">
      <c r="A648" s="18" t="s">
        <v>40</v>
      </c>
      <c r="B648" s="6"/>
      <c r="C648" s="6"/>
      <c r="D648" s="2" t="s">
        <v>25</v>
      </c>
      <c r="E648" s="17" t="s">
        <v>78</v>
      </c>
      <c r="F648" s="1"/>
      <c r="G648" s="2" t="s">
        <v>25</v>
      </c>
      <c r="H648" s="42"/>
      <c r="I648" s="36"/>
      <c r="J648" s="43"/>
    </row>
    <row r="649" spans="1:10" ht="13.5" customHeight="1">
      <c r="A649" s="204" t="s">
        <v>63</v>
      </c>
      <c r="B649" s="205"/>
      <c r="C649" s="206"/>
      <c r="D649" s="229">
        <f>SUM(D642:D648)</f>
        <v>16000</v>
      </c>
      <c r="E649" s="1" t="s">
        <v>43</v>
      </c>
      <c r="F649" s="1"/>
      <c r="G649" s="2" t="s">
        <v>25</v>
      </c>
      <c r="H649" s="18"/>
      <c r="I649" s="6"/>
      <c r="J649" s="19"/>
    </row>
    <row r="650" spans="1:10" ht="13.5" customHeight="1">
      <c r="A650" s="207"/>
      <c r="B650" s="197"/>
      <c r="C650" s="208"/>
      <c r="D650" s="230"/>
      <c r="E650" s="21" t="s">
        <v>21</v>
      </c>
      <c r="F650" s="22"/>
      <c r="G650" s="13">
        <f>SUM(G642:G649)</f>
        <v>100</v>
      </c>
      <c r="H650" s="21" t="s">
        <v>44</v>
      </c>
      <c r="I650" s="22"/>
      <c r="J650" s="13">
        <f>D649-G650</f>
        <v>15900</v>
      </c>
    </row>
    <row r="651" spans="1:10" ht="13.5" customHeight="1">
      <c r="A651" s="3" t="s">
        <v>45</v>
      </c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3.5" customHeight="1">
      <c r="A653" s="3"/>
      <c r="B653" s="3" t="s">
        <v>47</v>
      </c>
      <c r="C653" s="3"/>
      <c r="D653" s="3"/>
      <c r="E653" s="3" t="s">
        <v>48</v>
      </c>
      <c r="F653" s="3"/>
      <c r="G653" s="3"/>
      <c r="H653" s="3" t="s">
        <v>49</v>
      </c>
      <c r="I653" s="3"/>
      <c r="J653" s="3"/>
    </row>
    <row r="654" spans="1:10" ht="13.5" customHeight="1">
      <c r="A654" s="184" t="s">
        <v>0</v>
      </c>
      <c r="B654" s="185"/>
      <c r="C654" s="185"/>
      <c r="D654" s="185"/>
      <c r="E654" s="185"/>
      <c r="F654" s="185"/>
      <c r="G654" s="185"/>
      <c r="H654" s="185"/>
      <c r="I654" s="185"/>
      <c r="J654" s="186"/>
    </row>
    <row r="655" spans="1:10" ht="13.5" customHeight="1">
      <c r="A655" s="187" t="s">
        <v>1</v>
      </c>
      <c r="B655" s="188"/>
      <c r="C655" s="188"/>
      <c r="D655" s="188"/>
      <c r="E655" s="188"/>
      <c r="F655" s="188"/>
      <c r="G655" s="188"/>
      <c r="H655" s="188"/>
      <c r="I655" s="188"/>
      <c r="J655" s="189"/>
    </row>
    <row r="656" spans="1:10" ht="13.5" customHeight="1">
      <c r="A656" s="1" t="s">
        <v>2</v>
      </c>
      <c r="B656" s="1"/>
      <c r="C656" s="190"/>
      <c r="D656" s="190"/>
      <c r="E656" s="2"/>
      <c r="F656" s="3"/>
      <c r="G656" s="1" t="s">
        <v>4</v>
      </c>
      <c r="H656" s="191" t="s">
        <v>358</v>
      </c>
      <c r="I656" s="191"/>
      <c r="J656" s="191"/>
    </row>
    <row r="657" spans="1:10" ht="13.5" customHeight="1">
      <c r="A657" s="1" t="s">
        <v>6</v>
      </c>
      <c r="B657" s="1"/>
      <c r="C657" s="192" t="s">
        <v>874</v>
      </c>
      <c r="D657" s="192"/>
      <c r="E657" s="2"/>
      <c r="F657" s="3"/>
      <c r="G657" s="1" t="s">
        <v>8</v>
      </c>
      <c r="H657" s="193" t="s">
        <v>9</v>
      </c>
      <c r="I657" s="193"/>
      <c r="J657" s="193"/>
    </row>
    <row r="658" spans="1:10" ht="13.5" customHeight="1">
      <c r="A658" s="6" t="s">
        <v>10</v>
      </c>
      <c r="B658" s="6"/>
      <c r="C658" s="194" t="s">
        <v>825</v>
      </c>
      <c r="D658" s="194"/>
      <c r="E658" s="2"/>
      <c r="F658" s="3"/>
      <c r="G658" s="1" t="s">
        <v>12</v>
      </c>
      <c r="H658" s="195" t="s">
        <v>13</v>
      </c>
      <c r="I658" s="195"/>
      <c r="J658" s="195"/>
    </row>
    <row r="659" spans="1:10" ht="13.5" customHeight="1">
      <c r="A659" s="2" t="s">
        <v>14</v>
      </c>
      <c r="B659" s="2"/>
      <c r="C659" s="2" t="s">
        <v>15</v>
      </c>
      <c r="D659" s="2"/>
      <c r="E659" s="2"/>
      <c r="F659" s="3"/>
      <c r="G659" s="1" t="s">
        <v>16</v>
      </c>
      <c r="H659" s="196" t="s">
        <v>55</v>
      </c>
      <c r="I659" s="196"/>
      <c r="J659" s="196"/>
    </row>
    <row r="660" spans="1:10" ht="13.5" customHeight="1">
      <c r="A660" s="2">
        <v>30</v>
      </c>
      <c r="B660" s="2"/>
      <c r="C660" s="2">
        <f>A660-H660</f>
        <v>0</v>
      </c>
      <c r="D660" s="2"/>
      <c r="E660" s="2"/>
      <c r="F660" s="3"/>
      <c r="G660" s="8" t="s">
        <v>18</v>
      </c>
      <c r="H660" s="197">
        <v>30</v>
      </c>
      <c r="I660" s="197"/>
      <c r="J660" s="197"/>
    </row>
    <row r="661" spans="1:10" ht="13.5" customHeight="1">
      <c r="A661" s="198" t="s">
        <v>19</v>
      </c>
      <c r="B661" s="199"/>
      <c r="C661" s="200"/>
      <c r="D661" s="13" t="s">
        <v>20</v>
      </c>
      <c r="E661" s="14" t="s">
        <v>21</v>
      </c>
      <c r="F661" s="15"/>
      <c r="G661" s="16" t="s">
        <v>20</v>
      </c>
      <c r="H661" s="201" t="s">
        <v>22</v>
      </c>
      <c r="I661" s="202"/>
      <c r="J661" s="203"/>
    </row>
    <row r="662" spans="1:10" ht="13.5" customHeight="1">
      <c r="A662" s="17" t="s">
        <v>23</v>
      </c>
      <c r="B662" s="1"/>
      <c r="C662" s="1"/>
      <c r="D662" s="2">
        <v>15000</v>
      </c>
      <c r="E662" s="17" t="s">
        <v>24</v>
      </c>
      <c r="F662" s="1"/>
      <c r="G662" s="2" t="s">
        <v>25</v>
      </c>
      <c r="H662" s="18" t="s">
        <v>502</v>
      </c>
      <c r="I662" s="6"/>
      <c r="J662" s="19"/>
    </row>
    <row r="663" spans="1:10" ht="13.5" customHeight="1">
      <c r="A663" s="17" t="s">
        <v>77</v>
      </c>
      <c r="B663" s="209" t="s">
        <v>320</v>
      </c>
      <c r="C663" s="209"/>
      <c r="D663" s="2">
        <v>1000</v>
      </c>
      <c r="E663" s="17" t="s">
        <v>58</v>
      </c>
      <c r="F663" s="1"/>
      <c r="G663" s="2" t="s">
        <v>25</v>
      </c>
      <c r="H663" s="18" t="s">
        <v>504</v>
      </c>
      <c r="I663" s="6"/>
      <c r="J663" s="19"/>
    </row>
    <row r="664" spans="1:10" ht="13.5" customHeight="1">
      <c r="A664" s="17" t="s">
        <v>30</v>
      </c>
      <c r="B664" s="1"/>
      <c r="C664" s="1"/>
      <c r="D664" s="2" t="s">
        <v>25</v>
      </c>
      <c r="E664" s="17" t="s">
        <v>40</v>
      </c>
      <c r="F664" s="1"/>
      <c r="G664" s="2" t="s">
        <v>25</v>
      </c>
      <c r="H664" s="18" t="s">
        <v>32</v>
      </c>
      <c r="I664" s="6"/>
      <c r="J664" s="19"/>
    </row>
    <row r="665" spans="1:10" ht="13.5" customHeight="1">
      <c r="A665" s="17" t="s">
        <v>34</v>
      </c>
      <c r="B665" s="1"/>
      <c r="C665" s="1"/>
      <c r="D665" s="2" t="s">
        <v>25</v>
      </c>
      <c r="E665" s="17" t="s">
        <v>71</v>
      </c>
      <c r="F665" s="1"/>
      <c r="G665" s="2" t="s">
        <v>25</v>
      </c>
      <c r="H665" s="18"/>
      <c r="I665" s="36"/>
      <c r="J665" s="19"/>
    </row>
    <row r="666" spans="1:10" ht="13.5" customHeight="1">
      <c r="A666" s="17" t="s">
        <v>523</v>
      </c>
      <c r="B666" s="1"/>
      <c r="C666" s="1"/>
      <c r="D666" s="2" t="s">
        <v>25</v>
      </c>
      <c r="E666" s="17" t="s">
        <v>286</v>
      </c>
      <c r="F666" s="1"/>
      <c r="G666" s="2" t="s">
        <v>25</v>
      </c>
      <c r="H666" s="42" t="s">
        <v>875</v>
      </c>
      <c r="I666" s="36"/>
      <c r="J666" s="43"/>
    </row>
    <row r="667" spans="1:10" ht="13.5" customHeight="1">
      <c r="A667" s="17" t="s">
        <v>136</v>
      </c>
      <c r="B667" s="1"/>
      <c r="C667" s="1"/>
      <c r="D667" s="2" t="s">
        <v>25</v>
      </c>
      <c r="E667" s="17" t="s">
        <v>39</v>
      </c>
      <c r="F667" s="1"/>
      <c r="G667" s="2">
        <v>100</v>
      </c>
      <c r="H667" s="42"/>
      <c r="J667" s="43"/>
    </row>
    <row r="668" spans="1:10" ht="13.5" customHeight="1">
      <c r="A668" s="18" t="s">
        <v>40</v>
      </c>
      <c r="B668" s="6"/>
      <c r="C668" s="6"/>
      <c r="D668" s="2" t="s">
        <v>25</v>
      </c>
      <c r="E668" s="17" t="s">
        <v>78</v>
      </c>
      <c r="F668" s="1"/>
      <c r="G668" s="2" t="s">
        <v>25</v>
      </c>
      <c r="H668" s="42"/>
      <c r="I668" s="36"/>
      <c r="J668" s="43"/>
    </row>
    <row r="669" spans="1:10" ht="13.5" customHeight="1">
      <c r="A669" s="204" t="s">
        <v>63</v>
      </c>
      <c r="B669" s="205"/>
      <c r="C669" s="206"/>
      <c r="D669" s="229">
        <f>SUM(D662:D668)</f>
        <v>16000</v>
      </c>
      <c r="E669" s="1" t="s">
        <v>43</v>
      </c>
      <c r="F669" s="1"/>
      <c r="G669" s="2" t="s">
        <v>25</v>
      </c>
      <c r="H669" s="18"/>
      <c r="I669" s="6"/>
      <c r="J669" s="19"/>
    </row>
    <row r="670" spans="1:10" ht="13.5" customHeight="1">
      <c r="A670" s="207"/>
      <c r="B670" s="197"/>
      <c r="C670" s="208"/>
      <c r="D670" s="230"/>
      <c r="E670" s="21" t="s">
        <v>21</v>
      </c>
      <c r="F670" s="22"/>
      <c r="G670" s="13">
        <f>SUM(G662:G669)</f>
        <v>100</v>
      </c>
      <c r="H670" s="21" t="s">
        <v>44</v>
      </c>
      <c r="I670" s="22"/>
      <c r="J670" s="13">
        <f>D669-G670</f>
        <v>15900</v>
      </c>
    </row>
    <row r="671" spans="1:10" ht="13.5" customHeight="1">
      <c r="A671" s="3" t="s">
        <v>45</v>
      </c>
      <c r="B671" s="3"/>
      <c r="C671" s="3"/>
      <c r="D671" s="3"/>
      <c r="E671" s="3"/>
      <c r="F671" s="3"/>
      <c r="G671" s="2"/>
      <c r="H671" s="1"/>
      <c r="I671" s="1"/>
      <c r="J671" s="2"/>
    </row>
    <row r="672" spans="1:10" ht="13.5" customHeight="1">
      <c r="A672" s="3"/>
      <c r="B672" s="3" t="s">
        <v>47</v>
      </c>
      <c r="C672" s="3"/>
      <c r="D672" s="3"/>
      <c r="E672" s="3" t="s">
        <v>48</v>
      </c>
      <c r="F672" s="3"/>
      <c r="G672" s="3"/>
      <c r="H672" s="3" t="s">
        <v>49</v>
      </c>
      <c r="I672" s="3"/>
      <c r="J672" s="3"/>
    </row>
    <row r="673" spans="1:10" ht="13.5" customHeight="1">
      <c r="A673" s="184" t="s">
        <v>0</v>
      </c>
      <c r="B673" s="185"/>
      <c r="C673" s="185"/>
      <c r="D673" s="185"/>
      <c r="E673" s="185"/>
      <c r="F673" s="185"/>
      <c r="G673" s="185"/>
      <c r="H673" s="185"/>
      <c r="I673" s="185"/>
      <c r="J673" s="186"/>
    </row>
    <row r="674" spans="1:10" ht="13.5" customHeight="1">
      <c r="A674" s="187" t="s">
        <v>1</v>
      </c>
      <c r="B674" s="188"/>
      <c r="C674" s="188"/>
      <c r="D674" s="188"/>
      <c r="E674" s="188"/>
      <c r="F674" s="188"/>
      <c r="G674" s="188"/>
      <c r="H674" s="188"/>
      <c r="I674" s="188"/>
      <c r="J674" s="189"/>
    </row>
    <row r="675" spans="1:10" ht="13.5" customHeight="1">
      <c r="A675" s="1" t="s">
        <v>2</v>
      </c>
      <c r="B675" s="1"/>
      <c r="C675" s="190"/>
      <c r="D675" s="190"/>
      <c r="E675" s="2"/>
      <c r="F675" s="3"/>
      <c r="G675" s="1" t="s">
        <v>4</v>
      </c>
      <c r="H675" s="191" t="s">
        <v>358</v>
      </c>
      <c r="I675" s="191"/>
      <c r="J675" s="191"/>
    </row>
    <row r="676" spans="1:10" ht="13.5" customHeight="1">
      <c r="A676" s="1" t="s">
        <v>6</v>
      </c>
      <c r="B676" s="1"/>
      <c r="C676" s="192" t="s">
        <v>876</v>
      </c>
      <c r="D676" s="192"/>
      <c r="E676" s="2"/>
      <c r="F676" s="3"/>
      <c r="G676" s="1" t="s">
        <v>8</v>
      </c>
      <c r="H676" s="193" t="s">
        <v>9</v>
      </c>
      <c r="I676" s="193"/>
      <c r="J676" s="193"/>
    </row>
    <row r="677" spans="1:10" ht="13.5" customHeight="1">
      <c r="A677" s="6" t="s">
        <v>10</v>
      </c>
      <c r="B677" s="6"/>
      <c r="C677" s="194" t="s">
        <v>825</v>
      </c>
      <c r="D677" s="194"/>
      <c r="E677" s="2"/>
      <c r="F677" s="3"/>
      <c r="G677" s="1" t="s">
        <v>12</v>
      </c>
      <c r="H677" s="195" t="s">
        <v>13</v>
      </c>
      <c r="I677" s="195"/>
      <c r="J677" s="195"/>
    </row>
    <row r="678" spans="1:10" ht="13.5" customHeight="1">
      <c r="A678" s="2" t="s">
        <v>14</v>
      </c>
      <c r="B678" s="2"/>
      <c r="C678" s="2" t="s">
        <v>15</v>
      </c>
      <c r="D678" s="2"/>
      <c r="E678" s="2"/>
      <c r="F678" s="3"/>
      <c r="G678" s="1" t="s">
        <v>16</v>
      </c>
      <c r="H678" s="196" t="s">
        <v>140</v>
      </c>
      <c r="I678" s="196"/>
      <c r="J678" s="196"/>
    </row>
    <row r="679" spans="1:10" ht="13.5" customHeight="1">
      <c r="A679" s="2">
        <v>30</v>
      </c>
      <c r="B679" s="2"/>
      <c r="C679" s="2">
        <f>A679-H679</f>
        <v>0</v>
      </c>
      <c r="D679" s="2"/>
      <c r="E679" s="2"/>
      <c r="F679" s="3"/>
      <c r="G679" s="8" t="s">
        <v>18</v>
      </c>
      <c r="H679" s="197">
        <v>30</v>
      </c>
      <c r="I679" s="197"/>
      <c r="J679" s="197"/>
    </row>
    <row r="680" spans="1:10" ht="13.5" customHeight="1">
      <c r="A680" s="198" t="s">
        <v>19</v>
      </c>
      <c r="B680" s="199"/>
      <c r="C680" s="200"/>
      <c r="D680" s="13" t="s">
        <v>20</v>
      </c>
      <c r="E680" s="14" t="s">
        <v>21</v>
      </c>
      <c r="F680" s="15"/>
      <c r="G680" s="16" t="s">
        <v>20</v>
      </c>
      <c r="H680" s="201" t="s">
        <v>22</v>
      </c>
      <c r="I680" s="202"/>
      <c r="J680" s="203"/>
    </row>
    <row r="681" spans="1:10" ht="13.5" customHeight="1">
      <c r="A681" s="17" t="s">
        <v>23</v>
      </c>
      <c r="B681" s="1"/>
      <c r="C681" s="1"/>
      <c r="D681" s="2">
        <v>15000</v>
      </c>
      <c r="E681" s="17" t="s">
        <v>24</v>
      </c>
      <c r="F681" s="1"/>
      <c r="G681" s="2" t="s">
        <v>25</v>
      </c>
      <c r="H681" s="18" t="s">
        <v>502</v>
      </c>
      <c r="I681" s="6"/>
      <c r="J681" s="19"/>
    </row>
    <row r="682" spans="1:10" ht="13.5" customHeight="1">
      <c r="A682" s="17" t="s">
        <v>77</v>
      </c>
      <c r="B682" s="209" t="s">
        <v>120</v>
      </c>
      <c r="C682" s="209"/>
      <c r="D682" s="2">
        <v>500</v>
      </c>
      <c r="E682" s="17" t="s">
        <v>58</v>
      </c>
      <c r="F682" s="1"/>
      <c r="G682" s="2" t="s">
        <v>25</v>
      </c>
      <c r="H682" s="18" t="s">
        <v>504</v>
      </c>
      <c r="I682" s="6"/>
      <c r="J682" s="19"/>
    </row>
    <row r="683" spans="1:10" ht="13.5" customHeight="1">
      <c r="A683" s="17" t="s">
        <v>30</v>
      </c>
      <c r="B683" s="1"/>
      <c r="C683" s="1"/>
      <c r="D683" s="2" t="s">
        <v>25</v>
      </c>
      <c r="E683" s="17" t="s">
        <v>40</v>
      </c>
      <c r="F683" s="1"/>
      <c r="G683" s="2" t="s">
        <v>25</v>
      </c>
      <c r="H683" s="18" t="s">
        <v>32</v>
      </c>
      <c r="I683" s="6"/>
      <c r="J683" s="19"/>
    </row>
    <row r="684" spans="1:10" ht="13.5" customHeight="1">
      <c r="A684" s="17" t="s">
        <v>34</v>
      </c>
      <c r="B684" s="1"/>
      <c r="C684" s="1"/>
      <c r="D684" s="2" t="s">
        <v>25</v>
      </c>
      <c r="E684" s="17" t="s">
        <v>71</v>
      </c>
      <c r="F684" s="1"/>
      <c r="G684" s="2" t="s">
        <v>25</v>
      </c>
      <c r="H684" s="18"/>
      <c r="I684" s="36"/>
      <c r="J684" s="19"/>
    </row>
    <row r="685" spans="1:10" ht="13.5" customHeight="1">
      <c r="A685" s="17" t="s">
        <v>523</v>
      </c>
      <c r="B685" s="1"/>
      <c r="C685" s="1"/>
      <c r="D685" s="2" t="s">
        <v>25</v>
      </c>
      <c r="E685" s="17" t="s">
        <v>286</v>
      </c>
      <c r="F685" s="1"/>
      <c r="G685" s="2" t="s">
        <v>25</v>
      </c>
      <c r="H685" s="42" t="s">
        <v>877</v>
      </c>
      <c r="I685" s="36"/>
      <c r="J685" s="43"/>
    </row>
    <row r="686" spans="1:10" ht="13.5" customHeight="1">
      <c r="A686" s="17" t="s">
        <v>136</v>
      </c>
      <c r="B686" s="1"/>
      <c r="C686" s="1"/>
      <c r="D686" s="2" t="s">
        <v>25</v>
      </c>
      <c r="E686" s="17" t="s">
        <v>39</v>
      </c>
      <c r="F686" s="1"/>
      <c r="G686" s="2">
        <v>100</v>
      </c>
      <c r="H686" s="42"/>
      <c r="J686" s="43"/>
    </row>
    <row r="687" spans="1:10" ht="13.5" customHeight="1">
      <c r="A687" s="18" t="s">
        <v>40</v>
      </c>
      <c r="B687" s="6"/>
      <c r="C687" s="6"/>
      <c r="D687" s="2" t="s">
        <v>25</v>
      </c>
      <c r="E687" s="17" t="s">
        <v>78</v>
      </c>
      <c r="F687" s="1"/>
      <c r="G687" s="2" t="s">
        <v>25</v>
      </c>
      <c r="H687" s="42"/>
      <c r="I687" s="36"/>
      <c r="J687" s="43"/>
    </row>
    <row r="688" spans="1:10" ht="13.5" customHeight="1">
      <c r="A688" s="204" t="s">
        <v>63</v>
      </c>
      <c r="B688" s="205"/>
      <c r="C688" s="206"/>
      <c r="D688" s="229">
        <f>SUM(D681:D687)</f>
        <v>15500</v>
      </c>
      <c r="E688" s="1" t="s">
        <v>43</v>
      </c>
      <c r="F688" s="1"/>
      <c r="G688" s="2" t="s">
        <v>25</v>
      </c>
      <c r="H688" s="18"/>
      <c r="I688" s="6"/>
      <c r="J688" s="19"/>
    </row>
    <row r="689" spans="1:10" ht="13.5" customHeight="1">
      <c r="A689" s="207"/>
      <c r="B689" s="197"/>
      <c r="C689" s="208"/>
      <c r="D689" s="230"/>
      <c r="E689" s="21" t="s">
        <v>21</v>
      </c>
      <c r="F689" s="22"/>
      <c r="G689" s="13">
        <f>SUM(G681:G688)</f>
        <v>100</v>
      </c>
      <c r="H689" s="21" t="s">
        <v>44</v>
      </c>
      <c r="I689" s="22"/>
      <c r="J689" s="13">
        <f>D688-G689</f>
        <v>15400</v>
      </c>
    </row>
    <row r="690" spans="1:10" ht="13.5" customHeight="1">
      <c r="A690" s="3" t="s">
        <v>45</v>
      </c>
      <c r="B690" s="3"/>
      <c r="C690" s="3"/>
      <c r="D690" s="3"/>
      <c r="E690" s="3"/>
      <c r="F690" s="3"/>
      <c r="G690" s="2"/>
      <c r="H690" s="1"/>
      <c r="I690" s="1"/>
      <c r="J690" s="2"/>
    </row>
    <row r="691" spans="1:10" ht="13.5" customHeight="1">
      <c r="A691" s="3"/>
      <c r="B691" s="3" t="s">
        <v>47</v>
      </c>
      <c r="C691" s="3"/>
      <c r="D691" s="3"/>
      <c r="E691" s="3" t="s">
        <v>48</v>
      </c>
      <c r="F691" s="3"/>
      <c r="G691" s="3"/>
      <c r="H691" s="3" t="s">
        <v>49</v>
      </c>
      <c r="I691" s="3"/>
      <c r="J691" s="3"/>
    </row>
    <row r="692" spans="1:10" ht="13.5" customHeight="1"/>
    <row r="693" spans="1:10" ht="13.5" customHeight="1">
      <c r="A693" s="184" t="s">
        <v>0</v>
      </c>
      <c r="B693" s="185"/>
      <c r="C693" s="185"/>
      <c r="D693" s="185"/>
      <c r="E693" s="185"/>
      <c r="F693" s="185"/>
      <c r="G693" s="185"/>
      <c r="H693" s="185"/>
      <c r="I693" s="185"/>
      <c r="J693" s="186"/>
    </row>
    <row r="694" spans="1:10" ht="13.5" customHeight="1">
      <c r="A694" s="187" t="s">
        <v>1</v>
      </c>
      <c r="B694" s="188"/>
      <c r="C694" s="188"/>
      <c r="D694" s="188"/>
      <c r="E694" s="188"/>
      <c r="F694" s="188"/>
      <c r="G694" s="188"/>
      <c r="H694" s="188"/>
      <c r="I694" s="188"/>
      <c r="J694" s="189"/>
    </row>
    <row r="695" spans="1:10" ht="13.5" customHeight="1">
      <c r="A695" s="1" t="s">
        <v>2</v>
      </c>
      <c r="B695" s="1"/>
      <c r="C695" s="194"/>
      <c r="D695" s="194"/>
      <c r="E695" s="2"/>
      <c r="F695" s="3"/>
      <c r="G695" s="1" t="s">
        <v>4</v>
      </c>
      <c r="H695" s="209" t="s">
        <v>878</v>
      </c>
      <c r="I695" s="209"/>
      <c r="J695" s="209"/>
    </row>
    <row r="696" spans="1:10" ht="13.5" customHeight="1">
      <c r="A696" s="1" t="s">
        <v>6</v>
      </c>
      <c r="B696" s="1"/>
      <c r="C696" s="25" t="s">
        <v>879</v>
      </c>
      <c r="D696" s="25"/>
      <c r="E696" s="2"/>
      <c r="F696" s="3"/>
      <c r="G696" s="1" t="s">
        <v>8</v>
      </c>
      <c r="H696" s="193" t="s">
        <v>9</v>
      </c>
      <c r="I696" s="193"/>
      <c r="J696" s="193"/>
    </row>
    <row r="697" spans="1:10" ht="13.5" customHeight="1">
      <c r="A697" s="6" t="s">
        <v>10</v>
      </c>
      <c r="B697" s="6"/>
      <c r="C697" s="194" t="s">
        <v>825</v>
      </c>
      <c r="D697" s="194"/>
      <c r="E697" s="2"/>
      <c r="F697" s="3"/>
      <c r="G697" s="1" t="s">
        <v>12</v>
      </c>
      <c r="H697" s="195" t="s">
        <v>13</v>
      </c>
      <c r="I697" s="195"/>
      <c r="J697" s="195"/>
    </row>
    <row r="698" spans="1:10" ht="13.5" customHeight="1">
      <c r="A698" s="2"/>
      <c r="B698" s="2"/>
      <c r="C698" s="2" t="s">
        <v>15</v>
      </c>
      <c r="D698" s="2"/>
      <c r="E698" s="2"/>
      <c r="F698" s="3"/>
      <c r="G698" s="1" t="s">
        <v>16</v>
      </c>
      <c r="H698" s="196" t="s">
        <v>68</v>
      </c>
      <c r="I698" s="196"/>
      <c r="J698" s="196"/>
    </row>
    <row r="699" spans="1:10" ht="13.5" customHeight="1">
      <c r="A699" s="2">
        <v>30</v>
      </c>
      <c r="B699" s="2"/>
      <c r="C699" s="2">
        <f>A699-I699</f>
        <v>0</v>
      </c>
      <c r="D699" s="2"/>
      <c r="E699" s="2"/>
      <c r="F699" s="3"/>
      <c r="G699" s="8" t="s">
        <v>18</v>
      </c>
      <c r="H699" s="8"/>
      <c r="I699" s="9">
        <v>30</v>
      </c>
      <c r="J699" s="9"/>
    </row>
    <row r="700" spans="1:10" ht="13.5" customHeight="1">
      <c r="A700" s="198" t="s">
        <v>19</v>
      </c>
      <c r="B700" s="199"/>
      <c r="C700" s="200"/>
      <c r="D700" s="13" t="s">
        <v>20</v>
      </c>
      <c r="E700" s="14" t="s">
        <v>21</v>
      </c>
      <c r="F700" s="15"/>
      <c r="G700" s="16" t="s">
        <v>20</v>
      </c>
      <c r="H700" s="201" t="s">
        <v>22</v>
      </c>
      <c r="I700" s="202"/>
      <c r="J700" s="203"/>
    </row>
    <row r="701" spans="1:10" ht="13.5" customHeight="1">
      <c r="A701" s="17" t="s">
        <v>23</v>
      </c>
      <c r="B701" s="1"/>
      <c r="C701" s="1"/>
      <c r="D701" s="2">
        <v>15000</v>
      </c>
      <c r="E701" s="17" t="s">
        <v>24</v>
      </c>
      <c r="F701" s="1"/>
      <c r="G701" s="2" t="s">
        <v>25</v>
      </c>
      <c r="H701" s="18" t="s">
        <v>502</v>
      </c>
      <c r="I701" s="6"/>
      <c r="J701" s="19"/>
    </row>
    <row r="702" spans="1:10" ht="13.5" customHeight="1">
      <c r="A702" s="17" t="s">
        <v>69</v>
      </c>
      <c r="B702" s="209"/>
      <c r="C702" s="209"/>
      <c r="D702" s="2" t="s">
        <v>25</v>
      </c>
      <c r="E702" s="17" t="s">
        <v>28</v>
      </c>
      <c r="F702" s="1"/>
      <c r="G702" s="2" t="s">
        <v>25</v>
      </c>
      <c r="H702" s="18" t="s">
        <v>504</v>
      </c>
      <c r="I702" s="6"/>
      <c r="J702" s="19"/>
    </row>
    <row r="703" spans="1:10" ht="13.5" customHeight="1">
      <c r="A703" s="17" t="s">
        <v>30</v>
      </c>
      <c r="B703" s="1"/>
      <c r="C703" s="1"/>
      <c r="D703" s="2" t="s">
        <v>25</v>
      </c>
      <c r="E703" s="17" t="s">
        <v>58</v>
      </c>
      <c r="F703" s="1"/>
      <c r="G703" s="2" t="s">
        <v>25</v>
      </c>
      <c r="H703" s="18" t="s">
        <v>32</v>
      </c>
      <c r="I703" s="6"/>
      <c r="J703" s="19"/>
    </row>
    <row r="704" spans="1:10" ht="13.5" customHeight="1">
      <c r="A704" s="17" t="s">
        <v>147</v>
      </c>
      <c r="B704" s="6"/>
      <c r="C704" s="6"/>
      <c r="D704" s="2" t="s">
        <v>25</v>
      </c>
      <c r="E704" s="17" t="s">
        <v>71</v>
      </c>
      <c r="F704" s="1"/>
      <c r="G704" s="2" t="s">
        <v>25</v>
      </c>
      <c r="H704" s="18"/>
      <c r="I704" s="6"/>
      <c r="J704" s="19"/>
    </row>
    <row r="705" spans="1:16" ht="13.5" customHeight="1">
      <c r="A705" s="17" t="s">
        <v>27</v>
      </c>
      <c r="B705" s="1"/>
      <c r="C705" s="1"/>
      <c r="D705" s="2" t="s">
        <v>25</v>
      </c>
      <c r="E705" s="17" t="s">
        <v>61</v>
      </c>
      <c r="F705" s="1"/>
      <c r="G705" s="2" t="s">
        <v>25</v>
      </c>
      <c r="H705" s="18"/>
      <c r="I705" s="6"/>
      <c r="J705" s="40"/>
    </row>
    <row r="706" spans="1:16" ht="13.5" customHeight="1">
      <c r="A706" s="17" t="s">
        <v>136</v>
      </c>
      <c r="B706" s="1"/>
      <c r="C706" s="1"/>
      <c r="D706" s="2" t="s">
        <v>25</v>
      </c>
      <c r="E706" s="17" t="s">
        <v>39</v>
      </c>
      <c r="F706" s="1"/>
      <c r="G706" s="2">
        <v>100</v>
      </c>
      <c r="H706" s="18"/>
      <c r="I706" s="6"/>
      <c r="J706" s="40"/>
    </row>
    <row r="707" spans="1:16" ht="13.5" customHeight="1">
      <c r="A707" s="18" t="s">
        <v>40</v>
      </c>
      <c r="B707" s="6"/>
      <c r="C707" s="6"/>
      <c r="D707" s="2" t="s">
        <v>25</v>
      </c>
      <c r="E707" s="17" t="s">
        <v>62</v>
      </c>
      <c r="F707" s="1"/>
      <c r="G707" s="2" t="s">
        <v>25</v>
      </c>
      <c r="H707" s="18"/>
      <c r="I707" s="6"/>
      <c r="J707" s="40"/>
    </row>
    <row r="708" spans="1:16" ht="13.5" customHeight="1">
      <c r="A708" s="204" t="s">
        <v>63</v>
      </c>
      <c r="B708" s="205"/>
      <c r="C708" s="206"/>
      <c r="D708" s="229">
        <f>SUM(D701:D707)</f>
        <v>15000</v>
      </c>
      <c r="E708" s="1" t="s">
        <v>43</v>
      </c>
      <c r="F708" s="1"/>
      <c r="G708" s="2" t="s">
        <v>25</v>
      </c>
      <c r="H708" s="18"/>
      <c r="I708" s="6"/>
      <c r="J708" s="40"/>
    </row>
    <row r="709" spans="1:16" ht="13.5" customHeight="1">
      <c r="A709" s="207"/>
      <c r="B709" s="197"/>
      <c r="C709" s="208"/>
      <c r="D709" s="230"/>
      <c r="E709" s="21" t="s">
        <v>21</v>
      </c>
      <c r="F709" s="22"/>
      <c r="G709" s="13">
        <f>SUM(G701:G708)</f>
        <v>100</v>
      </c>
      <c r="H709" s="21" t="s">
        <v>44</v>
      </c>
      <c r="I709" s="22"/>
      <c r="J709" s="13">
        <f>D708-G709</f>
        <v>14900</v>
      </c>
    </row>
    <row r="710" spans="1:16" ht="13.5" customHeight="1">
      <c r="A710" s="2"/>
      <c r="B710" s="2"/>
      <c r="C710" s="2"/>
      <c r="D710" s="2"/>
      <c r="E710" s="1"/>
      <c r="F710" s="1"/>
      <c r="G710" s="2"/>
      <c r="H710" s="1"/>
      <c r="I710" s="1"/>
      <c r="J710" s="2"/>
    </row>
    <row r="711" spans="1:16" ht="13.5" customHeight="1">
      <c r="A711" s="3" t="s">
        <v>45</v>
      </c>
      <c r="B711" s="3"/>
      <c r="C711" s="3"/>
      <c r="D711" s="3"/>
      <c r="E711" s="3"/>
      <c r="F711" s="3"/>
      <c r="G711" s="3"/>
      <c r="H711" s="3"/>
      <c r="I711" s="3"/>
      <c r="J711" s="3"/>
      <c r="O711">
        <v>494317</v>
      </c>
      <c r="P711">
        <f>SUM(F713-O711)</f>
        <v>150</v>
      </c>
    </row>
    <row r="712" spans="1:16" ht="13.5" customHeight="1">
      <c r="A712" s="3"/>
      <c r="B712" s="3" t="s">
        <v>47</v>
      </c>
      <c r="C712" s="3"/>
      <c r="D712" s="3" t="s">
        <v>73</v>
      </c>
      <c r="E712" s="3" t="s">
        <v>48</v>
      </c>
      <c r="F712" s="3"/>
      <c r="G712" s="3"/>
      <c r="H712" s="3" t="s">
        <v>49</v>
      </c>
      <c r="I712" s="3"/>
      <c r="J712" s="3"/>
    </row>
    <row r="713" spans="1:16" ht="32.25" customHeight="1">
      <c r="A713" s="249" t="s">
        <v>264</v>
      </c>
      <c r="B713" s="250"/>
      <c r="C713" s="250"/>
      <c r="D713" s="250"/>
      <c r="E713" s="251"/>
      <c r="F713" s="249">
        <f>SUM(J709+J689+J670+J650+J630+J610+J590+J571+J552+J533+J514+J495+J476+J456+J436+J416+J396+J376+J356+J336+J316+J296+J276+J256+J236+J216+J196+J176+J156+J136+J116+J96+J76+J57+J37+J17)</f>
        <v>494467</v>
      </c>
      <c r="G713" s="250"/>
      <c r="H713" s="250"/>
      <c r="I713" s="250"/>
      <c r="J713" s="251"/>
    </row>
    <row r="714" spans="1:16">
      <c r="A714" s="3"/>
      <c r="B714" s="3"/>
      <c r="C714" s="3"/>
      <c r="D714" s="3"/>
      <c r="E714" s="3"/>
      <c r="F714" s="3"/>
      <c r="G714" s="3"/>
      <c r="H714" s="3"/>
      <c r="I714" s="3"/>
    </row>
    <row r="715" spans="1:16">
      <c r="A715" s="3"/>
      <c r="B715" s="3"/>
      <c r="C715" s="3"/>
      <c r="D715" s="3"/>
      <c r="E715" s="3"/>
      <c r="F715" s="3"/>
      <c r="G715" s="3"/>
      <c r="H715" s="3"/>
      <c r="I715" s="3"/>
    </row>
    <row r="716" spans="1:16">
      <c r="A716" s="3"/>
      <c r="B716" s="3"/>
      <c r="C716" s="3"/>
      <c r="D716" s="3"/>
      <c r="E716" s="3"/>
      <c r="F716" s="3"/>
      <c r="G716" s="3"/>
      <c r="H716" s="3"/>
      <c r="I716" s="3"/>
    </row>
    <row r="717" spans="1:16">
      <c r="A717" s="3"/>
      <c r="B717" s="3"/>
      <c r="C717" s="3"/>
      <c r="D717" s="3"/>
      <c r="E717" s="3"/>
      <c r="F717" s="3"/>
      <c r="G717" s="3"/>
      <c r="H717" s="3"/>
      <c r="I717" s="3"/>
    </row>
    <row r="718" spans="1:16">
      <c r="A718" s="29"/>
      <c r="B718" s="29"/>
      <c r="C718" s="29"/>
      <c r="D718" s="29"/>
      <c r="E718" s="29"/>
      <c r="F718" s="30"/>
      <c r="G718" s="30"/>
      <c r="H718" s="30"/>
      <c r="I718" s="30"/>
    </row>
    <row r="719" spans="1:16">
      <c r="A719" s="31"/>
      <c r="B719" s="252" t="s">
        <v>265</v>
      </c>
      <c r="C719" s="252"/>
      <c r="D719" s="252"/>
      <c r="E719" s="33"/>
      <c r="F719" s="253" t="s">
        <v>266</v>
      </c>
      <c r="G719" s="253"/>
      <c r="H719" s="253"/>
      <c r="I719" s="253"/>
    </row>
    <row r="720" spans="1:16">
      <c r="A720" s="31"/>
      <c r="B720" s="34"/>
      <c r="C720" s="34"/>
      <c r="D720" s="34"/>
      <c r="E720" s="33"/>
      <c r="F720" s="35"/>
      <c r="G720" s="35"/>
      <c r="H720" s="35"/>
      <c r="I720" s="35"/>
    </row>
    <row r="721" spans="1:9">
      <c r="A721" s="31"/>
      <c r="B721" s="34"/>
      <c r="C721" s="34"/>
      <c r="D721" s="34"/>
      <c r="E721" s="33"/>
      <c r="F721" s="35"/>
      <c r="G721" s="35"/>
      <c r="H721" s="35"/>
      <c r="I721" s="35"/>
    </row>
    <row r="722" spans="1:9">
      <c r="A722" s="31"/>
      <c r="B722" s="34"/>
      <c r="C722" s="34"/>
      <c r="D722" s="34"/>
      <c r="E722" s="33"/>
      <c r="F722" s="35"/>
      <c r="G722" s="35"/>
      <c r="H722" s="35"/>
      <c r="I722" s="35"/>
    </row>
    <row r="723" spans="1:9">
      <c r="A723" s="31"/>
      <c r="B723" s="34"/>
      <c r="C723" s="34"/>
      <c r="D723" s="34"/>
      <c r="E723" s="33"/>
      <c r="F723" s="35"/>
      <c r="G723" s="35"/>
      <c r="H723" s="35"/>
      <c r="I723" s="35"/>
    </row>
    <row r="724" spans="1:9">
      <c r="A724" s="31"/>
      <c r="B724" s="31"/>
      <c r="C724" s="31"/>
      <c r="D724" s="31"/>
      <c r="E724" s="31"/>
      <c r="F724" s="36"/>
      <c r="G724" s="36"/>
      <c r="H724" s="36"/>
      <c r="I724" s="36"/>
    </row>
    <row r="725" spans="1:9">
      <c r="A725" s="31"/>
      <c r="B725" s="37"/>
      <c r="C725" s="32" t="s">
        <v>267</v>
      </c>
      <c r="D725" s="32"/>
      <c r="E725" s="31"/>
      <c r="F725" s="253" t="s">
        <v>268</v>
      </c>
      <c r="G725" s="253"/>
      <c r="H725" s="253"/>
      <c r="I725" s="253"/>
    </row>
    <row r="726" spans="1:9">
      <c r="A726" s="31"/>
      <c r="B726" s="79"/>
      <c r="C726" s="34"/>
      <c r="D726" s="34"/>
      <c r="E726" s="31"/>
      <c r="F726" s="35"/>
      <c r="G726" s="35"/>
      <c r="H726" s="35"/>
      <c r="I726" s="35"/>
    </row>
  </sheetData>
  <mergeCells count="527">
    <mergeCell ref="A589:C590"/>
    <mergeCell ref="A609:C610"/>
    <mergeCell ref="A649:C650"/>
    <mergeCell ref="A688:C689"/>
    <mergeCell ref="A669:C670"/>
    <mergeCell ref="A629:C630"/>
    <mergeCell ref="A235:C236"/>
    <mergeCell ref="A708:C709"/>
    <mergeCell ref="A275:C276"/>
    <mergeCell ref="A494:C495"/>
    <mergeCell ref="C697:D697"/>
    <mergeCell ref="A673:J673"/>
    <mergeCell ref="A674:J674"/>
    <mergeCell ref="C675:D675"/>
    <mergeCell ref="H675:J675"/>
    <mergeCell ref="C676:D676"/>
    <mergeCell ref="H676:J676"/>
    <mergeCell ref="C677:D677"/>
    <mergeCell ref="H677:J677"/>
    <mergeCell ref="H678:J678"/>
    <mergeCell ref="C657:D657"/>
    <mergeCell ref="H657:J657"/>
    <mergeCell ref="C658:D658"/>
    <mergeCell ref="H658:J658"/>
    <mergeCell ref="D589:D590"/>
    <mergeCell ref="D609:D610"/>
    <mergeCell ref="D629:D630"/>
    <mergeCell ref="D649:D650"/>
    <mergeCell ref="D669:D670"/>
    <mergeCell ref="D688:D689"/>
    <mergeCell ref="D708:D709"/>
    <mergeCell ref="A175:C176"/>
    <mergeCell ref="A155:C156"/>
    <mergeCell ref="A315:C316"/>
    <mergeCell ref="A195:C196"/>
    <mergeCell ref="A215:C216"/>
    <mergeCell ref="A295:C296"/>
    <mergeCell ref="A375:C376"/>
    <mergeCell ref="A255:C256"/>
    <mergeCell ref="A335:C336"/>
    <mergeCell ref="A355:C356"/>
    <mergeCell ref="A415:C416"/>
    <mergeCell ref="A395:C396"/>
    <mergeCell ref="A435:C436"/>
    <mergeCell ref="A455:C456"/>
    <mergeCell ref="A475:C476"/>
    <mergeCell ref="A513:C514"/>
    <mergeCell ref="A551:C552"/>
    <mergeCell ref="F725:I725"/>
    <mergeCell ref="D16:D17"/>
    <mergeCell ref="D36:D37"/>
    <mergeCell ref="D56:D57"/>
    <mergeCell ref="D75:D76"/>
    <mergeCell ref="D95:D96"/>
    <mergeCell ref="D115:D116"/>
    <mergeCell ref="D135:D136"/>
    <mergeCell ref="D155:D156"/>
    <mergeCell ref="D175:D176"/>
    <mergeCell ref="D195:D196"/>
    <mergeCell ref="D215:D216"/>
    <mergeCell ref="D235:D236"/>
    <mergeCell ref="D255:D256"/>
    <mergeCell ref="D275:D276"/>
    <mergeCell ref="D295:D296"/>
    <mergeCell ref="D315:D316"/>
    <mergeCell ref="D335:D336"/>
    <mergeCell ref="D355:D356"/>
    <mergeCell ref="D375:D376"/>
    <mergeCell ref="D395:D396"/>
    <mergeCell ref="D415:D416"/>
    <mergeCell ref="D435:D436"/>
    <mergeCell ref="H697:J697"/>
    <mergeCell ref="H698:J698"/>
    <mergeCell ref="A700:C700"/>
    <mergeCell ref="H700:J700"/>
    <mergeCell ref="B702:C702"/>
    <mergeCell ref="A713:E713"/>
    <mergeCell ref="F713:J713"/>
    <mergeCell ref="B719:D719"/>
    <mergeCell ref="F719:I719"/>
    <mergeCell ref="H679:J679"/>
    <mergeCell ref="A680:C680"/>
    <mergeCell ref="H680:J680"/>
    <mergeCell ref="B682:C682"/>
    <mergeCell ref="A693:J693"/>
    <mergeCell ref="A694:J694"/>
    <mergeCell ref="C695:D695"/>
    <mergeCell ref="H695:J695"/>
    <mergeCell ref="H696:J696"/>
    <mergeCell ref="H659:J659"/>
    <mergeCell ref="H660:J660"/>
    <mergeCell ref="A661:C661"/>
    <mergeCell ref="H661:J661"/>
    <mergeCell ref="B663:C663"/>
    <mergeCell ref="H638:J638"/>
    <mergeCell ref="H639:J639"/>
    <mergeCell ref="H640:J640"/>
    <mergeCell ref="A641:C641"/>
    <mergeCell ref="H641:J641"/>
    <mergeCell ref="B643:C643"/>
    <mergeCell ref="A654:J654"/>
    <mergeCell ref="A655:J655"/>
    <mergeCell ref="C656:D656"/>
    <mergeCell ref="H656:J656"/>
    <mergeCell ref="H620:J620"/>
    <mergeCell ref="A621:C621"/>
    <mergeCell ref="H621:J621"/>
    <mergeCell ref="B623:C623"/>
    <mergeCell ref="A634:J634"/>
    <mergeCell ref="A635:J635"/>
    <mergeCell ref="C636:D636"/>
    <mergeCell ref="H636:J636"/>
    <mergeCell ref="C637:D637"/>
    <mergeCell ref="H637:J637"/>
    <mergeCell ref="B603:C603"/>
    <mergeCell ref="A614:J614"/>
    <mergeCell ref="A615:J615"/>
    <mergeCell ref="C616:D616"/>
    <mergeCell ref="H616:J616"/>
    <mergeCell ref="C617:D617"/>
    <mergeCell ref="H617:J617"/>
    <mergeCell ref="H618:J618"/>
    <mergeCell ref="H619:J619"/>
    <mergeCell ref="A594:J594"/>
    <mergeCell ref="A595:J595"/>
    <mergeCell ref="C596:D596"/>
    <mergeCell ref="H596:J596"/>
    <mergeCell ref="H597:J597"/>
    <mergeCell ref="C598:D598"/>
    <mergeCell ref="H598:J598"/>
    <mergeCell ref="H599:J599"/>
    <mergeCell ref="A601:C601"/>
    <mergeCell ref="H601:J601"/>
    <mergeCell ref="C577:D577"/>
    <mergeCell ref="H577:J577"/>
    <mergeCell ref="C578:D578"/>
    <mergeCell ref="H578:J578"/>
    <mergeCell ref="H579:J579"/>
    <mergeCell ref="H580:J580"/>
    <mergeCell ref="A581:C581"/>
    <mergeCell ref="H581:J581"/>
    <mergeCell ref="B583:C583"/>
    <mergeCell ref="H560:J560"/>
    <mergeCell ref="H561:J561"/>
    <mergeCell ref="A562:C562"/>
    <mergeCell ref="H562:J562"/>
    <mergeCell ref="B564:C564"/>
    <mergeCell ref="A574:J574"/>
    <mergeCell ref="A575:J575"/>
    <mergeCell ref="C576:D576"/>
    <mergeCell ref="H576:J576"/>
    <mergeCell ref="D570:D571"/>
    <mergeCell ref="A570:C571"/>
    <mergeCell ref="B545:C545"/>
    <mergeCell ref="A555:J555"/>
    <mergeCell ref="A556:J556"/>
    <mergeCell ref="C557:D557"/>
    <mergeCell ref="H557:J557"/>
    <mergeCell ref="C558:D558"/>
    <mergeCell ref="H558:J558"/>
    <mergeCell ref="C559:D559"/>
    <mergeCell ref="H559:J559"/>
    <mergeCell ref="D551:D552"/>
    <mergeCell ref="A537:J537"/>
    <mergeCell ref="C538:D538"/>
    <mergeCell ref="H538:J538"/>
    <mergeCell ref="C539:D539"/>
    <mergeCell ref="H539:J539"/>
    <mergeCell ref="H540:J540"/>
    <mergeCell ref="H541:J541"/>
    <mergeCell ref="H542:J542"/>
    <mergeCell ref="A543:C543"/>
    <mergeCell ref="H543:J543"/>
    <mergeCell ref="C520:D520"/>
    <mergeCell ref="H520:J520"/>
    <mergeCell ref="H521:J521"/>
    <mergeCell ref="H522:J522"/>
    <mergeCell ref="H523:J523"/>
    <mergeCell ref="A524:C524"/>
    <mergeCell ref="H524:J524"/>
    <mergeCell ref="B526:C526"/>
    <mergeCell ref="A536:J536"/>
    <mergeCell ref="D532:D533"/>
    <mergeCell ref="A532:C533"/>
    <mergeCell ref="H502:J502"/>
    <mergeCell ref="H503:J503"/>
    <mergeCell ref="H504:J504"/>
    <mergeCell ref="A505:C505"/>
    <mergeCell ref="H505:J505"/>
    <mergeCell ref="B507:C507"/>
    <mergeCell ref="A517:J517"/>
    <mergeCell ref="A518:J518"/>
    <mergeCell ref="C519:D519"/>
    <mergeCell ref="H519:J519"/>
    <mergeCell ref="D513:D514"/>
    <mergeCell ref="H485:J485"/>
    <mergeCell ref="A486:C486"/>
    <mergeCell ref="H486:J486"/>
    <mergeCell ref="B488:C488"/>
    <mergeCell ref="A498:J498"/>
    <mergeCell ref="A499:J499"/>
    <mergeCell ref="C500:D500"/>
    <mergeCell ref="H500:J500"/>
    <mergeCell ref="C501:D501"/>
    <mergeCell ref="H501:J501"/>
    <mergeCell ref="D494:D495"/>
    <mergeCell ref="B469:C469"/>
    <mergeCell ref="A479:J479"/>
    <mergeCell ref="A480:J480"/>
    <mergeCell ref="C481:D481"/>
    <mergeCell ref="H481:J481"/>
    <mergeCell ref="C482:D482"/>
    <mergeCell ref="H482:J482"/>
    <mergeCell ref="H483:J483"/>
    <mergeCell ref="H484:J484"/>
    <mergeCell ref="D475:D476"/>
    <mergeCell ref="C462:D462"/>
    <mergeCell ref="H462:J462"/>
    <mergeCell ref="C463:D463"/>
    <mergeCell ref="H463:J463"/>
    <mergeCell ref="H464:J464"/>
    <mergeCell ref="H465:J465"/>
    <mergeCell ref="H466:J466"/>
    <mergeCell ref="A467:C467"/>
    <mergeCell ref="H467:J467"/>
    <mergeCell ref="C444:D444"/>
    <mergeCell ref="H444:J444"/>
    <mergeCell ref="H445:J445"/>
    <mergeCell ref="H446:J446"/>
    <mergeCell ref="A447:C447"/>
    <mergeCell ref="H447:J447"/>
    <mergeCell ref="B449:C449"/>
    <mergeCell ref="A460:J460"/>
    <mergeCell ref="A461:J461"/>
    <mergeCell ref="D455:D456"/>
    <mergeCell ref="A427:C427"/>
    <mergeCell ref="H427:J427"/>
    <mergeCell ref="B429:C429"/>
    <mergeCell ref="B430:C430"/>
    <mergeCell ref="A440:J440"/>
    <mergeCell ref="A441:J441"/>
    <mergeCell ref="C442:D442"/>
    <mergeCell ref="H442:J442"/>
    <mergeCell ref="C443:D443"/>
    <mergeCell ref="H443:J443"/>
    <mergeCell ref="A421:J421"/>
    <mergeCell ref="C422:D422"/>
    <mergeCell ref="H422:J422"/>
    <mergeCell ref="C423:D423"/>
    <mergeCell ref="H423:J423"/>
    <mergeCell ref="C424:D424"/>
    <mergeCell ref="H424:J424"/>
    <mergeCell ref="H425:J425"/>
    <mergeCell ref="H426:J426"/>
    <mergeCell ref="C404:D404"/>
    <mergeCell ref="H404:J404"/>
    <mergeCell ref="H405:J405"/>
    <mergeCell ref="H406:J406"/>
    <mergeCell ref="A407:C407"/>
    <mergeCell ref="H407:J407"/>
    <mergeCell ref="B409:C409"/>
    <mergeCell ref="B410:C410"/>
    <mergeCell ref="A420:J420"/>
    <mergeCell ref="A387:C387"/>
    <mergeCell ref="H387:J387"/>
    <mergeCell ref="B389:C389"/>
    <mergeCell ref="B390:C390"/>
    <mergeCell ref="A400:J400"/>
    <mergeCell ref="A401:J401"/>
    <mergeCell ref="C402:D402"/>
    <mergeCell ref="H402:J402"/>
    <mergeCell ref="C403:D403"/>
    <mergeCell ref="H403:J403"/>
    <mergeCell ref="A381:J381"/>
    <mergeCell ref="C382:D382"/>
    <mergeCell ref="H382:J382"/>
    <mergeCell ref="C383:D383"/>
    <mergeCell ref="H383:J383"/>
    <mergeCell ref="C384:D384"/>
    <mergeCell ref="H384:J384"/>
    <mergeCell ref="H385:J385"/>
    <mergeCell ref="H386:J386"/>
    <mergeCell ref="H363:J363"/>
    <mergeCell ref="C364:D364"/>
    <mergeCell ref="H364:J364"/>
    <mergeCell ref="H365:J365"/>
    <mergeCell ref="A367:C367"/>
    <mergeCell ref="H367:J367"/>
    <mergeCell ref="B369:C369"/>
    <mergeCell ref="H372:J372"/>
    <mergeCell ref="A380:J380"/>
    <mergeCell ref="H345:J345"/>
    <mergeCell ref="H346:J346"/>
    <mergeCell ref="A347:C347"/>
    <mergeCell ref="H347:J347"/>
    <mergeCell ref="B349:C349"/>
    <mergeCell ref="B350:C350"/>
    <mergeCell ref="A360:J360"/>
    <mergeCell ref="A361:J361"/>
    <mergeCell ref="C362:D362"/>
    <mergeCell ref="H362:J362"/>
    <mergeCell ref="B330:C330"/>
    <mergeCell ref="A340:J340"/>
    <mergeCell ref="A341:J341"/>
    <mergeCell ref="C342:D342"/>
    <mergeCell ref="H342:J342"/>
    <mergeCell ref="C343:D343"/>
    <mergeCell ref="H343:J343"/>
    <mergeCell ref="C344:D344"/>
    <mergeCell ref="H344:J344"/>
    <mergeCell ref="C323:D323"/>
    <mergeCell ref="H323:J323"/>
    <mergeCell ref="C324:D324"/>
    <mergeCell ref="H324:J324"/>
    <mergeCell ref="H325:J325"/>
    <mergeCell ref="H326:J326"/>
    <mergeCell ref="A327:C327"/>
    <mergeCell ref="H327:J327"/>
    <mergeCell ref="B329:C329"/>
    <mergeCell ref="H305:J305"/>
    <mergeCell ref="H306:J306"/>
    <mergeCell ref="A307:C307"/>
    <mergeCell ref="H307:J307"/>
    <mergeCell ref="B309:C309"/>
    <mergeCell ref="A320:J320"/>
    <mergeCell ref="A321:J321"/>
    <mergeCell ref="C322:D322"/>
    <mergeCell ref="H322:J322"/>
    <mergeCell ref="B289:C289"/>
    <mergeCell ref="A300:J300"/>
    <mergeCell ref="A301:J301"/>
    <mergeCell ref="C302:D302"/>
    <mergeCell ref="H302:J302"/>
    <mergeCell ref="C303:D303"/>
    <mergeCell ref="H303:J303"/>
    <mergeCell ref="C304:D304"/>
    <mergeCell ref="H304:J304"/>
    <mergeCell ref="C282:D282"/>
    <mergeCell ref="H282:J282"/>
    <mergeCell ref="C283:D283"/>
    <mergeCell ref="H283:J283"/>
    <mergeCell ref="C284:D284"/>
    <mergeCell ref="H284:J284"/>
    <mergeCell ref="H285:J285"/>
    <mergeCell ref="H286:J286"/>
    <mergeCell ref="A287:C287"/>
    <mergeCell ref="H287:J287"/>
    <mergeCell ref="C264:D264"/>
    <mergeCell ref="H264:J264"/>
    <mergeCell ref="H265:J265"/>
    <mergeCell ref="H266:J266"/>
    <mergeCell ref="A267:C267"/>
    <mergeCell ref="H267:J267"/>
    <mergeCell ref="B269:C269"/>
    <mergeCell ref="A280:J280"/>
    <mergeCell ref="A281:J281"/>
    <mergeCell ref="H246:J246"/>
    <mergeCell ref="A247:C247"/>
    <mergeCell ref="H247:J247"/>
    <mergeCell ref="B249:C249"/>
    <mergeCell ref="A260:J260"/>
    <mergeCell ref="A261:J261"/>
    <mergeCell ref="C262:D262"/>
    <mergeCell ref="H262:J262"/>
    <mergeCell ref="C263:D263"/>
    <mergeCell ref="H263:J263"/>
    <mergeCell ref="A240:J240"/>
    <mergeCell ref="A241:J241"/>
    <mergeCell ref="C242:D242"/>
    <mergeCell ref="H242:J242"/>
    <mergeCell ref="C243:D243"/>
    <mergeCell ref="H243:J243"/>
    <mergeCell ref="C244:D244"/>
    <mergeCell ref="H244:J244"/>
    <mergeCell ref="H245:J245"/>
    <mergeCell ref="C223:D223"/>
    <mergeCell ref="H223:J223"/>
    <mergeCell ref="C224:D224"/>
    <mergeCell ref="H224:J224"/>
    <mergeCell ref="H225:J225"/>
    <mergeCell ref="H226:J226"/>
    <mergeCell ref="A227:C227"/>
    <mergeCell ref="H227:J227"/>
    <mergeCell ref="B229:C229"/>
    <mergeCell ref="H205:J205"/>
    <mergeCell ref="H206:J206"/>
    <mergeCell ref="A207:C207"/>
    <mergeCell ref="H207:J207"/>
    <mergeCell ref="B209:C209"/>
    <mergeCell ref="A220:J220"/>
    <mergeCell ref="A221:J221"/>
    <mergeCell ref="C222:D222"/>
    <mergeCell ref="H222:J222"/>
    <mergeCell ref="B189:C189"/>
    <mergeCell ref="A200:J200"/>
    <mergeCell ref="A201:J201"/>
    <mergeCell ref="C202:D202"/>
    <mergeCell ref="H202:J202"/>
    <mergeCell ref="C203:D203"/>
    <mergeCell ref="H203:J203"/>
    <mergeCell ref="C204:D204"/>
    <mergeCell ref="H204:J204"/>
    <mergeCell ref="C182:D182"/>
    <mergeCell ref="H182:J182"/>
    <mergeCell ref="C183:D183"/>
    <mergeCell ref="H183:J183"/>
    <mergeCell ref="C184:D184"/>
    <mergeCell ref="H184:J184"/>
    <mergeCell ref="H185:J185"/>
    <mergeCell ref="H186:J186"/>
    <mergeCell ref="A187:C187"/>
    <mergeCell ref="H187:J187"/>
    <mergeCell ref="C164:D164"/>
    <mergeCell ref="H164:J164"/>
    <mergeCell ref="H165:J165"/>
    <mergeCell ref="H166:J166"/>
    <mergeCell ref="A167:C167"/>
    <mergeCell ref="H167:J167"/>
    <mergeCell ref="B169:C169"/>
    <mergeCell ref="A180:J180"/>
    <mergeCell ref="A181:J181"/>
    <mergeCell ref="H146:J146"/>
    <mergeCell ref="A147:C147"/>
    <mergeCell ref="H147:J147"/>
    <mergeCell ref="B149:C149"/>
    <mergeCell ref="A160:J160"/>
    <mergeCell ref="A161:J161"/>
    <mergeCell ref="C162:D162"/>
    <mergeCell ref="H162:J162"/>
    <mergeCell ref="H163:J163"/>
    <mergeCell ref="B129:C129"/>
    <mergeCell ref="A140:J140"/>
    <mergeCell ref="A141:J141"/>
    <mergeCell ref="C142:D142"/>
    <mergeCell ref="H142:J142"/>
    <mergeCell ref="H143:J143"/>
    <mergeCell ref="C144:D144"/>
    <mergeCell ref="H144:J144"/>
    <mergeCell ref="H145:J145"/>
    <mergeCell ref="A135:C136"/>
    <mergeCell ref="A121:J121"/>
    <mergeCell ref="C122:D122"/>
    <mergeCell ref="H122:J122"/>
    <mergeCell ref="H123:J123"/>
    <mergeCell ref="C124:D124"/>
    <mergeCell ref="H124:J124"/>
    <mergeCell ref="H125:J125"/>
    <mergeCell ref="H126:J126"/>
    <mergeCell ref="A127:C127"/>
    <mergeCell ref="H127:J127"/>
    <mergeCell ref="H103:J103"/>
    <mergeCell ref="C104:D104"/>
    <mergeCell ref="H104:J104"/>
    <mergeCell ref="H105:J105"/>
    <mergeCell ref="H106:J106"/>
    <mergeCell ref="A107:C107"/>
    <mergeCell ref="H107:J107"/>
    <mergeCell ref="B109:C109"/>
    <mergeCell ref="A120:J120"/>
    <mergeCell ref="A115:C116"/>
    <mergeCell ref="H85:J85"/>
    <mergeCell ref="H86:J86"/>
    <mergeCell ref="A87:C87"/>
    <mergeCell ref="H87:J87"/>
    <mergeCell ref="B89:C89"/>
    <mergeCell ref="A100:J100"/>
    <mergeCell ref="A101:J101"/>
    <mergeCell ref="C102:D102"/>
    <mergeCell ref="H102:J102"/>
    <mergeCell ref="A95:C96"/>
    <mergeCell ref="B69:C69"/>
    <mergeCell ref="A80:J80"/>
    <mergeCell ref="A81:J81"/>
    <mergeCell ref="C82:D82"/>
    <mergeCell ref="H82:J82"/>
    <mergeCell ref="C83:D83"/>
    <mergeCell ref="H83:J83"/>
    <mergeCell ref="C84:D84"/>
    <mergeCell ref="H84:J84"/>
    <mergeCell ref="A75:C76"/>
    <mergeCell ref="C62:D62"/>
    <mergeCell ref="H62:J62"/>
    <mergeCell ref="C63:D63"/>
    <mergeCell ref="H63:J63"/>
    <mergeCell ref="C64:D64"/>
    <mergeCell ref="H64:J64"/>
    <mergeCell ref="H65:J65"/>
    <mergeCell ref="H66:J66"/>
    <mergeCell ref="A67:C67"/>
    <mergeCell ref="H67:J67"/>
    <mergeCell ref="A60:J60"/>
    <mergeCell ref="A61:J61"/>
    <mergeCell ref="H46:J46"/>
    <mergeCell ref="H47:J47"/>
    <mergeCell ref="H48:J48"/>
    <mergeCell ref="B50:C50"/>
    <mergeCell ref="A56:C57"/>
    <mergeCell ref="H26:J26"/>
    <mergeCell ref="A28:C28"/>
    <mergeCell ref="H28:J28"/>
    <mergeCell ref="B30:C30"/>
    <mergeCell ref="A41:J41"/>
    <mergeCell ref="A42:J42"/>
    <mergeCell ref="H43:J43"/>
    <mergeCell ref="H44:J44"/>
    <mergeCell ref="H45:J45"/>
    <mergeCell ref="A36:C37"/>
    <mergeCell ref="A8:C8"/>
    <mergeCell ref="H8:J8"/>
    <mergeCell ref="A21:J21"/>
    <mergeCell ref="A22:J22"/>
    <mergeCell ref="C23:D23"/>
    <mergeCell ref="H23:J23"/>
    <mergeCell ref="C24:D24"/>
    <mergeCell ref="H24:J24"/>
    <mergeCell ref="C25:D25"/>
    <mergeCell ref="H25:J25"/>
    <mergeCell ref="A16:C17"/>
    <mergeCell ref="A1:J1"/>
    <mergeCell ref="A2:J2"/>
    <mergeCell ref="C3:D3"/>
    <mergeCell ref="H3:J3"/>
    <mergeCell ref="C4:D4"/>
    <mergeCell ref="H4:J4"/>
    <mergeCell ref="C5:D5"/>
    <mergeCell ref="H5:J5"/>
    <mergeCell ref="H6:J6"/>
  </mergeCells>
  <pageMargins left="0.7" right="0.7" top="0.75" bottom="0.75" header="0.3" footer="0.3"/>
  <pageSetup scale="86" orientation="portrait" r:id="rId1"/>
  <rowBreaks count="11" manualBreakCount="11">
    <brk id="99" max="16383" man="1"/>
    <brk id="159" max="16383" man="1"/>
    <brk id="219" max="16383" man="1"/>
    <brk id="279" max="16383" man="1"/>
    <brk id="339" max="16383" man="1"/>
    <brk id="399" max="16383" man="1"/>
    <brk id="459" max="16383" man="1"/>
    <brk id="516" max="9" man="1"/>
    <brk id="573" max="9" man="1"/>
    <brk id="633" max="9" man="1"/>
    <brk id="692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J131"/>
  <sheetViews>
    <sheetView zoomScaleNormal="100" workbookViewId="0">
      <selection activeCell="A5" sqref="A5"/>
    </sheetView>
  </sheetViews>
  <sheetFormatPr defaultColWidth="9" defaultRowHeight="15"/>
  <sheetData>
    <row r="1" spans="1:10" ht="12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" customHeight="1">
      <c r="A3" s="1" t="s">
        <v>2</v>
      </c>
      <c r="B3" s="1"/>
      <c r="C3" s="194" t="s">
        <v>880</v>
      </c>
      <c r="D3" s="194"/>
      <c r="E3" s="2"/>
      <c r="F3" s="3"/>
      <c r="G3" s="1" t="s">
        <v>4</v>
      </c>
      <c r="H3" s="209" t="s">
        <v>881</v>
      </c>
      <c r="I3" s="209"/>
      <c r="J3" s="209"/>
    </row>
    <row r="4" spans="1:10" ht="12" customHeight="1">
      <c r="A4" s="1" t="s">
        <v>6</v>
      </c>
      <c r="B4" s="1"/>
      <c r="C4" s="25" t="s">
        <v>882</v>
      </c>
      <c r="D4" s="25"/>
      <c r="E4" s="6"/>
      <c r="F4" s="3"/>
      <c r="G4" s="1" t="s">
        <v>8</v>
      </c>
      <c r="H4" s="193" t="s">
        <v>9</v>
      </c>
      <c r="I4" s="193"/>
      <c r="J4" s="193"/>
    </row>
    <row r="5" spans="1:10" ht="12" customHeight="1">
      <c r="A5" s="6" t="s">
        <v>10</v>
      </c>
      <c r="B5" s="6"/>
      <c r="C5" s="194" t="s">
        <v>883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2" customHeight="1">
      <c r="A6" s="2"/>
      <c r="B6" s="2"/>
      <c r="C6" s="2" t="s">
        <v>15</v>
      </c>
      <c r="D6" s="2"/>
      <c r="E6" s="2"/>
      <c r="F6" s="3"/>
      <c r="G6" s="1" t="s">
        <v>16</v>
      </c>
      <c r="H6" s="196" t="s">
        <v>884</v>
      </c>
      <c r="I6" s="196"/>
      <c r="J6" s="196"/>
    </row>
    <row r="7" spans="1:10" ht="12" customHeight="1">
      <c r="A7" s="2">
        <v>30</v>
      </c>
      <c r="B7" s="2"/>
      <c r="C7" s="2">
        <f>A7-I7</f>
        <v>1</v>
      </c>
      <c r="D7" s="2"/>
      <c r="E7" s="2"/>
      <c r="F7" s="3"/>
      <c r="G7" s="8" t="s">
        <v>18</v>
      </c>
      <c r="H7" s="8"/>
      <c r="I7" s="9">
        <v>29</v>
      </c>
      <c r="J7" s="9"/>
    </row>
    <row r="8" spans="1:10" ht="12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2" customHeight="1">
      <c r="A9" s="17" t="s">
        <v>23</v>
      </c>
      <c r="B9" s="1"/>
      <c r="C9" s="1"/>
      <c r="D9" s="56">
        <v>100000</v>
      </c>
      <c r="E9" s="17" t="s">
        <v>24</v>
      </c>
      <c r="F9" s="1"/>
      <c r="G9" s="2" t="s">
        <v>25</v>
      </c>
      <c r="H9" s="18" t="s">
        <v>502</v>
      </c>
      <c r="I9" s="6"/>
      <c r="J9" s="19"/>
    </row>
    <row r="10" spans="1:10" ht="12" customHeight="1">
      <c r="A10" s="17" t="s">
        <v>69</v>
      </c>
      <c r="B10" s="209"/>
      <c r="C10" s="209"/>
      <c r="D10" s="2" t="s">
        <v>25</v>
      </c>
      <c r="E10" s="17" t="s">
        <v>24</v>
      </c>
      <c r="F10" s="1"/>
      <c r="G10" s="2" t="s">
        <v>25</v>
      </c>
      <c r="H10" s="18" t="s">
        <v>504</v>
      </c>
      <c r="I10" s="6"/>
      <c r="J10" s="19"/>
    </row>
    <row r="11" spans="1:10" ht="12" customHeight="1">
      <c r="A11" s="17" t="s">
        <v>30</v>
      </c>
      <c r="B11" s="1"/>
      <c r="C11" s="1"/>
      <c r="D11" s="2" t="s">
        <v>25</v>
      </c>
      <c r="E11" s="17" t="s">
        <v>62</v>
      </c>
      <c r="F11" s="1"/>
      <c r="G11" s="2" t="s">
        <v>25</v>
      </c>
      <c r="H11" s="18" t="s">
        <v>32</v>
      </c>
      <c r="I11" s="6"/>
      <c r="J11" s="19"/>
    </row>
    <row r="12" spans="1:10" ht="12" customHeight="1">
      <c r="A12" s="17" t="s">
        <v>34</v>
      </c>
      <c r="B12" s="1"/>
      <c r="C12" s="1"/>
      <c r="D12" s="2" t="s">
        <v>25</v>
      </c>
      <c r="E12" s="17" t="s">
        <v>71</v>
      </c>
      <c r="F12" s="1"/>
      <c r="G12" s="2">
        <v>3333</v>
      </c>
      <c r="H12" s="18"/>
      <c r="I12" s="6"/>
      <c r="J12" s="40"/>
    </row>
    <row r="13" spans="1:10" ht="12" customHeight="1">
      <c r="A13" s="17" t="s">
        <v>885</v>
      </c>
      <c r="B13" s="1"/>
      <c r="C13" s="1"/>
      <c r="D13" s="2">
        <v>5000</v>
      </c>
      <c r="E13" s="17" t="s">
        <v>61</v>
      </c>
      <c r="F13" s="1"/>
      <c r="G13" s="2" t="s">
        <v>25</v>
      </c>
      <c r="H13" s="18"/>
      <c r="I13" s="6"/>
      <c r="J13" s="40"/>
    </row>
    <row r="14" spans="1:10" ht="12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40"/>
    </row>
    <row r="15" spans="1:10" ht="12" customHeight="1">
      <c r="A15" s="18" t="s">
        <v>40</v>
      </c>
      <c r="B15" s="6"/>
      <c r="C15" s="6"/>
      <c r="D15" s="2" t="s">
        <v>25</v>
      </c>
      <c r="E15" s="17" t="s">
        <v>62</v>
      </c>
      <c r="F15" s="2"/>
      <c r="G15" s="2" t="s">
        <v>25</v>
      </c>
      <c r="H15" s="18"/>
      <c r="I15" s="6"/>
      <c r="J15" s="19"/>
    </row>
    <row r="16" spans="1:10" ht="12" customHeight="1">
      <c r="A16" s="204" t="s">
        <v>63</v>
      </c>
      <c r="B16" s="205"/>
      <c r="C16" s="206"/>
      <c r="D16" s="229">
        <f>SUM(D9:D15)</f>
        <v>105000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2" customHeight="1">
      <c r="A17" s="207"/>
      <c r="B17" s="197"/>
      <c r="C17" s="208"/>
      <c r="D17" s="230"/>
      <c r="E17" s="21" t="s">
        <v>21</v>
      </c>
      <c r="F17" s="22"/>
      <c r="G17" s="13">
        <f>SUM(G9:G16)</f>
        <v>3433</v>
      </c>
      <c r="H17" s="21" t="s">
        <v>44</v>
      </c>
      <c r="I17" s="22"/>
      <c r="J17" s="13">
        <f>D16-G17</f>
        <v>101567</v>
      </c>
    </row>
    <row r="18" spans="1:10" ht="12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" customHeight="1">
      <c r="A20" s="3"/>
      <c r="B20" s="3" t="s">
        <v>47</v>
      </c>
      <c r="C20" s="3"/>
      <c r="D20" s="3" t="s">
        <v>73</v>
      </c>
      <c r="E20" s="3" t="s">
        <v>48</v>
      </c>
      <c r="F20" s="3"/>
      <c r="G20" s="3"/>
      <c r="H20" s="3" t="s">
        <v>49</v>
      </c>
      <c r="I20" s="3"/>
      <c r="J20" s="3"/>
    </row>
    <row r="21" spans="1:10" ht="12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" customHeight="1">
      <c r="A23" s="1" t="s">
        <v>2</v>
      </c>
      <c r="B23" s="1"/>
      <c r="C23" s="194" t="s">
        <v>886</v>
      </c>
      <c r="D23" s="194"/>
      <c r="E23" s="2"/>
      <c r="F23" s="3"/>
      <c r="G23" s="1" t="s">
        <v>4</v>
      </c>
      <c r="H23" s="209" t="s">
        <v>881</v>
      </c>
      <c r="I23" s="209"/>
      <c r="J23" s="209"/>
    </row>
    <row r="24" spans="1:10" ht="12" customHeight="1">
      <c r="A24" s="1" t="s">
        <v>6</v>
      </c>
      <c r="B24" s="1"/>
      <c r="C24" s="25" t="s">
        <v>887</v>
      </c>
      <c r="D24" s="25"/>
      <c r="E24" s="6"/>
      <c r="F24" s="3"/>
      <c r="G24" s="1" t="s">
        <v>8</v>
      </c>
      <c r="H24" s="193" t="s">
        <v>9</v>
      </c>
      <c r="I24" s="193"/>
      <c r="J24" s="193"/>
    </row>
    <row r="25" spans="1:10" ht="12" customHeight="1">
      <c r="A25" s="6" t="s">
        <v>10</v>
      </c>
      <c r="B25" s="6"/>
      <c r="C25" s="194" t="s">
        <v>888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2" customHeight="1">
      <c r="A26" s="2"/>
      <c r="B26" s="2"/>
      <c r="C26" s="2" t="s">
        <v>15</v>
      </c>
      <c r="D26" s="2"/>
      <c r="E26" s="2"/>
      <c r="F26" s="3"/>
      <c r="G26" s="1" t="s">
        <v>16</v>
      </c>
      <c r="H26" s="196" t="s">
        <v>884</v>
      </c>
      <c r="I26" s="196"/>
      <c r="J26" s="196"/>
    </row>
    <row r="27" spans="1:10" ht="12" customHeight="1">
      <c r="A27" s="2">
        <v>30</v>
      </c>
      <c r="B27" s="2"/>
      <c r="C27" s="2">
        <f>A27-I27</f>
        <v>4</v>
      </c>
      <c r="D27" s="2"/>
      <c r="E27" s="2"/>
      <c r="F27" s="3"/>
      <c r="G27" s="8" t="s">
        <v>18</v>
      </c>
      <c r="H27" s="8"/>
      <c r="I27" s="9">
        <v>26</v>
      </c>
      <c r="J27" s="9"/>
    </row>
    <row r="28" spans="1:10" ht="12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2" customHeight="1">
      <c r="A29" s="17" t="s">
        <v>23</v>
      </c>
      <c r="B29" s="1"/>
      <c r="C29" s="1"/>
      <c r="D29" s="56">
        <v>40000</v>
      </c>
      <c r="E29" s="17" t="s">
        <v>28</v>
      </c>
      <c r="F29" s="1"/>
      <c r="G29" s="2">
        <v>10000</v>
      </c>
      <c r="H29" s="18" t="s">
        <v>502</v>
      </c>
      <c r="I29" s="6"/>
      <c r="J29" s="19"/>
    </row>
    <row r="30" spans="1:10" ht="12" customHeight="1">
      <c r="A30" s="17" t="s">
        <v>889</v>
      </c>
      <c r="B30" s="209"/>
      <c r="C30" s="209"/>
      <c r="D30" s="2">
        <v>20000</v>
      </c>
      <c r="E30" s="17" t="s">
        <v>890</v>
      </c>
      <c r="F30" s="1"/>
      <c r="G30" s="2" t="s">
        <v>25</v>
      </c>
      <c r="H30" s="18" t="s">
        <v>504</v>
      </c>
      <c r="I30" s="6"/>
      <c r="J30" s="19"/>
    </row>
    <row r="31" spans="1:10" ht="12" customHeight="1">
      <c r="A31" s="17" t="s">
        <v>30</v>
      </c>
      <c r="B31" s="1"/>
      <c r="C31" s="1"/>
      <c r="D31" s="2" t="s">
        <v>25</v>
      </c>
      <c r="E31" s="17" t="s">
        <v>62</v>
      </c>
      <c r="F31" s="1"/>
      <c r="G31" s="2" t="s">
        <v>25</v>
      </c>
      <c r="H31" s="18" t="s">
        <v>32</v>
      </c>
      <c r="I31" s="6"/>
      <c r="J31" s="19"/>
    </row>
    <row r="32" spans="1:10" ht="12" customHeight="1">
      <c r="A32" s="17" t="s">
        <v>891</v>
      </c>
      <c r="B32" s="1"/>
      <c r="C32" s="1"/>
      <c r="D32" s="2" t="s">
        <v>25</v>
      </c>
      <c r="E32" s="17" t="s">
        <v>71</v>
      </c>
      <c r="F32" s="1"/>
      <c r="G32" s="2">
        <v>5333</v>
      </c>
      <c r="H32" s="18"/>
      <c r="I32" s="6"/>
      <c r="J32" s="40"/>
    </row>
    <row r="33" spans="1:10" ht="12" customHeight="1">
      <c r="A33" s="17" t="s">
        <v>885</v>
      </c>
      <c r="B33" s="1"/>
      <c r="C33" s="1"/>
      <c r="D33" s="2">
        <v>5000</v>
      </c>
      <c r="E33" s="17" t="s">
        <v>61</v>
      </c>
      <c r="F33" s="1"/>
      <c r="G33" s="2" t="s">
        <v>25</v>
      </c>
      <c r="H33" s="18"/>
      <c r="I33" s="6"/>
      <c r="J33" s="40"/>
    </row>
    <row r="34" spans="1:10" ht="12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40"/>
    </row>
    <row r="35" spans="1:10" ht="12" customHeight="1">
      <c r="A35" s="18" t="s">
        <v>40</v>
      </c>
      <c r="B35" s="6"/>
      <c r="C35" s="6"/>
      <c r="D35" s="2" t="s">
        <v>25</v>
      </c>
      <c r="E35" s="17" t="s">
        <v>62</v>
      </c>
      <c r="F35" s="1"/>
      <c r="G35" s="2" t="s">
        <v>25</v>
      </c>
      <c r="H35" s="18"/>
      <c r="I35" s="6"/>
      <c r="J35" s="19"/>
    </row>
    <row r="36" spans="1:10" ht="12" customHeight="1">
      <c r="A36" s="204" t="s">
        <v>63</v>
      </c>
      <c r="B36" s="205"/>
      <c r="C36" s="206"/>
      <c r="D36" s="229">
        <f>SUM(D29:D35)</f>
        <v>65000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2" customHeight="1">
      <c r="A37" s="207"/>
      <c r="B37" s="197"/>
      <c r="C37" s="208"/>
      <c r="D37" s="230"/>
      <c r="E37" s="21" t="s">
        <v>21</v>
      </c>
      <c r="F37" s="22"/>
      <c r="G37" s="13">
        <f>SUM(G29:G36)</f>
        <v>15433</v>
      </c>
      <c r="H37" s="21" t="s">
        <v>44</v>
      </c>
      <c r="I37" s="22"/>
      <c r="J37" s="13">
        <v>50000</v>
      </c>
    </row>
    <row r="38" spans="1:10" ht="12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" customHeight="1">
      <c r="A40" s="3"/>
      <c r="B40" s="3" t="s">
        <v>47</v>
      </c>
      <c r="C40" s="3"/>
      <c r="D40" s="3" t="s">
        <v>73</v>
      </c>
      <c r="E40" s="3" t="s">
        <v>48</v>
      </c>
      <c r="F40" s="3"/>
      <c r="G40" s="3"/>
      <c r="H40" s="3" t="s">
        <v>49</v>
      </c>
      <c r="I40" s="3"/>
      <c r="J40" s="3"/>
    </row>
    <row r="41" spans="1:10" ht="12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" customHeight="1">
      <c r="A43" s="1" t="s">
        <v>2</v>
      </c>
      <c r="B43" s="1"/>
      <c r="C43" s="194" t="s">
        <v>892</v>
      </c>
      <c r="D43" s="194"/>
      <c r="E43" s="2"/>
      <c r="F43" s="3"/>
      <c r="G43" s="1" t="s">
        <v>4</v>
      </c>
      <c r="H43" s="209" t="s">
        <v>881</v>
      </c>
      <c r="I43" s="209"/>
      <c r="J43" s="209"/>
    </row>
    <row r="44" spans="1:10" ht="12" customHeight="1">
      <c r="A44" s="1" t="s">
        <v>6</v>
      </c>
      <c r="B44" s="1"/>
      <c r="C44" s="25" t="s">
        <v>893</v>
      </c>
      <c r="D44" s="25"/>
      <c r="E44" s="6"/>
      <c r="F44" s="3"/>
      <c r="G44" s="1" t="s">
        <v>8</v>
      </c>
      <c r="H44" s="193" t="s">
        <v>9</v>
      </c>
      <c r="I44" s="193"/>
      <c r="J44" s="193"/>
    </row>
    <row r="45" spans="1:10" ht="12" customHeight="1">
      <c r="A45" s="6" t="s">
        <v>10</v>
      </c>
      <c r="B45" s="6"/>
      <c r="C45" s="194" t="s">
        <v>894</v>
      </c>
      <c r="D45" s="194"/>
      <c r="E45" s="2"/>
      <c r="F45" s="3"/>
      <c r="G45" s="1" t="s">
        <v>12</v>
      </c>
      <c r="H45" s="195" t="s">
        <v>13</v>
      </c>
      <c r="I45" s="195"/>
      <c r="J45" s="195"/>
    </row>
    <row r="46" spans="1:10" ht="12" customHeight="1">
      <c r="A46" s="2"/>
      <c r="B46" s="2"/>
      <c r="C46" s="2" t="s">
        <v>15</v>
      </c>
      <c r="D46" s="2"/>
      <c r="E46" s="2"/>
      <c r="F46" s="3"/>
      <c r="G46" s="1" t="s">
        <v>16</v>
      </c>
      <c r="H46" s="196" t="s">
        <v>125</v>
      </c>
      <c r="I46" s="196"/>
      <c r="J46" s="196"/>
    </row>
    <row r="47" spans="1:10" ht="12" customHeight="1">
      <c r="A47" s="2">
        <v>30</v>
      </c>
      <c r="B47" s="2"/>
      <c r="C47" s="2">
        <f>A47-I47</f>
        <v>0</v>
      </c>
      <c r="D47" s="2"/>
      <c r="E47" s="2"/>
      <c r="F47" s="3"/>
      <c r="G47" s="8" t="s">
        <v>18</v>
      </c>
      <c r="H47" s="8"/>
      <c r="I47" s="9">
        <v>30</v>
      </c>
      <c r="J47" s="9"/>
    </row>
    <row r="48" spans="1:10" ht="12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2" customHeight="1">
      <c r="A49" s="17" t="s">
        <v>23</v>
      </c>
      <c r="B49" s="1"/>
      <c r="C49" s="1"/>
      <c r="D49" s="56">
        <v>35000</v>
      </c>
      <c r="E49" s="17" t="s">
        <v>28</v>
      </c>
      <c r="F49" s="1"/>
      <c r="G49" s="2" t="s">
        <v>25</v>
      </c>
      <c r="H49" s="18" t="s">
        <v>502</v>
      </c>
      <c r="I49" s="6"/>
      <c r="J49" s="19"/>
    </row>
    <row r="50" spans="1:10" ht="12" customHeight="1">
      <c r="A50" s="17" t="s">
        <v>57</v>
      </c>
      <c r="B50" s="209"/>
      <c r="C50" s="209"/>
      <c r="D50" s="2" t="s">
        <v>25</v>
      </c>
      <c r="E50" s="17" t="s">
        <v>890</v>
      </c>
      <c r="F50" s="1"/>
      <c r="G50" s="2" t="s">
        <v>25</v>
      </c>
      <c r="H50" s="18" t="s">
        <v>504</v>
      </c>
      <c r="I50" s="6"/>
      <c r="J50" s="19"/>
    </row>
    <row r="51" spans="1:10" ht="12" customHeight="1">
      <c r="A51" s="17" t="s">
        <v>30</v>
      </c>
      <c r="B51" s="1"/>
      <c r="C51" s="1"/>
      <c r="D51" s="2">
        <v>3100</v>
      </c>
      <c r="E51" s="17" t="s">
        <v>62</v>
      </c>
      <c r="F51" s="1"/>
      <c r="G51" s="2" t="s">
        <v>25</v>
      </c>
      <c r="H51" s="18" t="s">
        <v>32</v>
      </c>
      <c r="I51" s="6"/>
      <c r="J51" s="19"/>
    </row>
    <row r="52" spans="1:10" ht="12" customHeight="1">
      <c r="A52" s="17" t="s">
        <v>34</v>
      </c>
      <c r="B52" s="1"/>
      <c r="C52" s="1"/>
      <c r="D52" s="2" t="s">
        <v>25</v>
      </c>
      <c r="E52" s="17" t="s">
        <v>71</v>
      </c>
      <c r="F52" s="1"/>
      <c r="G52" s="2" t="s">
        <v>25</v>
      </c>
      <c r="H52" s="18"/>
      <c r="I52" s="6"/>
      <c r="J52" s="40"/>
    </row>
    <row r="53" spans="1:10" ht="12" customHeight="1">
      <c r="A53" s="17" t="s">
        <v>885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/>
      <c r="I53" s="6"/>
      <c r="J53" s="40"/>
    </row>
    <row r="54" spans="1:10" ht="12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40"/>
    </row>
    <row r="55" spans="1:10" ht="12" customHeight="1">
      <c r="A55" s="18" t="s">
        <v>40</v>
      </c>
      <c r="B55" s="6"/>
      <c r="C55" s="6"/>
      <c r="D55" s="2" t="s">
        <v>25</v>
      </c>
      <c r="E55" s="17" t="s">
        <v>62</v>
      </c>
      <c r="F55" s="1"/>
      <c r="G55" s="2" t="s">
        <v>25</v>
      </c>
      <c r="H55" s="18"/>
      <c r="I55" s="6"/>
      <c r="J55" s="19"/>
    </row>
    <row r="56" spans="1:10" ht="12" customHeight="1">
      <c r="A56" s="204" t="s">
        <v>63</v>
      </c>
      <c r="B56" s="205"/>
      <c r="C56" s="206"/>
      <c r="D56" s="229">
        <f>SUM(D49:D55)</f>
        <v>38100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2" customHeight="1">
      <c r="A57" s="207"/>
      <c r="B57" s="197"/>
      <c r="C57" s="208"/>
      <c r="D57" s="230"/>
      <c r="E57" s="21" t="s">
        <v>21</v>
      </c>
      <c r="F57" s="22"/>
      <c r="G57" s="13">
        <f>SUM(G49:G56)</f>
        <v>100</v>
      </c>
      <c r="H57" s="21" t="s">
        <v>44</v>
      </c>
      <c r="I57" s="22"/>
      <c r="J57" s="13">
        <f>D56-G57</f>
        <v>38000</v>
      </c>
    </row>
    <row r="58" spans="1:10" ht="12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2" customHeight="1">
      <c r="A60" s="3"/>
      <c r="B60" s="3" t="s">
        <v>47</v>
      </c>
      <c r="C60" s="3"/>
      <c r="D60" s="3" t="s">
        <v>73</v>
      </c>
      <c r="E60" s="3" t="s">
        <v>48</v>
      </c>
      <c r="F60" s="3"/>
      <c r="G60" s="3"/>
      <c r="H60" s="3" t="s">
        <v>49</v>
      </c>
      <c r="I60" s="3"/>
      <c r="J60" s="3"/>
    </row>
    <row r="61" spans="1:10" ht="12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" customHeight="1">
      <c r="A63" s="1" t="s">
        <v>2</v>
      </c>
      <c r="B63" s="1"/>
      <c r="C63" s="209" t="s">
        <v>895</v>
      </c>
      <c r="D63" s="209"/>
      <c r="E63" s="2"/>
      <c r="F63" s="3"/>
      <c r="G63" s="1" t="s">
        <v>4</v>
      </c>
      <c r="H63" s="209" t="s">
        <v>881</v>
      </c>
      <c r="I63" s="209"/>
      <c r="J63" s="209"/>
    </row>
    <row r="64" spans="1:10" ht="12" customHeight="1">
      <c r="A64" s="1" t="s">
        <v>6</v>
      </c>
      <c r="B64" s="1"/>
      <c r="C64" s="196" t="s">
        <v>896</v>
      </c>
      <c r="D64" s="196"/>
      <c r="E64" s="2"/>
      <c r="F64" s="3"/>
      <c r="G64" s="1" t="s">
        <v>8</v>
      </c>
      <c r="H64" s="193" t="s">
        <v>9</v>
      </c>
      <c r="I64" s="193"/>
      <c r="J64" s="193"/>
    </row>
    <row r="65" spans="1:10" ht="12" customHeight="1">
      <c r="A65" s="6" t="s">
        <v>10</v>
      </c>
      <c r="B65" s="6"/>
      <c r="C65" s="209" t="s">
        <v>897</v>
      </c>
      <c r="D65" s="209"/>
      <c r="E65" s="2"/>
      <c r="F65" s="3"/>
      <c r="G65" s="1" t="s">
        <v>12</v>
      </c>
      <c r="H65" s="195" t="s">
        <v>13</v>
      </c>
      <c r="I65" s="195"/>
      <c r="J65" s="195"/>
    </row>
    <row r="66" spans="1:10" ht="12" customHeight="1">
      <c r="A66" s="6" t="s">
        <v>14</v>
      </c>
      <c r="B66" s="6"/>
      <c r="C66" s="2" t="s">
        <v>15</v>
      </c>
      <c r="D66" s="2"/>
      <c r="E66" s="36"/>
      <c r="F66" s="3"/>
      <c r="G66" s="1" t="s">
        <v>16</v>
      </c>
      <c r="H66" s="196" t="s">
        <v>429</v>
      </c>
      <c r="I66" s="196"/>
      <c r="J66" s="196"/>
    </row>
    <row r="67" spans="1:10" ht="12" customHeight="1">
      <c r="A67" s="6">
        <v>30</v>
      </c>
      <c r="B67" s="6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2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/>
      <c r="I68" s="202"/>
      <c r="J68" s="203"/>
    </row>
    <row r="69" spans="1:10" ht="12" customHeight="1">
      <c r="A69" s="17" t="s">
        <v>23</v>
      </c>
      <c r="B69" s="1"/>
      <c r="C69" s="1"/>
      <c r="D69" s="2">
        <v>25000</v>
      </c>
      <c r="E69" s="17" t="s">
        <v>28</v>
      </c>
      <c r="F69" s="1"/>
      <c r="G69" s="2" t="s">
        <v>25</v>
      </c>
      <c r="H69" s="18" t="s">
        <v>502</v>
      </c>
      <c r="I69" s="6"/>
      <c r="J69" s="19"/>
    </row>
    <row r="70" spans="1:10" ht="12" customHeight="1">
      <c r="A70" s="17" t="s">
        <v>77</v>
      </c>
      <c r="B70" s="209"/>
      <c r="C70" s="209"/>
      <c r="D70" s="2" t="s">
        <v>25</v>
      </c>
      <c r="E70" s="17" t="s">
        <v>898</v>
      </c>
      <c r="F70" s="1"/>
      <c r="G70" s="2">
        <v>4450</v>
      </c>
      <c r="H70" s="18" t="s">
        <v>504</v>
      </c>
      <c r="I70" s="6"/>
      <c r="J70" s="19"/>
    </row>
    <row r="71" spans="1:10" ht="12" customHeight="1">
      <c r="A71" s="17" t="s">
        <v>30</v>
      </c>
      <c r="B71" s="1"/>
      <c r="C71" s="1"/>
      <c r="D71" s="2" t="s">
        <v>25</v>
      </c>
      <c r="E71" s="17" t="s">
        <v>89</v>
      </c>
      <c r="F71" s="1"/>
      <c r="G71" s="2" t="s">
        <v>25</v>
      </c>
      <c r="H71" s="18" t="s">
        <v>32</v>
      </c>
      <c r="I71" s="6"/>
      <c r="J71" s="19"/>
    </row>
    <row r="72" spans="1:10" ht="12" customHeight="1">
      <c r="A72" s="17" t="s">
        <v>147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2" customHeight="1">
      <c r="A73" s="17" t="s">
        <v>27</v>
      </c>
      <c r="B73" s="1"/>
      <c r="C73" s="1"/>
      <c r="D73" s="2" t="s">
        <v>25</v>
      </c>
      <c r="E73" s="17" t="s">
        <v>61</v>
      </c>
      <c r="F73" s="1"/>
      <c r="G73" s="2">
        <v>200</v>
      </c>
      <c r="H73" s="18"/>
      <c r="I73" s="6"/>
      <c r="J73" s="26"/>
    </row>
    <row r="74" spans="1:10" ht="12" customHeight="1">
      <c r="A74" s="17" t="s">
        <v>78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26"/>
    </row>
    <row r="75" spans="1:10" ht="12" customHeight="1">
      <c r="A75" s="18" t="s">
        <v>40</v>
      </c>
      <c r="B75" s="6"/>
      <c r="C75" s="6"/>
      <c r="D75" s="2" t="s">
        <v>25</v>
      </c>
      <c r="E75" s="17" t="s">
        <v>62</v>
      </c>
      <c r="F75" s="2"/>
      <c r="G75" s="2" t="s">
        <v>25</v>
      </c>
      <c r="H75" s="18"/>
      <c r="I75" s="6"/>
      <c r="J75" s="19"/>
    </row>
    <row r="76" spans="1:10" ht="12" customHeight="1">
      <c r="A76" s="204" t="s">
        <v>63</v>
      </c>
      <c r="B76" s="205"/>
      <c r="C76" s="206"/>
      <c r="D76" s="229">
        <f>SUM(D69:D75)</f>
        <v>25000</v>
      </c>
      <c r="E76" s="1" t="s">
        <v>78</v>
      </c>
      <c r="F76" s="1"/>
      <c r="G76" s="2" t="s">
        <v>25</v>
      </c>
      <c r="H76" s="18"/>
      <c r="I76" s="6"/>
      <c r="J76" s="19"/>
    </row>
    <row r="77" spans="1:10" ht="12" customHeight="1">
      <c r="A77" s="207"/>
      <c r="B77" s="197"/>
      <c r="C77" s="208"/>
      <c r="D77" s="230"/>
      <c r="E77" s="21" t="s">
        <v>21</v>
      </c>
      <c r="F77" s="22"/>
      <c r="G77" s="13">
        <f>SUM(G69:G76)</f>
        <v>4750</v>
      </c>
      <c r="H77" s="21" t="s">
        <v>44</v>
      </c>
      <c r="I77" s="22"/>
      <c r="J77" s="13">
        <f>D76-G77</f>
        <v>20250</v>
      </c>
    </row>
    <row r="78" spans="1:10" ht="12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2" customHeight="1"/>
    <row r="80" spans="1:10" ht="12" customHeight="1"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4.2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4.2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4.25" customHeight="1">
      <c r="A83" s="1" t="s">
        <v>2</v>
      </c>
      <c r="B83" s="1"/>
      <c r="C83" s="190" t="s">
        <v>615</v>
      </c>
      <c r="D83" s="190"/>
      <c r="E83" s="2"/>
      <c r="F83" s="3"/>
      <c r="G83" s="1" t="s">
        <v>4</v>
      </c>
      <c r="H83" s="209" t="s">
        <v>881</v>
      </c>
      <c r="I83" s="209"/>
      <c r="J83" s="209"/>
    </row>
    <row r="84" spans="1:10" ht="14.25" customHeight="1">
      <c r="A84" s="1" t="s">
        <v>6</v>
      </c>
      <c r="B84" s="1"/>
      <c r="C84" s="25" t="s">
        <v>899</v>
      </c>
      <c r="D84" s="25"/>
      <c r="E84" s="2"/>
      <c r="F84" s="3"/>
      <c r="G84" s="1" t="s">
        <v>8</v>
      </c>
      <c r="H84" s="193" t="s">
        <v>9</v>
      </c>
      <c r="I84" s="193"/>
      <c r="J84" s="193"/>
    </row>
    <row r="85" spans="1:10" ht="14.25" customHeight="1">
      <c r="A85" s="6" t="s">
        <v>10</v>
      </c>
      <c r="B85" s="6"/>
      <c r="C85" s="6" t="s">
        <v>731</v>
      </c>
      <c r="D85" s="6"/>
      <c r="E85" s="2"/>
      <c r="F85" s="3"/>
      <c r="G85" s="1" t="s">
        <v>12</v>
      </c>
      <c r="H85" s="195" t="s">
        <v>13</v>
      </c>
      <c r="I85" s="195"/>
      <c r="J85" s="195"/>
    </row>
    <row r="86" spans="1:10" ht="14.25" customHeight="1">
      <c r="A86" s="2" t="s">
        <v>14</v>
      </c>
      <c r="B86" s="2"/>
      <c r="C86" s="2" t="s">
        <v>15</v>
      </c>
      <c r="D86" s="2"/>
      <c r="E86" s="2"/>
      <c r="F86" s="3"/>
      <c r="G86" s="1" t="s">
        <v>16</v>
      </c>
      <c r="H86" s="196" t="s">
        <v>55</v>
      </c>
      <c r="I86" s="196"/>
      <c r="J86" s="196"/>
    </row>
    <row r="87" spans="1:10" ht="14.25" customHeight="1">
      <c r="A87" s="2">
        <v>30</v>
      </c>
      <c r="B87" s="2"/>
      <c r="C87" s="2">
        <f>A87-H87</f>
        <v>0</v>
      </c>
      <c r="D87" s="2"/>
      <c r="E87" s="2"/>
      <c r="F87" s="3"/>
      <c r="G87" s="8" t="s">
        <v>18</v>
      </c>
      <c r="H87" s="197">
        <v>30</v>
      </c>
      <c r="I87" s="197"/>
      <c r="J87" s="197"/>
    </row>
    <row r="88" spans="1:10" ht="14.2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4.25" customHeight="1">
      <c r="A89" s="17" t="s">
        <v>23</v>
      </c>
      <c r="B89" s="1"/>
      <c r="C89" s="1"/>
      <c r="D89" s="28">
        <v>20000</v>
      </c>
      <c r="E89" s="17" t="s">
        <v>58</v>
      </c>
      <c r="F89" s="1"/>
      <c r="G89" s="2" t="s">
        <v>25</v>
      </c>
      <c r="H89" s="18" t="s">
        <v>26</v>
      </c>
      <c r="I89" s="23"/>
      <c r="J89" s="24"/>
    </row>
    <row r="90" spans="1:10" ht="14.25" customHeight="1">
      <c r="A90" s="17" t="s">
        <v>77</v>
      </c>
      <c r="B90" s="209" t="s">
        <v>776</v>
      </c>
      <c r="C90" s="209"/>
      <c r="D90" s="2">
        <v>4000</v>
      </c>
      <c r="E90" s="17" t="s">
        <v>52</v>
      </c>
      <c r="F90" s="1"/>
      <c r="G90" s="2" t="s">
        <v>25</v>
      </c>
      <c r="H90" s="18" t="s">
        <v>29</v>
      </c>
      <c r="I90" s="23"/>
      <c r="J90" s="24"/>
    </row>
    <row r="91" spans="1:10" ht="14.25" customHeight="1">
      <c r="A91" s="17" t="s">
        <v>30</v>
      </c>
      <c r="B91" s="6"/>
      <c r="C91" s="6"/>
      <c r="D91" s="2" t="s">
        <v>25</v>
      </c>
      <c r="E91" s="17" t="s">
        <v>394</v>
      </c>
      <c r="F91" s="1"/>
      <c r="G91" s="2" t="s">
        <v>25</v>
      </c>
      <c r="H91" s="18" t="s">
        <v>32</v>
      </c>
      <c r="I91" s="23"/>
      <c r="J91" s="24"/>
    </row>
    <row r="92" spans="1:10" ht="14.25" customHeight="1">
      <c r="A92" s="17" t="s">
        <v>345</v>
      </c>
      <c r="B92" s="1"/>
      <c r="C92" s="1"/>
      <c r="D92" s="2">
        <v>5000</v>
      </c>
      <c r="E92" s="17" t="s">
        <v>35</v>
      </c>
      <c r="F92" s="1"/>
      <c r="G92" s="2" t="s">
        <v>25</v>
      </c>
      <c r="H92" s="18"/>
      <c r="I92" s="6"/>
      <c r="J92" s="19"/>
    </row>
    <row r="93" spans="1:10" ht="14.25" customHeight="1">
      <c r="A93" s="17" t="s">
        <v>72</v>
      </c>
      <c r="B93" s="1"/>
      <c r="C93" s="1"/>
      <c r="D93" s="2" t="s">
        <v>25</v>
      </c>
      <c r="E93" s="17" t="s">
        <v>61</v>
      </c>
      <c r="F93" s="1"/>
      <c r="G93" s="2" t="s">
        <v>25</v>
      </c>
      <c r="H93" s="18" t="s">
        <v>389</v>
      </c>
      <c r="I93" s="6"/>
      <c r="J93" s="19"/>
    </row>
    <row r="94" spans="1:10" ht="14.25" customHeight="1">
      <c r="A94" s="17" t="s">
        <v>147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 t="s">
        <v>900</v>
      </c>
      <c r="I94" s="6"/>
      <c r="J94" s="19"/>
    </row>
    <row r="95" spans="1:10" ht="14.25" customHeight="1">
      <c r="A95" s="18" t="s">
        <v>40</v>
      </c>
      <c r="B95" s="6"/>
      <c r="C95" s="6"/>
      <c r="D95" s="2" t="s">
        <v>25</v>
      </c>
      <c r="E95" s="17" t="s">
        <v>78</v>
      </c>
      <c r="F95" s="1"/>
      <c r="G95" s="2" t="s">
        <v>25</v>
      </c>
      <c r="H95" s="18" t="s">
        <v>901</v>
      </c>
      <c r="I95" s="6"/>
      <c r="J95" s="19"/>
    </row>
    <row r="96" spans="1:10" ht="14.25" customHeight="1">
      <c r="A96" s="204" t="s">
        <v>63</v>
      </c>
      <c r="B96" s="205"/>
      <c r="C96" s="206"/>
      <c r="D96" s="229">
        <f>SUM(D89:D95)</f>
        <v>29000</v>
      </c>
      <c r="E96" s="1" t="s">
        <v>283</v>
      </c>
      <c r="F96" s="1"/>
      <c r="G96" s="2" t="s">
        <v>25</v>
      </c>
      <c r="H96" s="18"/>
      <c r="I96" s="6"/>
      <c r="J96" s="19"/>
    </row>
    <row r="97" spans="1:10" ht="14.2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28900</v>
      </c>
    </row>
    <row r="98" spans="1:10" ht="14.2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4.2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" customHeight="1">
      <c r="A103" s="1" t="s">
        <v>2</v>
      </c>
      <c r="B103" s="1"/>
      <c r="C103" s="191" t="s">
        <v>902</v>
      </c>
      <c r="D103" s="191"/>
      <c r="E103" s="2"/>
      <c r="F103" s="3"/>
      <c r="G103" s="1" t="s">
        <v>4</v>
      </c>
      <c r="H103" s="209" t="s">
        <v>881</v>
      </c>
      <c r="I103" s="209"/>
      <c r="J103" s="209"/>
    </row>
    <row r="104" spans="1:10" ht="12" customHeight="1">
      <c r="A104" s="1" t="s">
        <v>6</v>
      </c>
      <c r="B104" s="1"/>
      <c r="C104" s="196" t="s">
        <v>903</v>
      </c>
      <c r="D104" s="196"/>
      <c r="E104" s="7"/>
      <c r="F104" s="3"/>
      <c r="G104" s="1" t="s">
        <v>8</v>
      </c>
      <c r="H104" s="193" t="s">
        <v>9</v>
      </c>
      <c r="I104" s="193"/>
      <c r="J104" s="193"/>
    </row>
    <row r="105" spans="1:10" ht="12" customHeight="1">
      <c r="A105" s="6" t="s">
        <v>10</v>
      </c>
      <c r="B105" s="6"/>
      <c r="C105" s="278" t="s">
        <v>571</v>
      </c>
      <c r="D105" s="278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" customHeight="1">
      <c r="A106" s="6" t="s">
        <v>14</v>
      </c>
      <c r="B106" s="6"/>
      <c r="C106" s="2" t="s">
        <v>15</v>
      </c>
      <c r="D106" s="2"/>
      <c r="E106" s="2"/>
      <c r="F106" s="3"/>
      <c r="G106" s="1" t="s">
        <v>16</v>
      </c>
      <c r="H106" s="196" t="s">
        <v>55</v>
      </c>
      <c r="I106" s="196"/>
      <c r="J106" s="196"/>
    </row>
    <row r="107" spans="1:10" ht="12" customHeight="1">
      <c r="A107" s="6">
        <v>30</v>
      </c>
      <c r="B107" s="6"/>
      <c r="C107" s="2">
        <f>A107-I107</f>
        <v>0</v>
      </c>
      <c r="D107" s="2"/>
      <c r="E107" s="2"/>
      <c r="F107" s="3"/>
      <c r="G107" s="8" t="s">
        <v>18</v>
      </c>
      <c r="H107" s="8"/>
      <c r="I107" s="9">
        <v>30</v>
      </c>
      <c r="J107" s="9"/>
    </row>
    <row r="108" spans="1:10" ht="12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" customHeight="1">
      <c r="A109" s="17" t="s">
        <v>23</v>
      </c>
      <c r="B109" s="1"/>
      <c r="C109" s="1"/>
      <c r="D109" s="2">
        <v>30000</v>
      </c>
      <c r="E109" s="17" t="s">
        <v>24</v>
      </c>
      <c r="F109" s="1"/>
      <c r="G109" s="2" t="s">
        <v>25</v>
      </c>
      <c r="H109" s="18" t="s">
        <v>502</v>
      </c>
      <c r="I109" s="6"/>
      <c r="J109" s="19"/>
    </row>
    <row r="110" spans="1:10" ht="12" customHeight="1">
      <c r="A110" s="17" t="s">
        <v>77</v>
      </c>
      <c r="B110" s="228" t="s">
        <v>120</v>
      </c>
      <c r="C110" s="228"/>
      <c r="D110" s="2">
        <v>1000</v>
      </c>
      <c r="E110" s="17" t="s">
        <v>28</v>
      </c>
      <c r="F110" s="1"/>
      <c r="G110" s="2" t="s">
        <v>25</v>
      </c>
      <c r="H110" s="18" t="s">
        <v>504</v>
      </c>
      <c r="I110" s="6"/>
      <c r="J110" s="19"/>
    </row>
    <row r="111" spans="1:10" ht="12" customHeight="1">
      <c r="A111" s="17" t="s">
        <v>30</v>
      </c>
      <c r="B111" s="1"/>
      <c r="C111" s="1"/>
      <c r="D111" s="2" t="s">
        <v>25</v>
      </c>
      <c r="E111" s="17" t="s">
        <v>83</v>
      </c>
      <c r="F111" s="1"/>
      <c r="G111" s="2" t="s">
        <v>25</v>
      </c>
      <c r="H111" s="18" t="s">
        <v>32</v>
      </c>
      <c r="I111" s="6"/>
      <c r="J111" s="19"/>
    </row>
    <row r="112" spans="1:10" ht="12" customHeight="1">
      <c r="A112" s="17" t="s">
        <v>321</v>
      </c>
      <c r="B112" s="1"/>
      <c r="C112" s="1"/>
      <c r="D112" s="2" t="s">
        <v>25</v>
      </c>
      <c r="E112" s="17" t="s">
        <v>71</v>
      </c>
      <c r="F112" s="1"/>
      <c r="G112" s="2" t="s">
        <v>25</v>
      </c>
      <c r="H112" s="18"/>
      <c r="I112" s="6"/>
      <c r="J112" s="27"/>
    </row>
    <row r="113" spans="1:10" ht="12" customHeight="1">
      <c r="A113" s="17" t="s">
        <v>147</v>
      </c>
      <c r="B113" s="1"/>
      <c r="C113" s="1"/>
      <c r="D113" s="2" t="s">
        <v>25</v>
      </c>
      <c r="E113" s="17" t="s">
        <v>61</v>
      </c>
      <c r="F113" s="1"/>
      <c r="G113" s="2" t="s">
        <v>25</v>
      </c>
      <c r="H113" s="18" t="s">
        <v>904</v>
      </c>
      <c r="I113" s="6"/>
      <c r="J113" s="27"/>
    </row>
    <row r="114" spans="1:10" ht="12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18"/>
      <c r="I114" s="6"/>
      <c r="J114" s="27"/>
    </row>
    <row r="115" spans="1:10" ht="12" customHeight="1">
      <c r="A115" s="18" t="s">
        <v>40</v>
      </c>
      <c r="B115" s="6"/>
      <c r="C115" s="6"/>
      <c r="D115" s="2" t="s">
        <v>25</v>
      </c>
      <c r="E115" s="17" t="s">
        <v>78</v>
      </c>
      <c r="F115" s="1"/>
      <c r="G115" s="2" t="s">
        <v>25</v>
      </c>
      <c r="H115" s="18"/>
      <c r="I115" s="6"/>
      <c r="J115" s="27"/>
    </row>
    <row r="116" spans="1:10" ht="12" customHeight="1">
      <c r="A116" s="204" t="s">
        <v>63</v>
      </c>
      <c r="B116" s="205"/>
      <c r="C116" s="206"/>
      <c r="D116" s="229">
        <f>SUM(D109:D115)</f>
        <v>31000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2" customHeight="1">
      <c r="A117" s="207"/>
      <c r="B117" s="197"/>
      <c r="C117" s="208"/>
      <c r="D117" s="230"/>
      <c r="E117" s="72" t="s">
        <v>21</v>
      </c>
      <c r="F117" s="73"/>
      <c r="G117" s="64">
        <f>SUM(G109:G116)</f>
        <v>100</v>
      </c>
      <c r="H117" s="344" t="s">
        <v>44</v>
      </c>
      <c r="I117" s="344"/>
      <c r="J117" s="53">
        <f>D116-G117</f>
        <v>30900</v>
      </c>
    </row>
    <row r="118" spans="1:10" ht="12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32.25" customHeight="1">
      <c r="A119" s="345" t="s">
        <v>905</v>
      </c>
      <c r="B119" s="345"/>
      <c r="C119" s="345"/>
      <c r="D119" s="345"/>
      <c r="E119" s="345"/>
      <c r="F119" s="345">
        <f>J117+J97+J77+J57+J37+J17</f>
        <v>269617</v>
      </c>
      <c r="G119" s="345"/>
      <c r="H119" s="345"/>
      <c r="I119" s="345"/>
      <c r="J119" s="345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</row>
    <row r="124" spans="1:10">
      <c r="A124" s="29"/>
      <c r="B124" s="29"/>
      <c r="C124" s="29"/>
      <c r="D124" s="29"/>
      <c r="E124" s="29"/>
      <c r="F124" s="30"/>
      <c r="G124" s="30"/>
      <c r="H124" s="30"/>
      <c r="I124" s="30"/>
    </row>
    <row r="125" spans="1:10">
      <c r="A125" s="31"/>
      <c r="B125" s="252" t="s">
        <v>265</v>
      </c>
      <c r="C125" s="252"/>
      <c r="D125" s="252"/>
      <c r="E125" s="33"/>
      <c r="F125" s="253" t="s">
        <v>266</v>
      </c>
      <c r="G125" s="253"/>
      <c r="H125" s="253"/>
      <c r="I125" s="253"/>
    </row>
    <row r="126" spans="1:10">
      <c r="A126" s="31"/>
      <c r="B126" s="34"/>
      <c r="C126" s="34"/>
      <c r="D126" s="34"/>
      <c r="E126" s="33"/>
      <c r="F126" s="35"/>
      <c r="G126" s="35"/>
      <c r="H126" s="35"/>
      <c r="I126" s="35"/>
    </row>
    <row r="127" spans="1:10">
      <c r="A127" s="31"/>
      <c r="B127" s="34"/>
      <c r="C127" s="34"/>
      <c r="D127" s="34"/>
      <c r="E127" s="33"/>
      <c r="F127" s="35"/>
      <c r="G127" s="35"/>
      <c r="H127" s="35"/>
      <c r="I127" s="35"/>
    </row>
    <row r="128" spans="1:10">
      <c r="A128" s="31"/>
      <c r="B128" s="34"/>
      <c r="C128" s="34"/>
      <c r="D128" s="34"/>
      <c r="E128" s="33"/>
      <c r="F128" s="35"/>
      <c r="G128" s="35"/>
      <c r="H128" s="35"/>
      <c r="I128" s="35"/>
    </row>
    <row r="129" spans="1:9">
      <c r="A129" s="31"/>
      <c r="B129" s="34"/>
      <c r="C129" s="34"/>
      <c r="D129" s="34"/>
      <c r="E129" s="33"/>
      <c r="F129" s="35"/>
      <c r="G129" s="35"/>
      <c r="H129" s="35"/>
      <c r="I129" s="35"/>
    </row>
    <row r="130" spans="1:9">
      <c r="A130" s="31"/>
      <c r="B130" s="31"/>
      <c r="C130" s="31"/>
      <c r="D130" s="31"/>
      <c r="E130" s="31"/>
      <c r="F130" s="36"/>
      <c r="G130" s="36"/>
      <c r="H130" s="36"/>
      <c r="I130" s="36"/>
    </row>
    <row r="131" spans="1:9">
      <c r="A131" s="31"/>
      <c r="B131" s="37"/>
      <c r="C131" s="32" t="s">
        <v>267</v>
      </c>
      <c r="D131" s="32"/>
      <c r="E131" s="31"/>
      <c r="F131" s="253" t="s">
        <v>268</v>
      </c>
      <c r="G131" s="253"/>
      <c r="H131" s="253"/>
      <c r="I131" s="253"/>
    </row>
  </sheetData>
  <mergeCells count="86">
    <mergeCell ref="F131:I131"/>
    <mergeCell ref="D16:D17"/>
    <mergeCell ref="D36:D37"/>
    <mergeCell ref="D56:D57"/>
    <mergeCell ref="D76:D77"/>
    <mergeCell ref="D96:D97"/>
    <mergeCell ref="D116:D117"/>
    <mergeCell ref="C105:D105"/>
    <mergeCell ref="H105:J105"/>
    <mergeCell ref="H106:J106"/>
    <mergeCell ref="A108:C108"/>
    <mergeCell ref="H108:J108"/>
    <mergeCell ref="A102:J102"/>
    <mergeCell ref="C103:D103"/>
    <mergeCell ref="H103:J103"/>
    <mergeCell ref="C104:D104"/>
    <mergeCell ref="B110:C110"/>
    <mergeCell ref="H117:I117"/>
    <mergeCell ref="A119:E119"/>
    <mergeCell ref="F119:J119"/>
    <mergeCell ref="B125:D125"/>
    <mergeCell ref="F125:I125"/>
    <mergeCell ref="A116:C117"/>
    <mergeCell ref="H104:J104"/>
    <mergeCell ref="H87:J87"/>
    <mergeCell ref="A88:C88"/>
    <mergeCell ref="H88:J88"/>
    <mergeCell ref="B90:C90"/>
    <mergeCell ref="A101:J101"/>
    <mergeCell ref="A96:C97"/>
    <mergeCell ref="C83:D83"/>
    <mergeCell ref="H83:J83"/>
    <mergeCell ref="H84:J84"/>
    <mergeCell ref="H85:J85"/>
    <mergeCell ref="H86:J86"/>
    <mergeCell ref="A68:C68"/>
    <mergeCell ref="H68:J68"/>
    <mergeCell ref="B70:C70"/>
    <mergeCell ref="A81:J81"/>
    <mergeCell ref="A82:J82"/>
    <mergeCell ref="A76:C77"/>
    <mergeCell ref="C64:D64"/>
    <mergeCell ref="H64:J64"/>
    <mergeCell ref="C65:D65"/>
    <mergeCell ref="H65:J65"/>
    <mergeCell ref="H66:J66"/>
    <mergeCell ref="B50:C50"/>
    <mergeCell ref="A61:J61"/>
    <mergeCell ref="A62:J62"/>
    <mergeCell ref="C63:D63"/>
    <mergeCell ref="H63:J63"/>
    <mergeCell ref="A56:C57"/>
    <mergeCell ref="H44:J44"/>
    <mergeCell ref="C45:D45"/>
    <mergeCell ref="H45:J45"/>
    <mergeCell ref="H46:J46"/>
    <mergeCell ref="A48:C48"/>
    <mergeCell ref="H48:J48"/>
    <mergeCell ref="B30:C30"/>
    <mergeCell ref="A41:J41"/>
    <mergeCell ref="A42:J42"/>
    <mergeCell ref="C43:D43"/>
    <mergeCell ref="H43:J43"/>
    <mergeCell ref="A36:C37"/>
    <mergeCell ref="H24:J24"/>
    <mergeCell ref="C25:D25"/>
    <mergeCell ref="H25:J25"/>
    <mergeCell ref="H26:J26"/>
    <mergeCell ref="A28:C28"/>
    <mergeCell ref="H28:J28"/>
    <mergeCell ref="B10:C10"/>
    <mergeCell ref="A21:J21"/>
    <mergeCell ref="A22:J22"/>
    <mergeCell ref="C23:D23"/>
    <mergeCell ref="H23:J23"/>
    <mergeCell ref="A16:C17"/>
    <mergeCell ref="C5:D5"/>
    <mergeCell ref="H5:J5"/>
    <mergeCell ref="H6:J6"/>
    <mergeCell ref="A8:C8"/>
    <mergeCell ref="H8:J8"/>
    <mergeCell ref="A1:J1"/>
    <mergeCell ref="A2:J2"/>
    <mergeCell ref="C3:D3"/>
    <mergeCell ref="H3:J3"/>
    <mergeCell ref="H4:J4"/>
  </mergeCells>
  <pageMargins left="0.7" right="0.7" top="0.75" bottom="0.75" header="0.3" footer="0.3"/>
  <pageSetup scale="90" orientation="portrait" r:id="rId1"/>
  <rowBreaks count="2" manualBreakCount="2">
    <brk id="60" max="16383" man="1"/>
    <brk id="11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J128"/>
  <sheetViews>
    <sheetView zoomScaleNormal="100" workbookViewId="0">
      <selection sqref="A1:J128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4" t="s">
        <v>880</v>
      </c>
      <c r="D3" s="194"/>
      <c r="E3" s="2"/>
      <c r="F3" s="3"/>
      <c r="G3" s="1" t="s">
        <v>4</v>
      </c>
      <c r="H3" s="209" t="s">
        <v>906</v>
      </c>
      <c r="I3" s="209"/>
      <c r="J3" s="209"/>
    </row>
    <row r="4" spans="1:10" ht="13.5" customHeight="1">
      <c r="A4" s="1" t="s">
        <v>6</v>
      </c>
      <c r="B4" s="1"/>
      <c r="C4" s="25" t="s">
        <v>882</v>
      </c>
      <c r="D4" s="25"/>
      <c r="E4" s="6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194" t="s">
        <v>883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2"/>
      <c r="B6" s="2"/>
      <c r="C6" s="2" t="s">
        <v>15</v>
      </c>
      <c r="D6" s="2"/>
      <c r="E6" s="2"/>
      <c r="F6" s="3"/>
      <c r="G6" s="1" t="s">
        <v>16</v>
      </c>
      <c r="H6" s="196" t="s">
        <v>884</v>
      </c>
      <c r="I6" s="196"/>
      <c r="J6" s="196"/>
    </row>
    <row r="7" spans="1:10" ht="13.5" customHeight="1">
      <c r="A7" s="2">
        <v>30</v>
      </c>
      <c r="B7" s="2"/>
      <c r="C7" s="2">
        <f>A7-I7</f>
        <v>1</v>
      </c>
      <c r="D7" s="2"/>
      <c r="E7" s="2"/>
      <c r="F7" s="3"/>
      <c r="G7" s="8" t="s">
        <v>18</v>
      </c>
      <c r="H7" s="8"/>
      <c r="I7" s="9">
        <v>29</v>
      </c>
      <c r="J7" s="9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23</v>
      </c>
      <c r="B9" s="1"/>
      <c r="C9" s="1"/>
      <c r="D9" s="56">
        <v>50000</v>
      </c>
      <c r="E9" s="17" t="s">
        <v>24</v>
      </c>
      <c r="F9" s="1"/>
      <c r="G9" s="2" t="s">
        <v>25</v>
      </c>
      <c r="H9" s="18" t="s">
        <v>502</v>
      </c>
      <c r="I9" s="6"/>
      <c r="J9" s="19"/>
    </row>
    <row r="10" spans="1:10" ht="13.5" customHeight="1">
      <c r="A10" s="17" t="s">
        <v>69</v>
      </c>
      <c r="B10" s="209"/>
      <c r="C10" s="209"/>
      <c r="D10" s="2" t="s">
        <v>25</v>
      </c>
      <c r="E10" s="17" t="s">
        <v>24</v>
      </c>
      <c r="F10" s="1"/>
      <c r="G10" s="2" t="s">
        <v>25</v>
      </c>
      <c r="H10" s="18" t="s">
        <v>504</v>
      </c>
      <c r="I10" s="6"/>
      <c r="J10" s="19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62</v>
      </c>
      <c r="F11" s="1"/>
      <c r="G11" s="2" t="s">
        <v>25</v>
      </c>
      <c r="H11" s="18" t="s">
        <v>32</v>
      </c>
      <c r="I11" s="6"/>
      <c r="J11" s="19"/>
    </row>
    <row r="12" spans="1:10" ht="13.5" customHeight="1">
      <c r="A12" s="17" t="s">
        <v>34</v>
      </c>
      <c r="B12" s="1"/>
      <c r="C12" s="1"/>
      <c r="D12" s="2" t="s">
        <v>25</v>
      </c>
      <c r="E12" s="17" t="s">
        <v>71</v>
      </c>
      <c r="F12" s="1"/>
      <c r="G12" s="2">
        <v>1667</v>
      </c>
      <c r="H12" s="18"/>
      <c r="I12" s="6"/>
      <c r="J12" s="40"/>
    </row>
    <row r="13" spans="1:10" ht="13.5" customHeight="1">
      <c r="A13" s="17" t="s">
        <v>885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18"/>
      <c r="I13" s="6"/>
      <c r="J13" s="40"/>
    </row>
    <row r="14" spans="1:10" ht="13.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40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62</v>
      </c>
      <c r="F15" s="2"/>
      <c r="G15" s="2" t="s">
        <v>25</v>
      </c>
      <c r="H15" s="18"/>
      <c r="I15" s="6"/>
      <c r="J15" s="19"/>
    </row>
    <row r="16" spans="1:10" ht="13.5" customHeight="1">
      <c r="A16" s="204" t="s">
        <v>63</v>
      </c>
      <c r="B16" s="205"/>
      <c r="C16" s="206"/>
      <c r="D16" s="229">
        <f>SUM(D9:D15)</f>
        <v>50000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1767</v>
      </c>
      <c r="H17" s="21" t="s">
        <v>44</v>
      </c>
      <c r="I17" s="22"/>
      <c r="J17" s="13">
        <f>D16-G17</f>
        <v>48233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 t="s">
        <v>73</v>
      </c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4" t="s">
        <v>886</v>
      </c>
      <c r="D23" s="194"/>
      <c r="E23" s="2"/>
      <c r="F23" s="3"/>
      <c r="G23" s="1" t="s">
        <v>4</v>
      </c>
      <c r="H23" s="209" t="s">
        <v>906</v>
      </c>
      <c r="I23" s="209"/>
      <c r="J23" s="209"/>
    </row>
    <row r="24" spans="1:10" ht="13.5" customHeight="1">
      <c r="A24" s="1" t="s">
        <v>6</v>
      </c>
      <c r="B24" s="1"/>
      <c r="C24" s="25" t="s">
        <v>887</v>
      </c>
      <c r="D24" s="25"/>
      <c r="E24" s="6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194" t="s">
        <v>888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2"/>
      <c r="B26" s="2"/>
      <c r="C26" s="2" t="s">
        <v>15</v>
      </c>
      <c r="D26" s="2"/>
      <c r="E26" s="2"/>
      <c r="F26" s="3"/>
      <c r="G26" s="1" t="s">
        <v>16</v>
      </c>
      <c r="H26" s="196" t="s">
        <v>884</v>
      </c>
      <c r="I26" s="196"/>
      <c r="J26" s="196"/>
    </row>
    <row r="27" spans="1:10" ht="13.5" customHeight="1">
      <c r="A27" s="2">
        <v>30</v>
      </c>
      <c r="B27" s="2"/>
      <c r="C27" s="2">
        <f>A27-I27</f>
        <v>4</v>
      </c>
      <c r="D27" s="2"/>
      <c r="E27" s="2"/>
      <c r="F27" s="3"/>
      <c r="G27" s="8" t="s">
        <v>18</v>
      </c>
      <c r="H27" s="8"/>
      <c r="I27" s="9">
        <v>26</v>
      </c>
      <c r="J27" s="9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56">
        <v>25000</v>
      </c>
      <c r="E29" s="17" t="s">
        <v>28</v>
      </c>
      <c r="F29" s="1"/>
      <c r="G29" s="2" t="s">
        <v>25</v>
      </c>
      <c r="H29" s="18" t="s">
        <v>502</v>
      </c>
      <c r="I29" s="6"/>
      <c r="J29" s="19"/>
    </row>
    <row r="30" spans="1:10" ht="13.5" customHeight="1">
      <c r="A30" s="17" t="s">
        <v>889</v>
      </c>
      <c r="B30" s="209"/>
      <c r="C30" s="209"/>
      <c r="D30" s="2" t="s">
        <v>25</v>
      </c>
      <c r="E30" s="17" t="s">
        <v>890</v>
      </c>
      <c r="F30" s="1"/>
      <c r="G30" s="2" t="s">
        <v>25</v>
      </c>
      <c r="H30" s="18" t="s">
        <v>504</v>
      </c>
      <c r="I30" s="6"/>
      <c r="J30" s="19"/>
    </row>
    <row r="31" spans="1:10" ht="13.5" customHeight="1">
      <c r="A31" s="17" t="s">
        <v>30</v>
      </c>
      <c r="B31" s="1"/>
      <c r="C31" s="1"/>
      <c r="D31" s="2" t="s">
        <v>25</v>
      </c>
      <c r="E31" s="17" t="s">
        <v>62</v>
      </c>
      <c r="F31" s="1"/>
      <c r="G31" s="2" t="s">
        <v>25</v>
      </c>
      <c r="H31" s="18" t="s">
        <v>32</v>
      </c>
      <c r="I31" s="6"/>
      <c r="J31" s="19"/>
    </row>
    <row r="32" spans="1:10" ht="13.5" customHeight="1">
      <c r="A32" s="17" t="s">
        <v>34</v>
      </c>
      <c r="B32" s="1"/>
      <c r="C32" s="1"/>
      <c r="D32" s="2" t="s">
        <v>25</v>
      </c>
      <c r="E32" s="17" t="s">
        <v>71</v>
      </c>
      <c r="F32" s="1"/>
      <c r="G32" s="2">
        <v>3333</v>
      </c>
      <c r="H32" s="18"/>
      <c r="I32" s="6"/>
      <c r="J32" s="40"/>
    </row>
    <row r="33" spans="1:10" ht="13.5" customHeight="1">
      <c r="A33" s="17" t="s">
        <v>885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18"/>
      <c r="I33" s="6"/>
      <c r="J33" s="40"/>
    </row>
    <row r="34" spans="1:10" ht="13.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40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62</v>
      </c>
      <c r="F35" s="1"/>
      <c r="G35" s="2" t="s">
        <v>25</v>
      </c>
      <c r="H35" s="18"/>
      <c r="I35" s="6"/>
      <c r="J35" s="19"/>
    </row>
    <row r="36" spans="1:10" ht="13.5" customHeight="1">
      <c r="A36" s="204" t="s">
        <v>63</v>
      </c>
      <c r="B36" s="205"/>
      <c r="C36" s="206"/>
      <c r="D36" s="229">
        <f>SUM(D29:D35)</f>
        <v>25000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3433</v>
      </c>
      <c r="H37" s="21" t="s">
        <v>44</v>
      </c>
      <c r="I37" s="22"/>
      <c r="J37" s="13">
        <f>D36-G37</f>
        <v>21567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 t="s">
        <v>73</v>
      </c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B43" s="1"/>
      <c r="C43" s="194" t="s">
        <v>886</v>
      </c>
      <c r="D43" s="194"/>
      <c r="E43" s="2"/>
      <c r="F43" s="3"/>
      <c r="G43" s="1" t="s">
        <v>4</v>
      </c>
      <c r="H43" s="209" t="s">
        <v>906</v>
      </c>
      <c r="I43" s="209"/>
      <c r="J43" s="209"/>
    </row>
    <row r="44" spans="1:10" ht="13.5" customHeight="1">
      <c r="A44" s="1" t="s">
        <v>6</v>
      </c>
      <c r="B44" s="1"/>
      <c r="C44" s="25" t="s">
        <v>907</v>
      </c>
      <c r="D44" s="25"/>
      <c r="E44" s="6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194" t="s">
        <v>894</v>
      </c>
      <c r="D45" s="194"/>
      <c r="E45" s="2"/>
      <c r="F45" s="3"/>
      <c r="G45" s="1" t="s">
        <v>12</v>
      </c>
      <c r="H45" s="195" t="s">
        <v>13</v>
      </c>
      <c r="I45" s="195"/>
      <c r="J45" s="195"/>
    </row>
    <row r="46" spans="1:10" ht="13.5" customHeight="1">
      <c r="A46" s="2"/>
      <c r="B46" s="2"/>
      <c r="C46" s="2" t="s">
        <v>15</v>
      </c>
      <c r="D46" s="2"/>
      <c r="E46" s="2"/>
      <c r="F46" s="3"/>
      <c r="G46" s="1" t="s">
        <v>16</v>
      </c>
      <c r="H46" s="196" t="s">
        <v>884</v>
      </c>
      <c r="I46" s="196"/>
      <c r="J46" s="196"/>
    </row>
    <row r="47" spans="1:10" ht="13.5" customHeight="1">
      <c r="A47" s="2">
        <v>30</v>
      </c>
      <c r="B47" s="2"/>
      <c r="C47" s="2">
        <f>A47-I47</f>
        <v>0</v>
      </c>
      <c r="D47" s="2"/>
      <c r="E47" s="2"/>
      <c r="F47" s="3"/>
      <c r="G47" s="8" t="s">
        <v>18</v>
      </c>
      <c r="H47" s="8"/>
      <c r="I47" s="9">
        <v>30</v>
      </c>
      <c r="J47" s="9"/>
    </row>
    <row r="48" spans="1:10" ht="13.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23</v>
      </c>
      <c r="B49" s="1"/>
      <c r="C49" s="1"/>
      <c r="D49" s="56">
        <v>40000</v>
      </c>
      <c r="E49" s="17" t="s">
        <v>28</v>
      </c>
      <c r="F49" s="1"/>
      <c r="G49" s="2" t="s">
        <v>25</v>
      </c>
      <c r="H49" s="18" t="s">
        <v>502</v>
      </c>
      <c r="I49" s="6"/>
      <c r="J49" s="19"/>
    </row>
    <row r="50" spans="1:10" ht="13.5" customHeight="1">
      <c r="A50" s="17" t="s">
        <v>57</v>
      </c>
      <c r="B50" s="209"/>
      <c r="C50" s="209"/>
      <c r="D50" s="2" t="s">
        <v>25</v>
      </c>
      <c r="E50" s="17" t="s">
        <v>394</v>
      </c>
      <c r="F50" s="1"/>
      <c r="G50" s="2" t="s">
        <v>25</v>
      </c>
      <c r="H50" s="18" t="s">
        <v>504</v>
      </c>
      <c r="I50" s="6"/>
      <c r="J50" s="19"/>
    </row>
    <row r="51" spans="1:10" ht="13.5" customHeight="1">
      <c r="A51" s="17" t="s">
        <v>30</v>
      </c>
      <c r="B51" s="1"/>
      <c r="C51" s="1"/>
      <c r="D51" s="2" t="s">
        <v>25</v>
      </c>
      <c r="E51" s="17" t="s">
        <v>62</v>
      </c>
      <c r="F51" s="1"/>
      <c r="G51" s="2" t="s">
        <v>25</v>
      </c>
      <c r="H51" s="18" t="s">
        <v>32</v>
      </c>
      <c r="I51" s="6"/>
      <c r="J51" s="19"/>
    </row>
    <row r="52" spans="1:10" ht="13.5" customHeight="1">
      <c r="A52" s="17" t="s">
        <v>34</v>
      </c>
      <c r="B52" s="1"/>
      <c r="C52" s="1"/>
      <c r="D52" s="2" t="s">
        <v>25</v>
      </c>
      <c r="E52" s="17" t="s">
        <v>71</v>
      </c>
      <c r="F52" s="1"/>
      <c r="G52" s="2" t="s">
        <v>25</v>
      </c>
      <c r="H52" s="18"/>
      <c r="I52" s="6"/>
      <c r="J52" s="40"/>
    </row>
    <row r="53" spans="1:10" ht="13.5" customHeight="1">
      <c r="A53" s="17" t="s">
        <v>885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/>
      <c r="I53" s="6"/>
      <c r="J53" s="40"/>
    </row>
    <row r="54" spans="1:10" ht="13.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40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62</v>
      </c>
      <c r="F55" s="1"/>
      <c r="G55" s="2" t="s">
        <v>25</v>
      </c>
      <c r="H55" s="18"/>
      <c r="I55" s="6"/>
      <c r="J55" s="19"/>
    </row>
    <row r="56" spans="1:10" ht="13.5" customHeight="1">
      <c r="A56" s="204" t="s">
        <v>63</v>
      </c>
      <c r="B56" s="205"/>
      <c r="C56" s="206"/>
      <c r="D56" s="229">
        <f>SUM(D49:D55)</f>
        <v>40000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100</v>
      </c>
      <c r="H57" s="21" t="s">
        <v>44</v>
      </c>
      <c r="I57" s="22"/>
      <c r="J57" s="13">
        <f>D56-G57</f>
        <v>39900</v>
      </c>
    </row>
    <row r="58" spans="1:10" ht="13.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3.5" customHeight="1">
      <c r="A60" s="3"/>
      <c r="B60" s="3" t="s">
        <v>47</v>
      </c>
      <c r="C60" s="3"/>
      <c r="D60" s="3" t="s">
        <v>73</v>
      </c>
      <c r="E60" s="3" t="s">
        <v>48</v>
      </c>
      <c r="F60" s="3"/>
      <c r="G60" s="3"/>
      <c r="H60" s="3" t="s">
        <v>49</v>
      </c>
      <c r="I60" s="3"/>
      <c r="J60" s="3"/>
    </row>
    <row r="61" spans="1:10" ht="13.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3.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3.5" customHeight="1">
      <c r="A63" s="1" t="s">
        <v>2</v>
      </c>
      <c r="B63" s="1"/>
      <c r="C63" s="194"/>
      <c r="D63" s="194"/>
      <c r="E63" s="2"/>
      <c r="F63" s="3"/>
      <c r="G63" s="1" t="s">
        <v>4</v>
      </c>
      <c r="H63" s="209" t="s">
        <v>906</v>
      </c>
      <c r="I63" s="209"/>
      <c r="J63" s="209"/>
    </row>
    <row r="64" spans="1:10" ht="13.5" customHeight="1">
      <c r="A64" s="1" t="s">
        <v>6</v>
      </c>
      <c r="B64" s="1"/>
      <c r="C64" s="25" t="s">
        <v>908</v>
      </c>
      <c r="D64" s="25"/>
      <c r="E64" s="6"/>
      <c r="F64" s="3"/>
      <c r="G64" s="1" t="s">
        <v>8</v>
      </c>
      <c r="H64" s="193" t="s">
        <v>9</v>
      </c>
      <c r="I64" s="193"/>
      <c r="J64" s="193"/>
    </row>
    <row r="65" spans="1:10" ht="13.5" customHeight="1">
      <c r="A65" s="6" t="s">
        <v>10</v>
      </c>
      <c r="B65" s="6"/>
      <c r="C65" s="194" t="s">
        <v>909</v>
      </c>
      <c r="D65" s="194"/>
      <c r="E65" s="2"/>
      <c r="F65" s="3"/>
      <c r="G65" s="1" t="s">
        <v>12</v>
      </c>
      <c r="H65" s="195" t="s">
        <v>13</v>
      </c>
      <c r="I65" s="195"/>
      <c r="J65" s="195"/>
    </row>
    <row r="66" spans="1:10" ht="13.5" customHeight="1">
      <c r="A66" s="2"/>
      <c r="B66" s="2"/>
      <c r="C66" s="2" t="s">
        <v>15</v>
      </c>
      <c r="D66" s="2"/>
      <c r="E66" s="2"/>
      <c r="F66" s="3"/>
      <c r="G66" s="1" t="s">
        <v>16</v>
      </c>
      <c r="H66" s="196" t="s">
        <v>55</v>
      </c>
      <c r="I66" s="196"/>
      <c r="J66" s="196"/>
    </row>
    <row r="67" spans="1:10" ht="13.5" customHeight="1">
      <c r="A67" s="2">
        <v>30</v>
      </c>
      <c r="B67" s="2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3.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3.5" customHeight="1">
      <c r="A69" s="17" t="s">
        <v>23</v>
      </c>
      <c r="B69" s="1"/>
      <c r="C69" s="1"/>
      <c r="D69" s="56">
        <v>30000</v>
      </c>
      <c r="E69" s="17" t="s">
        <v>28</v>
      </c>
      <c r="F69" s="1"/>
      <c r="G69" s="2" t="s">
        <v>25</v>
      </c>
      <c r="H69" s="18" t="s">
        <v>502</v>
      </c>
      <c r="I69" s="6"/>
      <c r="J69" s="19"/>
    </row>
    <row r="70" spans="1:10" ht="13.5" customHeight="1">
      <c r="A70" s="17" t="s">
        <v>57</v>
      </c>
      <c r="B70" s="209" t="s">
        <v>196</v>
      </c>
      <c r="C70" s="209"/>
      <c r="D70" s="2">
        <v>3000</v>
      </c>
      <c r="E70" s="17" t="s">
        <v>890</v>
      </c>
      <c r="F70" s="1"/>
      <c r="G70" s="2" t="s">
        <v>25</v>
      </c>
      <c r="H70" s="18" t="s">
        <v>504</v>
      </c>
      <c r="I70" s="6"/>
      <c r="J70" s="19"/>
    </row>
    <row r="71" spans="1:10" ht="13.5" customHeight="1">
      <c r="A71" s="17" t="s">
        <v>30</v>
      </c>
      <c r="B71" s="1"/>
      <c r="C71" s="1"/>
      <c r="D71" s="2" t="s">
        <v>25</v>
      </c>
      <c r="E71" s="17" t="s">
        <v>62</v>
      </c>
      <c r="F71" s="1"/>
      <c r="G71" s="2" t="s">
        <v>25</v>
      </c>
      <c r="H71" s="18" t="s">
        <v>32</v>
      </c>
      <c r="I71" s="6"/>
      <c r="J71" s="19"/>
    </row>
    <row r="72" spans="1:10" ht="13.5" customHeight="1">
      <c r="A72" s="17" t="s">
        <v>34</v>
      </c>
      <c r="B72" s="1"/>
      <c r="C72" s="1"/>
      <c r="D72" s="2" t="s">
        <v>25</v>
      </c>
      <c r="E72" s="17" t="s">
        <v>71</v>
      </c>
      <c r="F72" s="1"/>
      <c r="G72" s="2" t="s">
        <v>25</v>
      </c>
      <c r="H72" s="18"/>
      <c r="I72" s="6"/>
      <c r="J72" s="40"/>
    </row>
    <row r="73" spans="1:10" ht="13.5" customHeight="1">
      <c r="A73" s="17" t="s">
        <v>78</v>
      </c>
      <c r="B73" s="1"/>
      <c r="C73" s="1"/>
      <c r="D73" s="2" t="s">
        <v>25</v>
      </c>
      <c r="E73" s="17" t="s">
        <v>61</v>
      </c>
      <c r="F73" s="1"/>
      <c r="G73" s="2" t="s">
        <v>25</v>
      </c>
      <c r="H73" s="18" t="s">
        <v>910</v>
      </c>
      <c r="I73" s="6"/>
      <c r="J73" s="40"/>
    </row>
    <row r="74" spans="1:10" ht="13.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40"/>
    </row>
    <row r="75" spans="1:10" ht="13.5" customHeight="1">
      <c r="A75" s="18" t="s">
        <v>40</v>
      </c>
      <c r="B75" s="6"/>
      <c r="C75" s="6"/>
      <c r="D75" s="2" t="s">
        <v>25</v>
      </c>
      <c r="E75" s="17" t="s">
        <v>62</v>
      </c>
      <c r="F75" s="1"/>
      <c r="G75" s="2" t="s">
        <v>25</v>
      </c>
      <c r="H75" s="18"/>
      <c r="I75" s="6"/>
      <c r="J75" s="19"/>
    </row>
    <row r="76" spans="1:10" ht="13.5" customHeight="1">
      <c r="A76" s="204" t="s">
        <v>63</v>
      </c>
      <c r="B76" s="205"/>
      <c r="C76" s="206"/>
      <c r="D76" s="229">
        <f>SUM(D69:D75)</f>
        <v>33000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3.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32900</v>
      </c>
    </row>
    <row r="78" spans="1:10" ht="13.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3.5" customHeight="1">
      <c r="A80" s="3"/>
      <c r="B80" s="3" t="s">
        <v>47</v>
      </c>
      <c r="C80" s="3"/>
      <c r="D80" s="3" t="s">
        <v>73</v>
      </c>
      <c r="E80" s="3" t="s">
        <v>48</v>
      </c>
      <c r="F80" s="3"/>
      <c r="G80" s="3"/>
      <c r="H80" s="3" t="s">
        <v>49</v>
      </c>
      <c r="I80" s="3"/>
      <c r="J80" s="3"/>
    </row>
    <row r="81" spans="1:10" ht="13.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3.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3.5" customHeight="1">
      <c r="A83" s="1" t="s">
        <v>2</v>
      </c>
      <c r="B83" s="1"/>
      <c r="C83" s="194" t="s">
        <v>911</v>
      </c>
      <c r="D83" s="194"/>
      <c r="E83" s="2"/>
      <c r="F83" s="3"/>
      <c r="G83" s="1" t="s">
        <v>4</v>
      </c>
      <c r="H83" s="209" t="s">
        <v>912</v>
      </c>
      <c r="I83" s="209"/>
      <c r="J83" s="209"/>
    </row>
    <row r="84" spans="1:10" ht="13.5" customHeight="1">
      <c r="A84" s="1" t="s">
        <v>6</v>
      </c>
      <c r="B84" s="1"/>
      <c r="C84" s="25" t="s">
        <v>913</v>
      </c>
      <c r="D84" s="25"/>
      <c r="E84" s="6"/>
      <c r="F84" s="3"/>
      <c r="G84" s="1" t="s">
        <v>8</v>
      </c>
      <c r="H84" s="193" t="s">
        <v>9</v>
      </c>
      <c r="I84" s="193"/>
      <c r="J84" s="193"/>
    </row>
    <row r="85" spans="1:10" ht="13.5" customHeight="1">
      <c r="A85" s="6" t="s">
        <v>10</v>
      </c>
      <c r="B85" s="6"/>
      <c r="C85" s="194" t="s">
        <v>571</v>
      </c>
      <c r="D85" s="194"/>
      <c r="E85" s="2"/>
      <c r="F85" s="3"/>
      <c r="G85" s="1" t="s">
        <v>12</v>
      </c>
      <c r="H85" s="195" t="s">
        <v>13</v>
      </c>
      <c r="I85" s="195"/>
      <c r="J85" s="195"/>
    </row>
    <row r="86" spans="1:10" ht="13.5" customHeight="1">
      <c r="A86" s="2" t="s">
        <v>14</v>
      </c>
      <c r="B86" s="2"/>
      <c r="C86" s="2" t="s">
        <v>15</v>
      </c>
      <c r="D86" s="2"/>
      <c r="E86" s="2"/>
      <c r="F86" s="3"/>
      <c r="G86" s="1" t="s">
        <v>16</v>
      </c>
      <c r="H86" s="196" t="s">
        <v>429</v>
      </c>
      <c r="I86" s="196"/>
      <c r="J86" s="196"/>
    </row>
    <row r="87" spans="1:10" ht="13.5" customHeight="1">
      <c r="A87" s="2">
        <v>30</v>
      </c>
      <c r="B87" s="2"/>
      <c r="C87" s="2">
        <f>A87-I87</f>
        <v>0</v>
      </c>
      <c r="D87" s="2"/>
      <c r="E87" s="2"/>
      <c r="F87" s="3"/>
      <c r="G87" s="8" t="s">
        <v>18</v>
      </c>
      <c r="H87" s="8"/>
      <c r="I87" s="9">
        <v>30</v>
      </c>
      <c r="J87" s="9"/>
    </row>
    <row r="88" spans="1:10" ht="13.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3.5" customHeight="1">
      <c r="A89" s="17" t="s">
        <v>23</v>
      </c>
      <c r="B89" s="1"/>
      <c r="C89" s="1"/>
      <c r="D89" s="56">
        <v>30000</v>
      </c>
      <c r="E89" s="17" t="s">
        <v>24</v>
      </c>
      <c r="F89" s="1"/>
      <c r="G89" s="2" t="s">
        <v>25</v>
      </c>
      <c r="H89" s="18" t="s">
        <v>502</v>
      </c>
      <c r="I89" s="6"/>
      <c r="J89" s="19"/>
    </row>
    <row r="90" spans="1:10" ht="13.5" customHeight="1">
      <c r="A90" s="17" t="s">
        <v>77</v>
      </c>
      <c r="B90" s="209" t="s">
        <v>393</v>
      </c>
      <c r="C90" s="209"/>
      <c r="D90" s="2">
        <v>5000</v>
      </c>
      <c r="E90" s="17" t="s">
        <v>751</v>
      </c>
      <c r="F90" s="1"/>
      <c r="G90" s="2" t="s">
        <v>25</v>
      </c>
      <c r="H90" s="18" t="s">
        <v>504</v>
      </c>
      <c r="I90" s="6"/>
      <c r="J90" s="19"/>
    </row>
    <row r="91" spans="1:10" ht="13.5" customHeight="1">
      <c r="A91" s="17" t="s">
        <v>30</v>
      </c>
      <c r="B91" s="1"/>
      <c r="C91" s="1"/>
      <c r="D91" s="2" t="s">
        <v>25</v>
      </c>
      <c r="E91" s="17" t="s">
        <v>52</v>
      </c>
      <c r="F91" s="1"/>
      <c r="G91" s="2" t="s">
        <v>25</v>
      </c>
      <c r="H91" s="18" t="s">
        <v>32</v>
      </c>
      <c r="I91" s="6"/>
      <c r="J91" s="19"/>
    </row>
    <row r="92" spans="1:10" ht="13.5" customHeight="1">
      <c r="A92" s="17" t="s">
        <v>27</v>
      </c>
      <c r="B92" s="1"/>
      <c r="C92" s="1"/>
      <c r="D92" s="2" t="s">
        <v>25</v>
      </c>
      <c r="E92" s="17" t="s">
        <v>71</v>
      </c>
      <c r="F92" s="1"/>
      <c r="G92" s="2" t="s">
        <v>25</v>
      </c>
      <c r="H92" s="18"/>
      <c r="I92" s="6"/>
      <c r="J92" s="40"/>
    </row>
    <row r="93" spans="1:10" ht="13.5" customHeight="1">
      <c r="A93" s="17" t="s">
        <v>78</v>
      </c>
      <c r="B93" s="1"/>
      <c r="C93" s="1"/>
      <c r="D93" s="2" t="s">
        <v>25</v>
      </c>
      <c r="E93" s="17" t="s">
        <v>286</v>
      </c>
      <c r="F93" s="1"/>
      <c r="G93" s="2" t="s">
        <v>25</v>
      </c>
      <c r="H93" s="18" t="s">
        <v>914</v>
      </c>
      <c r="I93" s="6"/>
      <c r="J93" s="40"/>
    </row>
    <row r="94" spans="1:10" ht="13.5" customHeight="1">
      <c r="A94" s="17" t="s">
        <v>136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 t="s">
        <v>915</v>
      </c>
      <c r="I94" s="6"/>
      <c r="J94" s="40"/>
    </row>
    <row r="95" spans="1:10" ht="13.5" customHeight="1">
      <c r="A95" s="18" t="s">
        <v>40</v>
      </c>
      <c r="B95" s="6"/>
      <c r="C95" s="6"/>
      <c r="D95" s="2" t="s">
        <v>25</v>
      </c>
      <c r="E95" s="17" t="s">
        <v>78</v>
      </c>
      <c r="F95" s="1"/>
      <c r="G95" s="2" t="s">
        <v>25</v>
      </c>
      <c r="H95" s="18" t="s">
        <v>916</v>
      </c>
      <c r="I95" s="6"/>
      <c r="J95" s="19"/>
    </row>
    <row r="96" spans="1:10" ht="13.5" customHeight="1">
      <c r="A96" s="204" t="s">
        <v>63</v>
      </c>
      <c r="B96" s="205"/>
      <c r="C96" s="206"/>
      <c r="D96" s="229">
        <f>SUM(D89:D95)</f>
        <v>35000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3.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34900</v>
      </c>
    </row>
    <row r="98" spans="1:10" ht="13.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3.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" customHeight="1">
      <c r="A103" s="1" t="s">
        <v>2</v>
      </c>
      <c r="B103" s="1"/>
      <c r="C103" s="191" t="s">
        <v>917</v>
      </c>
      <c r="D103" s="191"/>
      <c r="E103" s="2"/>
      <c r="F103" s="3"/>
      <c r="G103" s="1" t="s">
        <v>4</v>
      </c>
      <c r="H103" s="209" t="s">
        <v>912</v>
      </c>
      <c r="I103" s="209"/>
      <c r="J103" s="209"/>
    </row>
    <row r="104" spans="1:10" ht="12" customHeight="1">
      <c r="A104" s="1" t="s">
        <v>6</v>
      </c>
      <c r="B104" s="6"/>
      <c r="C104" s="25" t="s">
        <v>918</v>
      </c>
      <c r="D104" s="25"/>
      <c r="E104" s="2"/>
      <c r="F104" s="3"/>
      <c r="G104" s="1" t="s">
        <v>8</v>
      </c>
      <c r="H104" s="193" t="s">
        <v>9</v>
      </c>
      <c r="I104" s="193"/>
      <c r="J104" s="193"/>
    </row>
    <row r="105" spans="1:10" ht="12" customHeight="1">
      <c r="A105" s="6" t="s">
        <v>10</v>
      </c>
      <c r="B105" s="6"/>
      <c r="C105" s="194" t="s">
        <v>466</v>
      </c>
      <c r="D105" s="194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" customHeight="1">
      <c r="A106" s="6" t="s">
        <v>14</v>
      </c>
      <c r="B106" s="6"/>
      <c r="C106" s="2" t="s">
        <v>15</v>
      </c>
      <c r="D106" s="2"/>
      <c r="E106" s="2"/>
      <c r="F106" s="3"/>
      <c r="G106" s="1" t="s">
        <v>16</v>
      </c>
      <c r="H106" s="195" t="s">
        <v>140</v>
      </c>
      <c r="I106" s="195"/>
      <c r="J106" s="195"/>
    </row>
    <row r="107" spans="1:10" ht="12" customHeight="1">
      <c r="A107" s="6">
        <v>30</v>
      </c>
      <c r="B107" s="6"/>
      <c r="C107" s="2">
        <f>A107-I107</f>
        <v>1</v>
      </c>
      <c r="D107" s="2"/>
      <c r="E107" s="2"/>
      <c r="F107" s="3"/>
      <c r="G107" s="8" t="s">
        <v>18</v>
      </c>
      <c r="H107" s="8"/>
      <c r="I107" s="9">
        <v>29</v>
      </c>
      <c r="J107" s="9"/>
    </row>
    <row r="108" spans="1:10" ht="12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" customHeight="1">
      <c r="A109" s="17" t="s">
        <v>23</v>
      </c>
      <c r="B109" s="1"/>
      <c r="C109" s="1"/>
      <c r="D109" s="2">
        <v>30000</v>
      </c>
      <c r="E109" s="17" t="s">
        <v>28</v>
      </c>
      <c r="F109" s="1"/>
      <c r="G109" s="2">
        <v>4000</v>
      </c>
      <c r="H109" s="18" t="s">
        <v>26</v>
      </c>
      <c r="I109" s="23"/>
      <c r="J109" s="24"/>
    </row>
    <row r="110" spans="1:10" ht="12" customHeight="1">
      <c r="A110" s="17" t="s">
        <v>77</v>
      </c>
      <c r="B110" s="209" t="s">
        <v>120</v>
      </c>
      <c r="C110" s="209"/>
      <c r="D110" s="2">
        <v>1000</v>
      </c>
      <c r="E110" s="17" t="s">
        <v>58</v>
      </c>
      <c r="F110" s="1"/>
      <c r="G110" s="2" t="s">
        <v>25</v>
      </c>
      <c r="H110" s="18" t="s">
        <v>29</v>
      </c>
      <c r="I110" s="23"/>
      <c r="J110" s="24"/>
    </row>
    <row r="111" spans="1:10" ht="12" customHeight="1">
      <c r="A111" s="17" t="s">
        <v>30</v>
      </c>
      <c r="B111" s="1"/>
      <c r="C111" s="1"/>
      <c r="D111" s="2" t="s">
        <v>25</v>
      </c>
      <c r="E111" s="17" t="s">
        <v>376</v>
      </c>
      <c r="F111" s="1"/>
      <c r="G111" s="2" t="s">
        <v>25</v>
      </c>
      <c r="H111" s="18" t="s">
        <v>32</v>
      </c>
      <c r="I111" s="23"/>
      <c r="J111" s="24"/>
    </row>
    <row r="112" spans="1:10" ht="12" customHeight="1">
      <c r="A112" s="17" t="s">
        <v>345</v>
      </c>
      <c r="B112" s="1"/>
      <c r="C112" s="1"/>
      <c r="D112" s="2" t="s">
        <v>25</v>
      </c>
      <c r="E112" s="17" t="s">
        <v>35</v>
      </c>
      <c r="F112" s="1"/>
      <c r="G112" s="2">
        <v>1000</v>
      </c>
      <c r="H112" s="18"/>
      <c r="I112" s="6"/>
      <c r="J112" s="40"/>
    </row>
    <row r="113" spans="1:10" ht="12" customHeight="1">
      <c r="A113" s="17" t="s">
        <v>78</v>
      </c>
      <c r="B113" s="1"/>
      <c r="C113" s="1"/>
      <c r="D113" s="2" t="s">
        <v>25</v>
      </c>
      <c r="E113" s="17" t="s">
        <v>61</v>
      </c>
      <c r="F113" s="1"/>
      <c r="G113" s="2" t="s">
        <v>25</v>
      </c>
      <c r="H113" s="18" t="s">
        <v>919</v>
      </c>
      <c r="I113" s="6"/>
      <c r="J113" s="40"/>
    </row>
    <row r="114" spans="1:10" ht="12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42"/>
      <c r="I114" s="74"/>
      <c r="J114" s="75"/>
    </row>
    <row r="115" spans="1:10" ht="12" customHeight="1">
      <c r="A115" s="18" t="s">
        <v>40</v>
      </c>
      <c r="B115" s="6"/>
      <c r="C115" s="6"/>
      <c r="D115" s="2" t="s">
        <v>25</v>
      </c>
      <c r="E115" s="17" t="s">
        <v>41</v>
      </c>
      <c r="F115" s="1"/>
      <c r="G115" s="2" t="s">
        <v>25</v>
      </c>
      <c r="H115" s="18"/>
      <c r="I115" s="6"/>
      <c r="J115" s="38"/>
    </row>
    <row r="116" spans="1:10" ht="12" customHeight="1">
      <c r="A116" s="204" t="s">
        <v>63</v>
      </c>
      <c r="B116" s="205"/>
      <c r="C116" s="206"/>
      <c r="D116" s="229">
        <f>SUM(D109:D115)</f>
        <v>31000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2" customHeight="1">
      <c r="A117" s="207"/>
      <c r="B117" s="197"/>
      <c r="C117" s="208"/>
      <c r="D117" s="230"/>
      <c r="E117" s="21" t="s">
        <v>21</v>
      </c>
      <c r="F117" s="22"/>
      <c r="G117" s="76">
        <f>SUM(G109:G116)</f>
        <v>5100</v>
      </c>
      <c r="H117" s="77" t="s">
        <v>44</v>
      </c>
      <c r="I117" s="77"/>
      <c r="J117" s="53">
        <f>D116-G117</f>
        <v>25900</v>
      </c>
    </row>
    <row r="118" spans="1:10" ht="12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32.25" customHeight="1">
      <c r="A121" s="249" t="s">
        <v>264</v>
      </c>
      <c r="B121" s="250"/>
      <c r="C121" s="250"/>
      <c r="D121" s="250"/>
      <c r="E121" s="251"/>
      <c r="F121" s="249">
        <f>J117+J97+J77+J57+J37+J17</f>
        <v>203400</v>
      </c>
      <c r="G121" s="250"/>
      <c r="H121" s="250"/>
      <c r="I121" s="250"/>
      <c r="J121" s="251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</row>
    <row r="123" spans="1:10" ht="34.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spans="1:10" ht="34.5" customHeight="1">
      <c r="A124" s="29"/>
      <c r="B124" s="29"/>
      <c r="C124" s="29"/>
      <c r="D124" s="29"/>
      <c r="E124" s="29"/>
      <c r="F124" s="30"/>
      <c r="G124" s="30"/>
      <c r="H124" s="30"/>
      <c r="I124" s="30"/>
    </row>
    <row r="125" spans="1:10" ht="34.5" customHeight="1">
      <c r="A125" s="31"/>
      <c r="B125" s="252" t="s">
        <v>265</v>
      </c>
      <c r="C125" s="252"/>
      <c r="D125" s="252"/>
      <c r="E125" s="33"/>
      <c r="F125" s="253" t="s">
        <v>266</v>
      </c>
      <c r="G125" s="253"/>
      <c r="H125" s="253"/>
      <c r="I125" s="253"/>
    </row>
    <row r="126" spans="1:10" ht="34.5" customHeight="1">
      <c r="A126" s="31"/>
      <c r="B126" s="34"/>
      <c r="C126" s="34"/>
      <c r="D126" s="34"/>
      <c r="E126" s="33"/>
      <c r="F126" s="35"/>
      <c r="G126" s="35"/>
      <c r="H126" s="35"/>
      <c r="I126" s="35"/>
    </row>
    <row r="127" spans="1:10" ht="34.5" customHeight="1">
      <c r="A127" s="31"/>
      <c r="B127" s="31"/>
      <c r="C127" s="31"/>
      <c r="D127" s="31"/>
      <c r="E127" s="31"/>
      <c r="F127" s="36"/>
      <c r="G127" s="36"/>
      <c r="H127" s="36"/>
      <c r="I127" s="36"/>
    </row>
    <row r="128" spans="1:10" ht="34.5" customHeight="1">
      <c r="A128" s="31"/>
      <c r="B128" s="55"/>
      <c r="C128" s="45" t="s">
        <v>920</v>
      </c>
      <c r="D128" s="45"/>
      <c r="E128" s="3"/>
      <c r="F128" s="346" t="s">
        <v>268</v>
      </c>
      <c r="G128" s="346"/>
      <c r="H128" s="346"/>
      <c r="I128" s="346"/>
    </row>
  </sheetData>
  <mergeCells count="83">
    <mergeCell ref="B125:D125"/>
    <mergeCell ref="F125:I125"/>
    <mergeCell ref="F128:I128"/>
    <mergeCell ref="D16:D17"/>
    <mergeCell ref="D36:D37"/>
    <mergeCell ref="D56:D57"/>
    <mergeCell ref="D76:D77"/>
    <mergeCell ref="D96:D97"/>
    <mergeCell ref="D116:D117"/>
    <mergeCell ref="A76:C77"/>
    <mergeCell ref="A96:C97"/>
    <mergeCell ref="A36:C37"/>
    <mergeCell ref="A56:C57"/>
    <mergeCell ref="A16:C17"/>
    <mergeCell ref="A116:C117"/>
    <mergeCell ref="H106:J106"/>
    <mergeCell ref="A108:C108"/>
    <mergeCell ref="H108:J108"/>
    <mergeCell ref="B110:C110"/>
    <mergeCell ref="A121:E121"/>
    <mergeCell ref="F121:J121"/>
    <mergeCell ref="C103:D103"/>
    <mergeCell ref="H103:J103"/>
    <mergeCell ref="H104:J104"/>
    <mergeCell ref="C105:D105"/>
    <mergeCell ref="H105:J105"/>
    <mergeCell ref="A88:C88"/>
    <mergeCell ref="H88:J88"/>
    <mergeCell ref="B90:C90"/>
    <mergeCell ref="A101:J101"/>
    <mergeCell ref="A102:J102"/>
    <mergeCell ref="H84:J84"/>
    <mergeCell ref="C85:D85"/>
    <mergeCell ref="H85:J85"/>
    <mergeCell ref="H86:J86"/>
    <mergeCell ref="B70:C70"/>
    <mergeCell ref="A81:J81"/>
    <mergeCell ref="A82:J82"/>
    <mergeCell ref="C83:D83"/>
    <mergeCell ref="H83:J83"/>
    <mergeCell ref="H64:J64"/>
    <mergeCell ref="C65:D65"/>
    <mergeCell ref="H65:J65"/>
    <mergeCell ref="H66:J66"/>
    <mergeCell ref="A68:C68"/>
    <mergeCell ref="H68:J68"/>
    <mergeCell ref="B50:C50"/>
    <mergeCell ref="A61:J61"/>
    <mergeCell ref="A62:J62"/>
    <mergeCell ref="C63:D63"/>
    <mergeCell ref="H63:J63"/>
    <mergeCell ref="H44:J44"/>
    <mergeCell ref="C45:D45"/>
    <mergeCell ref="H45:J45"/>
    <mergeCell ref="H46:J46"/>
    <mergeCell ref="A48:C48"/>
    <mergeCell ref="H48:J48"/>
    <mergeCell ref="B30:C30"/>
    <mergeCell ref="A41:J41"/>
    <mergeCell ref="A42:J42"/>
    <mergeCell ref="C43:D43"/>
    <mergeCell ref="H43:J43"/>
    <mergeCell ref="H24:J24"/>
    <mergeCell ref="C25:D25"/>
    <mergeCell ref="H25:J25"/>
    <mergeCell ref="H26:J26"/>
    <mergeCell ref="A28:C28"/>
    <mergeCell ref="H28:J28"/>
    <mergeCell ref="B10:C10"/>
    <mergeCell ref="A21:J21"/>
    <mergeCell ref="A22:J22"/>
    <mergeCell ref="C23:D23"/>
    <mergeCell ref="H23:J23"/>
    <mergeCell ref="C5:D5"/>
    <mergeCell ref="H5:J5"/>
    <mergeCell ref="H6:J6"/>
    <mergeCell ref="A8:C8"/>
    <mergeCell ref="H8:J8"/>
    <mergeCell ref="A1:J1"/>
    <mergeCell ref="A2:J2"/>
    <mergeCell ref="C3:D3"/>
    <mergeCell ref="H3:J3"/>
    <mergeCell ref="H4:J4"/>
  </mergeCells>
  <pageMargins left="0.7" right="0.7" top="0.75" bottom="0.75" header="0.3" footer="0.3"/>
  <pageSetup scale="86" orientation="portrait" r:id="rId1"/>
  <rowBreaks count="1" manualBreakCount="1">
    <brk id="6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L750"/>
  <sheetViews>
    <sheetView topLeftCell="A715" workbookViewId="0">
      <selection activeCell="A720" sqref="A720:J720"/>
    </sheetView>
  </sheetViews>
  <sheetFormatPr defaultColWidth="9" defaultRowHeight="15"/>
  <sheetData>
    <row r="1" spans="1:10" ht="12.7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.7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.75" customHeight="1">
      <c r="A3" s="1" t="s">
        <v>2</v>
      </c>
      <c r="B3" s="1"/>
      <c r="C3" s="209" t="s">
        <v>921</v>
      </c>
      <c r="D3" s="209"/>
      <c r="E3" s="2"/>
      <c r="F3" s="3"/>
      <c r="G3" s="1" t="s">
        <v>4</v>
      </c>
      <c r="H3" s="47"/>
      <c r="I3" s="4" t="s">
        <v>922</v>
      </c>
      <c r="J3" s="48"/>
    </row>
    <row r="4" spans="1:10" ht="12.75" customHeight="1">
      <c r="A4" s="1" t="s">
        <v>6</v>
      </c>
      <c r="B4" s="1"/>
      <c r="C4" s="196" t="s">
        <v>923</v>
      </c>
      <c r="D4" s="196"/>
      <c r="E4" s="2"/>
      <c r="F4" s="3"/>
      <c r="G4" s="1" t="s">
        <v>8</v>
      </c>
      <c r="H4" s="347" t="s">
        <v>9</v>
      </c>
      <c r="I4" s="196"/>
      <c r="J4" s="348"/>
    </row>
    <row r="5" spans="1:10" ht="12.75" customHeight="1">
      <c r="A5" s="6" t="s">
        <v>10</v>
      </c>
      <c r="B5" s="6"/>
      <c r="C5" s="209" t="s">
        <v>924</v>
      </c>
      <c r="D5" s="209"/>
      <c r="E5" s="2"/>
      <c r="F5" s="3"/>
      <c r="G5" s="1" t="s">
        <v>12</v>
      </c>
      <c r="H5" s="195" t="s">
        <v>13</v>
      </c>
      <c r="I5" s="195"/>
      <c r="J5" s="195"/>
    </row>
    <row r="6" spans="1:10" ht="12.75" customHeight="1">
      <c r="A6" s="2" t="s">
        <v>14</v>
      </c>
      <c r="B6" s="2"/>
      <c r="C6" s="2" t="s">
        <v>15</v>
      </c>
      <c r="D6" s="2"/>
      <c r="E6" s="2"/>
      <c r="F6" s="3"/>
      <c r="G6" s="1" t="s">
        <v>16</v>
      </c>
      <c r="H6" s="349" t="s">
        <v>925</v>
      </c>
      <c r="I6" s="209"/>
      <c r="J6" s="210"/>
    </row>
    <row r="7" spans="1:10" ht="12.75" customHeight="1">
      <c r="A7" s="2">
        <v>30</v>
      </c>
      <c r="B7" s="2"/>
      <c r="C7" s="2">
        <f>A7-H7</f>
        <v>0</v>
      </c>
      <c r="D7" s="2"/>
      <c r="E7" s="2"/>
      <c r="F7" s="3"/>
      <c r="G7" s="8" t="s">
        <v>18</v>
      </c>
      <c r="H7" s="350">
        <v>30</v>
      </c>
      <c r="I7" s="351"/>
      <c r="J7" s="352"/>
    </row>
    <row r="8" spans="1:10" ht="12.7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2.75" customHeight="1">
      <c r="A9" s="17" t="s">
        <v>23</v>
      </c>
      <c r="B9" s="1"/>
      <c r="C9" s="1"/>
      <c r="D9" s="2">
        <v>60000</v>
      </c>
      <c r="E9" s="17" t="s">
        <v>89</v>
      </c>
      <c r="F9" s="1"/>
      <c r="G9" s="2" t="s">
        <v>25</v>
      </c>
      <c r="H9" s="18" t="s">
        <v>502</v>
      </c>
      <c r="I9" s="6"/>
      <c r="J9" s="19"/>
    </row>
    <row r="10" spans="1:10" ht="12.75" customHeight="1">
      <c r="A10" s="17" t="s">
        <v>57</v>
      </c>
      <c r="B10" s="6"/>
      <c r="C10" s="6"/>
      <c r="D10" s="2" t="s">
        <v>25</v>
      </c>
      <c r="E10" s="17" t="s">
        <v>58</v>
      </c>
      <c r="F10" s="1"/>
      <c r="G10" s="2">
        <v>5296</v>
      </c>
      <c r="H10" s="18" t="s">
        <v>504</v>
      </c>
      <c r="I10" s="6"/>
      <c r="J10" s="19"/>
    </row>
    <row r="11" spans="1:10" ht="12.75" customHeight="1">
      <c r="A11" s="17" t="s">
        <v>926</v>
      </c>
      <c r="B11" s="1"/>
      <c r="C11" s="1"/>
      <c r="D11" s="2">
        <v>7000</v>
      </c>
      <c r="E11" s="17" t="s">
        <v>156</v>
      </c>
      <c r="F11" s="1"/>
      <c r="G11" s="2">
        <v>470</v>
      </c>
      <c r="H11" s="18" t="s">
        <v>32</v>
      </c>
      <c r="I11" s="6"/>
      <c r="J11" s="40"/>
    </row>
    <row r="12" spans="1:10" ht="12.75" customHeight="1">
      <c r="A12" s="17" t="s">
        <v>147</v>
      </c>
      <c r="B12" s="1"/>
      <c r="C12" s="1"/>
      <c r="D12" s="2" t="s">
        <v>25</v>
      </c>
      <c r="E12" s="17" t="s">
        <v>71</v>
      </c>
      <c r="F12" s="1"/>
      <c r="G12" s="2" t="s">
        <v>25</v>
      </c>
      <c r="H12" s="18"/>
      <c r="I12" s="6"/>
      <c r="J12" s="38"/>
    </row>
    <row r="13" spans="1:10" ht="12.75" customHeight="1">
      <c r="A13" s="17" t="s">
        <v>147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49"/>
      <c r="I13" s="6"/>
      <c r="J13" s="40"/>
    </row>
    <row r="14" spans="1:10" ht="12.75" customHeight="1">
      <c r="A14" s="17" t="s">
        <v>136</v>
      </c>
      <c r="B14" s="1"/>
      <c r="C14" s="1"/>
      <c r="D14" s="2">
        <v>5000</v>
      </c>
      <c r="E14" s="17" t="s">
        <v>39</v>
      </c>
      <c r="F14" s="1"/>
      <c r="G14" s="2">
        <v>100</v>
      </c>
      <c r="H14" s="18"/>
      <c r="I14" s="6"/>
      <c r="J14" s="40"/>
    </row>
    <row r="15" spans="1:10" ht="12.75" customHeight="1">
      <c r="A15" s="18" t="s">
        <v>40</v>
      </c>
      <c r="B15" s="6"/>
      <c r="C15" s="6"/>
      <c r="D15" s="2" t="s">
        <v>25</v>
      </c>
      <c r="E15" s="17" t="s">
        <v>78</v>
      </c>
      <c r="F15" s="1"/>
      <c r="G15" s="2" t="s">
        <v>25</v>
      </c>
      <c r="H15" s="50"/>
      <c r="I15" s="6"/>
      <c r="J15" s="38"/>
    </row>
    <row r="16" spans="1:10" ht="12.75" customHeight="1">
      <c r="A16" s="204" t="s">
        <v>42</v>
      </c>
      <c r="B16" s="205"/>
      <c r="C16" s="206"/>
      <c r="D16" s="229">
        <f>SUM(D9:D15)</f>
        <v>72000</v>
      </c>
      <c r="E16" s="1" t="s">
        <v>420</v>
      </c>
      <c r="F16" s="1"/>
      <c r="G16" s="2" t="s">
        <v>25</v>
      </c>
      <c r="H16" s="18"/>
      <c r="I16" s="6"/>
      <c r="J16" s="19"/>
    </row>
    <row r="17" spans="1:10" ht="12.75" customHeight="1">
      <c r="A17" s="207"/>
      <c r="B17" s="197"/>
      <c r="C17" s="208"/>
      <c r="D17" s="230"/>
      <c r="E17" s="21" t="s">
        <v>21</v>
      </c>
      <c r="F17" s="22"/>
      <c r="G17" s="13">
        <f>SUM(G9:G16)</f>
        <v>5866</v>
      </c>
      <c r="H17" s="21" t="s">
        <v>44</v>
      </c>
      <c r="I17" s="22"/>
      <c r="J17" s="13">
        <f>D16-G17</f>
        <v>66134</v>
      </c>
    </row>
    <row r="18" spans="1:10" ht="12.7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.7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2.7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.7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.75" customHeight="1">
      <c r="A23" s="1" t="s">
        <v>2</v>
      </c>
      <c r="B23" s="1"/>
      <c r="C23" s="209" t="s">
        <v>921</v>
      </c>
      <c r="D23" s="209"/>
      <c r="E23" s="2"/>
      <c r="F23" s="3"/>
      <c r="G23" s="1" t="s">
        <v>4</v>
      </c>
      <c r="H23" s="47"/>
      <c r="I23" s="4" t="s">
        <v>922</v>
      </c>
      <c r="J23" s="48"/>
    </row>
    <row r="24" spans="1:10" ht="12.75" customHeight="1">
      <c r="A24" s="1" t="s">
        <v>6</v>
      </c>
      <c r="B24" s="1"/>
      <c r="C24" s="196" t="s">
        <v>927</v>
      </c>
      <c r="D24" s="196"/>
      <c r="E24" s="2"/>
      <c r="F24" s="3"/>
      <c r="G24" s="1" t="s">
        <v>8</v>
      </c>
      <c r="H24" s="347" t="s">
        <v>9</v>
      </c>
      <c r="I24" s="196"/>
      <c r="J24" s="348"/>
    </row>
    <row r="25" spans="1:10" ht="12.75" customHeight="1">
      <c r="A25" s="6" t="s">
        <v>10</v>
      </c>
      <c r="B25" s="6"/>
      <c r="C25" s="209" t="s">
        <v>928</v>
      </c>
      <c r="D25" s="209"/>
      <c r="E25" s="2"/>
      <c r="F25" s="3"/>
      <c r="G25" s="1" t="s">
        <v>12</v>
      </c>
      <c r="H25" s="195" t="s">
        <v>13</v>
      </c>
      <c r="I25" s="195"/>
      <c r="J25" s="195"/>
    </row>
    <row r="26" spans="1:10" ht="12.7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349" t="s">
        <v>925</v>
      </c>
      <c r="I26" s="209"/>
      <c r="J26" s="210"/>
    </row>
    <row r="27" spans="1:10" ht="12.75" customHeight="1">
      <c r="A27" s="2">
        <v>30</v>
      </c>
      <c r="B27" s="2"/>
      <c r="C27" s="2">
        <f>A27-H27</f>
        <v>11</v>
      </c>
      <c r="D27" s="2"/>
      <c r="E27" s="2"/>
      <c r="F27" s="3"/>
      <c r="G27" s="8" t="s">
        <v>18</v>
      </c>
      <c r="H27" s="350">
        <v>19</v>
      </c>
      <c r="I27" s="351"/>
      <c r="J27" s="352"/>
    </row>
    <row r="28" spans="1:10" ht="12.7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2.75" customHeight="1">
      <c r="A29" s="17" t="s">
        <v>23</v>
      </c>
      <c r="B29" s="1"/>
      <c r="C29" s="1"/>
      <c r="D29" s="2">
        <v>60000</v>
      </c>
      <c r="E29" s="17" t="s">
        <v>89</v>
      </c>
      <c r="F29" s="1"/>
      <c r="G29" s="2" t="s">
        <v>25</v>
      </c>
      <c r="H29" s="18" t="s">
        <v>502</v>
      </c>
      <c r="I29" s="6"/>
      <c r="J29" s="19"/>
    </row>
    <row r="30" spans="1:10" ht="12.75" customHeight="1">
      <c r="A30" s="17" t="s">
        <v>57</v>
      </c>
      <c r="B30" s="6"/>
      <c r="C30" s="6"/>
      <c r="D30" s="2" t="s">
        <v>25</v>
      </c>
      <c r="E30" s="17" t="s">
        <v>58</v>
      </c>
      <c r="F30" s="1"/>
      <c r="G30" s="2">
        <v>794</v>
      </c>
      <c r="H30" s="18" t="s">
        <v>504</v>
      </c>
      <c r="I30" s="6"/>
      <c r="J30" s="19"/>
    </row>
    <row r="31" spans="1:10" ht="12.75" customHeight="1">
      <c r="A31" s="17" t="s">
        <v>926</v>
      </c>
      <c r="B31" s="1"/>
      <c r="C31" s="1"/>
      <c r="D31" s="2">
        <v>7000</v>
      </c>
      <c r="E31" s="17" t="s">
        <v>156</v>
      </c>
      <c r="F31" s="1"/>
      <c r="G31" s="2">
        <v>320</v>
      </c>
      <c r="H31" s="18" t="s">
        <v>32</v>
      </c>
      <c r="I31" s="6"/>
      <c r="J31" s="40"/>
    </row>
    <row r="32" spans="1:10" ht="12.75" customHeight="1">
      <c r="A32" s="17" t="s">
        <v>36</v>
      </c>
      <c r="B32" s="1"/>
      <c r="C32" s="1"/>
      <c r="D32" s="2" t="s">
        <v>25</v>
      </c>
      <c r="E32" s="17" t="s">
        <v>71</v>
      </c>
      <c r="F32" s="1"/>
      <c r="G32" s="2">
        <v>22000</v>
      </c>
      <c r="H32" s="18"/>
      <c r="I32" s="6"/>
      <c r="J32" s="38"/>
    </row>
    <row r="33" spans="1:10" ht="12.75" customHeight="1">
      <c r="A33" s="17" t="s">
        <v>1114</v>
      </c>
      <c r="B33" s="1"/>
      <c r="C33" s="1"/>
      <c r="D33" s="2">
        <v>30000</v>
      </c>
      <c r="E33" s="17" t="s">
        <v>61</v>
      </c>
      <c r="F33" s="1"/>
      <c r="G33" s="2" t="s">
        <v>25</v>
      </c>
      <c r="H33" s="49"/>
      <c r="I33" s="6"/>
      <c r="J33" s="40"/>
    </row>
    <row r="34" spans="1:10" ht="12.75" customHeight="1">
      <c r="A34" s="17" t="s">
        <v>136</v>
      </c>
      <c r="B34" s="1"/>
      <c r="C34" s="1"/>
      <c r="D34" s="2">
        <v>5000</v>
      </c>
      <c r="E34" s="17" t="s">
        <v>39</v>
      </c>
      <c r="F34" s="1"/>
      <c r="G34" s="2">
        <v>100</v>
      </c>
      <c r="H34" s="18"/>
      <c r="I34" s="6"/>
      <c r="J34" s="40"/>
    </row>
    <row r="35" spans="1:10" ht="12.75" customHeight="1">
      <c r="A35" s="18" t="s">
        <v>40</v>
      </c>
      <c r="B35" s="6"/>
      <c r="C35" s="6"/>
      <c r="D35" s="2" t="s">
        <v>25</v>
      </c>
      <c r="E35" s="17" t="s">
        <v>78</v>
      </c>
      <c r="F35" s="1"/>
      <c r="G35" s="2" t="s">
        <v>25</v>
      </c>
      <c r="H35" s="50"/>
      <c r="I35" s="6"/>
      <c r="J35" s="38"/>
    </row>
    <row r="36" spans="1:10" ht="12.75" customHeight="1">
      <c r="A36" s="204" t="s">
        <v>42</v>
      </c>
      <c r="B36" s="205"/>
      <c r="C36" s="206"/>
      <c r="D36" s="229">
        <f>SUM(D29:D35)</f>
        <v>102000</v>
      </c>
      <c r="E36" s="1" t="s">
        <v>420</v>
      </c>
      <c r="F36" s="1"/>
      <c r="G36" s="2" t="s">
        <v>25</v>
      </c>
      <c r="H36" s="18"/>
      <c r="I36" s="6"/>
      <c r="J36" s="19"/>
    </row>
    <row r="37" spans="1:10" ht="12.75" customHeight="1">
      <c r="A37" s="207"/>
      <c r="B37" s="197"/>
      <c r="C37" s="208"/>
      <c r="D37" s="230"/>
      <c r="E37" s="21" t="s">
        <v>21</v>
      </c>
      <c r="F37" s="22"/>
      <c r="G37" s="13">
        <f>SUM(G29:G36)</f>
        <v>23214</v>
      </c>
      <c r="H37" s="21" t="s">
        <v>44</v>
      </c>
      <c r="I37" s="22"/>
      <c r="J37" s="13">
        <f>D36-G37</f>
        <v>78786</v>
      </c>
    </row>
    <row r="38" spans="1:10" ht="12.7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.7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209" t="s">
        <v>929</v>
      </c>
      <c r="D43" s="209"/>
      <c r="E43" s="2"/>
      <c r="F43" s="3"/>
      <c r="G43" s="1" t="s">
        <v>4</v>
      </c>
      <c r="H43" s="193" t="s">
        <v>922</v>
      </c>
      <c r="I43" s="193"/>
      <c r="J43" s="193"/>
    </row>
    <row r="44" spans="1:10" ht="12.75" customHeight="1">
      <c r="A44" s="1" t="s">
        <v>6</v>
      </c>
      <c r="B44" s="1"/>
      <c r="C44" s="196" t="s">
        <v>930</v>
      </c>
      <c r="D44" s="196"/>
      <c r="E44" s="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6" t="s">
        <v>931</v>
      </c>
      <c r="D45" s="6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6" t="s">
        <v>14</v>
      </c>
      <c r="B46" s="6"/>
      <c r="C46" s="2" t="s">
        <v>15</v>
      </c>
      <c r="D46" s="2"/>
      <c r="E46" s="36"/>
      <c r="F46" s="3"/>
      <c r="G46" s="1" t="s">
        <v>16</v>
      </c>
      <c r="H46" s="196" t="s">
        <v>932</v>
      </c>
      <c r="I46" s="196"/>
      <c r="J46" s="196"/>
    </row>
    <row r="47" spans="1:10" ht="12.75" customHeight="1">
      <c r="A47" s="6">
        <v>30</v>
      </c>
      <c r="B47" s="6"/>
      <c r="C47" s="2">
        <f>A47-I47</f>
        <v>1</v>
      </c>
      <c r="D47" s="2"/>
      <c r="E47" s="2"/>
      <c r="F47" s="3"/>
      <c r="G47" s="8" t="s">
        <v>18</v>
      </c>
      <c r="H47" s="8"/>
      <c r="I47" s="9">
        <v>29</v>
      </c>
      <c r="J47" s="9"/>
    </row>
    <row r="48" spans="1:10" ht="12.7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/>
      <c r="I48" s="202"/>
      <c r="J48" s="203"/>
    </row>
    <row r="49" spans="1:10" ht="12.75" customHeight="1">
      <c r="A49" s="17" t="s">
        <v>23</v>
      </c>
      <c r="B49" s="1"/>
      <c r="C49" s="1"/>
      <c r="D49" s="2">
        <v>40000</v>
      </c>
      <c r="E49" s="17" t="s">
        <v>28</v>
      </c>
      <c r="F49" s="1"/>
      <c r="G49" s="2">
        <v>6000</v>
      </c>
      <c r="H49" s="18" t="s">
        <v>26</v>
      </c>
      <c r="I49" s="23"/>
      <c r="J49" s="24"/>
    </row>
    <row r="50" spans="1:10" ht="12.75" customHeight="1">
      <c r="A50" s="17" t="s">
        <v>77</v>
      </c>
      <c r="B50" s="209"/>
      <c r="C50" s="209"/>
      <c r="D50" s="2" t="s">
        <v>25</v>
      </c>
      <c r="E50" s="17" t="s">
        <v>52</v>
      </c>
      <c r="F50" s="1"/>
      <c r="G50" s="2">
        <v>70</v>
      </c>
      <c r="H50" s="18" t="s">
        <v>29</v>
      </c>
      <c r="I50" s="23"/>
      <c r="J50" s="24"/>
    </row>
    <row r="51" spans="1:10" ht="12.75" customHeight="1">
      <c r="A51" s="17" t="s">
        <v>30</v>
      </c>
      <c r="B51" s="1"/>
      <c r="C51" s="1"/>
      <c r="D51" s="2" t="s">
        <v>25</v>
      </c>
      <c r="E51" s="17" t="s">
        <v>58</v>
      </c>
      <c r="F51" s="1"/>
      <c r="G51" s="2">
        <v>1771</v>
      </c>
      <c r="H51" s="18" t="s">
        <v>32</v>
      </c>
      <c r="I51" s="23"/>
      <c r="J51" s="24"/>
    </row>
    <row r="52" spans="1:10" ht="12.75" customHeight="1">
      <c r="A52" s="17" t="s">
        <v>345</v>
      </c>
      <c r="B52" s="1"/>
      <c r="C52" s="1"/>
      <c r="D52" s="2">
        <v>5000</v>
      </c>
      <c r="E52" s="17" t="s">
        <v>35</v>
      </c>
      <c r="F52" s="1"/>
      <c r="G52" s="2">
        <v>1333</v>
      </c>
      <c r="H52" s="18"/>
      <c r="I52" s="6"/>
      <c r="J52" s="19"/>
    </row>
    <row r="53" spans="1:10" ht="12.75" customHeight="1">
      <c r="A53" s="17" t="s">
        <v>38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 t="s">
        <v>64</v>
      </c>
      <c r="I53" s="6"/>
      <c r="J53" s="27">
        <f>51607</f>
        <v>51607</v>
      </c>
    </row>
    <row r="54" spans="1:10" ht="12.75" customHeight="1">
      <c r="A54" s="17" t="s">
        <v>147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 t="s">
        <v>933</v>
      </c>
      <c r="I54" s="6"/>
      <c r="J54" s="27">
        <v>8607</v>
      </c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333</v>
      </c>
      <c r="F55" s="1"/>
      <c r="G55" s="2" t="s">
        <v>25</v>
      </c>
      <c r="H55" s="51"/>
      <c r="I55" s="6"/>
      <c r="J55" s="27"/>
    </row>
    <row r="56" spans="1:10" ht="12.75" customHeight="1">
      <c r="A56" s="204" t="s">
        <v>63</v>
      </c>
      <c r="B56" s="205"/>
      <c r="C56" s="206"/>
      <c r="D56" s="229">
        <f>SUM(D49:D55)</f>
        <v>45000</v>
      </c>
      <c r="E56" s="1" t="s">
        <v>64</v>
      </c>
      <c r="F56" s="1"/>
      <c r="G56" s="2" t="s">
        <v>25</v>
      </c>
      <c r="H56" s="18" t="s">
        <v>451</v>
      </c>
      <c r="I56" s="6"/>
      <c r="J56" s="27">
        <v>16607</v>
      </c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9274</v>
      </c>
      <c r="H57" s="21" t="s">
        <v>44</v>
      </c>
      <c r="I57" s="22"/>
      <c r="J57" s="13">
        <f>D56-G57</f>
        <v>35726</v>
      </c>
    </row>
    <row r="58" spans="1:10" ht="12.7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.75" customHeight="1"/>
    <row r="60" spans="1:10" ht="12.75" customHeight="1"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2.7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.7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.75" customHeight="1">
      <c r="A63" s="1" t="s">
        <v>2</v>
      </c>
      <c r="B63" s="1"/>
      <c r="C63" s="194" t="s">
        <v>934</v>
      </c>
      <c r="D63" s="194"/>
      <c r="E63" s="2"/>
      <c r="F63" s="3"/>
      <c r="G63" s="1" t="s">
        <v>4</v>
      </c>
      <c r="H63" s="193" t="s">
        <v>922</v>
      </c>
      <c r="I63" s="193"/>
      <c r="J63" s="193"/>
    </row>
    <row r="64" spans="1:10" ht="12.75" customHeight="1">
      <c r="A64" s="1" t="s">
        <v>6</v>
      </c>
      <c r="B64" s="1"/>
      <c r="C64" s="192" t="s">
        <v>935</v>
      </c>
      <c r="D64" s="192"/>
      <c r="E64" s="2"/>
      <c r="F64" s="3"/>
      <c r="G64" s="1" t="s">
        <v>8</v>
      </c>
      <c r="H64" s="193" t="s">
        <v>9</v>
      </c>
      <c r="I64" s="193"/>
      <c r="J64" s="193"/>
    </row>
    <row r="65" spans="1:10" ht="12.75" customHeight="1">
      <c r="A65" s="6" t="s">
        <v>10</v>
      </c>
      <c r="B65" s="6"/>
      <c r="C65" s="1" t="s">
        <v>936</v>
      </c>
      <c r="D65" s="1"/>
      <c r="E65" s="2"/>
      <c r="F65" s="3"/>
      <c r="G65" s="1" t="s">
        <v>12</v>
      </c>
      <c r="H65" s="195" t="s">
        <v>13</v>
      </c>
      <c r="I65" s="195"/>
      <c r="J65" s="195"/>
    </row>
    <row r="66" spans="1:10" ht="12.75" customHeight="1">
      <c r="A66" s="6" t="s">
        <v>14</v>
      </c>
      <c r="B66" s="6"/>
      <c r="C66" s="2" t="s">
        <v>15</v>
      </c>
      <c r="D66" s="2"/>
      <c r="E66" s="36"/>
      <c r="F66" s="3"/>
      <c r="G66" s="1" t="s">
        <v>16</v>
      </c>
      <c r="H66" s="196" t="s">
        <v>55</v>
      </c>
      <c r="I66" s="196"/>
      <c r="J66" s="196"/>
    </row>
    <row r="67" spans="1:10" ht="12.75" customHeight="1">
      <c r="A67" s="6">
        <v>30</v>
      </c>
      <c r="B67" s="6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2.7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/>
      <c r="I68" s="202"/>
      <c r="J68" s="203"/>
    </row>
    <row r="69" spans="1:10" ht="12.75" customHeight="1">
      <c r="A69" s="17" t="s">
        <v>23</v>
      </c>
      <c r="B69" s="1"/>
      <c r="C69" s="1"/>
      <c r="D69" s="2">
        <v>40000</v>
      </c>
      <c r="E69" s="17" t="s">
        <v>28</v>
      </c>
      <c r="F69" s="1"/>
      <c r="G69" s="2" t="s">
        <v>25</v>
      </c>
      <c r="H69" s="18" t="s">
        <v>26</v>
      </c>
      <c r="I69" s="23"/>
      <c r="J69" s="24"/>
    </row>
    <row r="70" spans="1:10" ht="12.75" customHeight="1">
      <c r="A70" s="17" t="s">
        <v>77</v>
      </c>
      <c r="B70" s="209"/>
      <c r="C70" s="209"/>
      <c r="D70" s="2" t="s">
        <v>25</v>
      </c>
      <c r="E70" s="17" t="s">
        <v>177</v>
      </c>
      <c r="F70" s="1"/>
      <c r="G70" s="2" t="s">
        <v>25</v>
      </c>
      <c r="H70" s="18" t="s">
        <v>29</v>
      </c>
      <c r="I70" s="23"/>
      <c r="J70" s="24"/>
    </row>
    <row r="71" spans="1:10" ht="12.75" customHeight="1">
      <c r="A71" s="17" t="s">
        <v>30</v>
      </c>
      <c r="B71" s="1"/>
      <c r="C71" s="1"/>
      <c r="D71" s="2" t="s">
        <v>25</v>
      </c>
      <c r="E71" s="17" t="s">
        <v>58</v>
      </c>
      <c r="F71" s="1"/>
      <c r="G71" s="2" t="s">
        <v>25</v>
      </c>
      <c r="H71" s="18" t="s">
        <v>32</v>
      </c>
      <c r="I71" s="23"/>
      <c r="J71" s="24"/>
    </row>
    <row r="72" spans="1:10" ht="12.75" customHeight="1">
      <c r="A72" s="17" t="s">
        <v>345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2.75" customHeight="1">
      <c r="A73" s="17" t="s">
        <v>38</v>
      </c>
      <c r="B73" s="1"/>
      <c r="C73" s="1"/>
      <c r="D73" s="2" t="s">
        <v>25</v>
      </c>
      <c r="E73" s="17" t="s">
        <v>61</v>
      </c>
      <c r="F73" s="1"/>
      <c r="G73" s="2" t="s">
        <v>25</v>
      </c>
      <c r="H73" s="18"/>
      <c r="I73" s="6"/>
      <c r="J73" s="27"/>
    </row>
    <row r="74" spans="1:10" ht="12.75" customHeight="1">
      <c r="A74" s="17" t="s">
        <v>147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27"/>
    </row>
    <row r="75" spans="1:10" ht="12.75" customHeight="1">
      <c r="A75" s="18" t="s">
        <v>40</v>
      </c>
      <c r="B75" s="6"/>
      <c r="C75" s="6"/>
      <c r="D75" s="2" t="s">
        <v>25</v>
      </c>
      <c r="E75" s="17" t="s">
        <v>333</v>
      </c>
      <c r="F75" s="1"/>
      <c r="G75" s="2" t="s">
        <v>25</v>
      </c>
      <c r="H75" s="51"/>
      <c r="I75" s="6"/>
      <c r="J75" s="27"/>
    </row>
    <row r="76" spans="1:10" ht="12.75" customHeight="1">
      <c r="A76" s="204" t="s">
        <v>63</v>
      </c>
      <c r="B76" s="205"/>
      <c r="C76" s="206"/>
      <c r="D76" s="229">
        <f>SUM(D69:D75)</f>
        <v>40000</v>
      </c>
      <c r="E76" s="1" t="s">
        <v>64</v>
      </c>
      <c r="F76" s="1"/>
      <c r="G76" s="2" t="s">
        <v>25</v>
      </c>
      <c r="H76" s="18"/>
      <c r="I76" s="6"/>
      <c r="J76" s="27"/>
    </row>
    <row r="77" spans="1:10" ht="12.7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39900</v>
      </c>
    </row>
    <row r="78" spans="1:10" ht="12.7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2.75" customHeight="1"/>
    <row r="80" spans="1:10" ht="12.75" customHeight="1"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2" ht="12.7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2" ht="12.7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2" ht="12.75" customHeight="1">
      <c r="A83" s="1" t="s">
        <v>2</v>
      </c>
      <c r="B83" s="1"/>
      <c r="C83" s="191" t="s">
        <v>937</v>
      </c>
      <c r="D83" s="191"/>
      <c r="E83" s="2"/>
      <c r="F83" s="3"/>
      <c r="G83" s="1" t="s">
        <v>4</v>
      </c>
      <c r="H83" s="209" t="s">
        <v>938</v>
      </c>
      <c r="I83" s="209"/>
      <c r="J83" s="209"/>
    </row>
    <row r="84" spans="1:12" ht="12.75" customHeight="1">
      <c r="A84" s="1" t="s">
        <v>6</v>
      </c>
      <c r="B84" s="1"/>
      <c r="C84" s="25" t="s">
        <v>939</v>
      </c>
      <c r="D84" s="25"/>
      <c r="E84" s="2"/>
      <c r="F84" s="3"/>
      <c r="G84" s="1" t="s">
        <v>8</v>
      </c>
      <c r="H84" s="193" t="s">
        <v>9</v>
      </c>
      <c r="I84" s="193"/>
      <c r="J84" s="193"/>
    </row>
    <row r="85" spans="1:12" ht="12.75" customHeight="1">
      <c r="A85" s="6" t="s">
        <v>10</v>
      </c>
      <c r="B85" s="6"/>
      <c r="C85" s="6" t="s">
        <v>940</v>
      </c>
      <c r="D85" s="6"/>
      <c r="E85" s="2"/>
      <c r="F85" s="3"/>
      <c r="G85" s="1" t="s">
        <v>12</v>
      </c>
      <c r="H85" s="195" t="s">
        <v>13</v>
      </c>
      <c r="I85" s="195"/>
      <c r="J85" s="195"/>
    </row>
    <row r="86" spans="1:12" ht="12.75" customHeight="1">
      <c r="A86" s="2" t="s">
        <v>14</v>
      </c>
      <c r="B86" s="2"/>
      <c r="C86" s="2" t="s">
        <v>15</v>
      </c>
      <c r="D86" s="2"/>
      <c r="E86" s="2"/>
      <c r="F86" s="3"/>
      <c r="G86" s="1" t="s">
        <v>16</v>
      </c>
      <c r="H86" s="196" t="s">
        <v>140</v>
      </c>
      <c r="I86" s="196"/>
      <c r="J86" s="196"/>
    </row>
    <row r="87" spans="1:12" ht="12.75" customHeight="1">
      <c r="A87" s="2">
        <v>30</v>
      </c>
      <c r="B87" s="2"/>
      <c r="C87" s="2">
        <f>A87-H87</f>
        <v>0</v>
      </c>
      <c r="D87" s="2"/>
      <c r="E87" s="2"/>
      <c r="F87" s="3"/>
      <c r="G87" s="8" t="s">
        <v>18</v>
      </c>
      <c r="H87" s="197">
        <v>30</v>
      </c>
      <c r="I87" s="197"/>
      <c r="J87" s="197"/>
    </row>
    <row r="88" spans="1:12" ht="12.7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2" ht="12.75" customHeight="1">
      <c r="A89" s="17" t="s">
        <v>23</v>
      </c>
      <c r="B89" s="1"/>
      <c r="C89" s="1"/>
      <c r="D89" s="2">
        <v>45000</v>
      </c>
      <c r="E89" s="17" t="s">
        <v>24</v>
      </c>
      <c r="F89" s="1"/>
      <c r="G89" s="2" t="s">
        <v>25</v>
      </c>
      <c r="H89" s="18" t="s">
        <v>502</v>
      </c>
      <c r="I89" s="6"/>
      <c r="J89" s="19"/>
    </row>
    <row r="90" spans="1:12" ht="12.75" customHeight="1">
      <c r="A90" s="17" t="s">
        <v>77</v>
      </c>
      <c r="B90" s="209"/>
      <c r="C90" s="209"/>
      <c r="D90" s="2" t="s">
        <v>25</v>
      </c>
      <c r="E90" s="17" t="s">
        <v>28</v>
      </c>
      <c r="F90" s="1"/>
      <c r="G90" s="2" t="s">
        <v>25</v>
      </c>
      <c r="H90" s="18" t="s">
        <v>504</v>
      </c>
      <c r="I90" s="6"/>
      <c r="J90" s="19"/>
    </row>
    <row r="91" spans="1:12" ht="12.75" customHeight="1">
      <c r="A91" s="17" t="s">
        <v>30</v>
      </c>
      <c r="B91" s="1"/>
      <c r="C91" s="1"/>
      <c r="D91" s="2" t="s">
        <v>25</v>
      </c>
      <c r="E91" s="17" t="s">
        <v>52</v>
      </c>
      <c r="F91" s="1"/>
      <c r="G91" s="2">
        <v>160</v>
      </c>
      <c r="H91" s="18" t="s">
        <v>32</v>
      </c>
      <c r="I91" s="6"/>
      <c r="J91" s="19"/>
      <c r="L91" s="2"/>
    </row>
    <row r="92" spans="1:12" ht="12.75" customHeight="1">
      <c r="A92" s="17" t="s">
        <v>435</v>
      </c>
      <c r="B92" s="1"/>
      <c r="C92" s="1"/>
      <c r="D92" s="2">
        <v>10000</v>
      </c>
      <c r="E92" s="17" t="s">
        <v>71</v>
      </c>
      <c r="F92" s="1"/>
      <c r="G92" s="2" t="s">
        <v>25</v>
      </c>
      <c r="H92" s="18"/>
      <c r="I92" s="36"/>
      <c r="J92" s="19"/>
    </row>
    <row r="93" spans="1:12" ht="12.75" customHeight="1">
      <c r="A93" s="17" t="s">
        <v>72</v>
      </c>
      <c r="B93" s="1"/>
      <c r="C93" s="1"/>
      <c r="D93" s="2" t="s">
        <v>25</v>
      </c>
      <c r="E93" s="17" t="s">
        <v>61</v>
      </c>
      <c r="F93" s="1"/>
      <c r="G93" s="2" t="s">
        <v>25</v>
      </c>
      <c r="H93" s="18"/>
      <c r="I93" s="6"/>
      <c r="J93" s="19"/>
    </row>
    <row r="94" spans="1:12" ht="12.75" customHeight="1">
      <c r="A94" s="17" t="s">
        <v>1114</v>
      </c>
      <c r="B94" s="1"/>
      <c r="C94" s="1"/>
      <c r="D94" s="2">
        <v>2300</v>
      </c>
      <c r="E94" s="17" t="s">
        <v>39</v>
      </c>
      <c r="F94" s="1"/>
      <c r="G94" s="2">
        <v>100</v>
      </c>
      <c r="H94" s="18"/>
      <c r="I94" s="6"/>
      <c r="J94" s="19"/>
    </row>
    <row r="95" spans="1:12" ht="12.75" customHeight="1">
      <c r="A95" s="18" t="s">
        <v>40</v>
      </c>
      <c r="B95" s="6"/>
      <c r="C95" s="6"/>
      <c r="D95" s="2" t="s">
        <v>25</v>
      </c>
      <c r="E95" s="17" t="s">
        <v>41</v>
      </c>
      <c r="F95" s="1"/>
      <c r="G95" s="2" t="s">
        <v>25</v>
      </c>
      <c r="H95" s="18"/>
      <c r="I95" s="6"/>
      <c r="J95" s="19"/>
    </row>
    <row r="96" spans="1:12" ht="12.75" customHeight="1">
      <c r="A96" s="204" t="s">
        <v>42</v>
      </c>
      <c r="B96" s="205"/>
      <c r="C96" s="206"/>
      <c r="D96" s="229">
        <f>SUM(D89:D95)</f>
        <v>57300</v>
      </c>
      <c r="E96" s="1" t="s">
        <v>78</v>
      </c>
      <c r="F96" s="1"/>
      <c r="G96" s="2" t="s">
        <v>25</v>
      </c>
      <c r="H96" s="18"/>
      <c r="I96" s="6"/>
      <c r="J96" s="19"/>
    </row>
    <row r="97" spans="1:10" ht="12.75" customHeight="1">
      <c r="A97" s="207"/>
      <c r="B97" s="197"/>
      <c r="C97" s="208"/>
      <c r="D97" s="230"/>
      <c r="E97" s="21" t="s">
        <v>21</v>
      </c>
      <c r="F97" s="22"/>
      <c r="G97" s="13">
        <f>SUM(G89:G96)</f>
        <v>260</v>
      </c>
      <c r="H97" s="21" t="s">
        <v>44</v>
      </c>
      <c r="I97" s="22"/>
      <c r="J97" s="13">
        <f>D96-G97</f>
        <v>57040</v>
      </c>
    </row>
    <row r="98" spans="1:10" ht="12.7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2.7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.7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.7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.75" customHeight="1">
      <c r="A103" s="1" t="s">
        <v>2</v>
      </c>
      <c r="B103" s="1"/>
      <c r="C103" s="194" t="s">
        <v>937</v>
      </c>
      <c r="D103" s="194"/>
      <c r="E103" s="2"/>
      <c r="F103" s="3"/>
      <c r="G103" s="1" t="s">
        <v>4</v>
      </c>
      <c r="H103" s="209" t="s">
        <v>938</v>
      </c>
      <c r="I103" s="209"/>
      <c r="J103" s="209"/>
    </row>
    <row r="104" spans="1:10" ht="12.75" customHeight="1">
      <c r="A104" s="1" t="s">
        <v>6</v>
      </c>
      <c r="B104" s="1"/>
      <c r="C104" s="25" t="s">
        <v>941</v>
      </c>
      <c r="D104" s="25"/>
      <c r="E104" s="2"/>
      <c r="F104" s="3"/>
      <c r="G104" s="1" t="s">
        <v>8</v>
      </c>
      <c r="H104" s="193" t="s">
        <v>9</v>
      </c>
      <c r="I104" s="193"/>
      <c r="J104" s="193"/>
    </row>
    <row r="105" spans="1:10" ht="12.75" customHeight="1">
      <c r="A105" s="6" t="s">
        <v>10</v>
      </c>
      <c r="B105" s="6"/>
      <c r="C105" s="6" t="s">
        <v>942</v>
      </c>
      <c r="D105" s="6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.75" customHeight="1">
      <c r="A106" s="2" t="s">
        <v>14</v>
      </c>
      <c r="B106" s="2"/>
      <c r="C106" s="2" t="s">
        <v>15</v>
      </c>
      <c r="D106" s="2"/>
      <c r="E106" s="2"/>
      <c r="F106" s="3"/>
      <c r="G106" s="1" t="s">
        <v>16</v>
      </c>
      <c r="H106" s="196" t="s">
        <v>140</v>
      </c>
      <c r="I106" s="196"/>
      <c r="J106" s="196"/>
    </row>
    <row r="107" spans="1:10" ht="12.75" customHeight="1">
      <c r="A107" s="2">
        <v>30</v>
      </c>
      <c r="B107" s="2"/>
      <c r="C107" s="2">
        <f>A107-H107</f>
        <v>0</v>
      </c>
      <c r="D107" s="2"/>
      <c r="E107" s="2"/>
      <c r="F107" s="3"/>
      <c r="G107" s="8" t="s">
        <v>18</v>
      </c>
      <c r="H107" s="197">
        <v>30</v>
      </c>
      <c r="I107" s="197"/>
      <c r="J107" s="197"/>
    </row>
    <row r="108" spans="1:10" ht="12.7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.75" customHeight="1">
      <c r="A109" s="17" t="s">
        <v>23</v>
      </c>
      <c r="B109" s="1"/>
      <c r="C109" s="1"/>
      <c r="D109" s="2">
        <v>30000</v>
      </c>
      <c r="E109" s="17" t="s">
        <v>24</v>
      </c>
      <c r="F109" s="1"/>
      <c r="G109" s="2" t="s">
        <v>25</v>
      </c>
      <c r="H109" s="18" t="s">
        <v>502</v>
      </c>
      <c r="I109" s="6"/>
      <c r="J109" s="19"/>
    </row>
    <row r="110" spans="1:10" ht="12.75" customHeight="1">
      <c r="A110" s="17" t="s">
        <v>77</v>
      </c>
      <c r="B110" s="209"/>
      <c r="C110" s="209"/>
      <c r="D110" s="2" t="s">
        <v>25</v>
      </c>
      <c r="E110" s="17" t="s">
        <v>28</v>
      </c>
      <c r="F110" s="1"/>
      <c r="G110" s="2" t="s">
        <v>25</v>
      </c>
      <c r="H110" s="18" t="s">
        <v>504</v>
      </c>
      <c r="I110" s="6"/>
      <c r="J110" s="19"/>
    </row>
    <row r="111" spans="1:10" ht="12.75" customHeight="1">
      <c r="A111" s="17" t="s">
        <v>30</v>
      </c>
      <c r="B111" s="1"/>
      <c r="C111" s="1"/>
      <c r="D111" s="2" t="s">
        <v>25</v>
      </c>
      <c r="E111" s="17" t="s">
        <v>52</v>
      </c>
      <c r="F111" s="1"/>
      <c r="G111" s="2" t="s">
        <v>25</v>
      </c>
      <c r="H111" s="18" t="s">
        <v>32</v>
      </c>
      <c r="I111" s="6"/>
      <c r="J111" s="19"/>
    </row>
    <row r="112" spans="1:10" ht="12.75" customHeight="1">
      <c r="A112" s="17" t="s">
        <v>435</v>
      </c>
      <c r="B112" s="1"/>
      <c r="C112" s="1"/>
      <c r="D112" s="2" t="s">
        <v>25</v>
      </c>
      <c r="E112" s="17" t="s">
        <v>71</v>
      </c>
      <c r="F112" s="1"/>
      <c r="G112" s="2" t="s">
        <v>25</v>
      </c>
      <c r="H112" s="18"/>
      <c r="I112" s="36"/>
      <c r="J112" s="19"/>
    </row>
    <row r="113" spans="1:10" ht="12.75" customHeight="1">
      <c r="A113" s="17" t="s">
        <v>72</v>
      </c>
      <c r="B113" s="1"/>
      <c r="C113" s="1"/>
      <c r="D113" s="2" t="s">
        <v>25</v>
      </c>
      <c r="E113" s="17" t="s">
        <v>61</v>
      </c>
      <c r="F113" s="1"/>
      <c r="G113" s="2" t="s">
        <v>25</v>
      </c>
      <c r="H113" s="18"/>
      <c r="I113" s="6"/>
      <c r="J113" s="19"/>
    </row>
    <row r="114" spans="1:10" ht="12.75" customHeight="1">
      <c r="A114" s="17" t="s">
        <v>147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18"/>
      <c r="I114" s="6"/>
      <c r="J114" s="19"/>
    </row>
    <row r="115" spans="1:10" ht="12.75" customHeight="1">
      <c r="A115" s="18" t="s">
        <v>40</v>
      </c>
      <c r="B115" s="6"/>
      <c r="C115" s="6"/>
      <c r="D115" s="2" t="s">
        <v>25</v>
      </c>
      <c r="E115" s="17" t="s">
        <v>41</v>
      </c>
      <c r="F115" s="1"/>
      <c r="G115" s="2" t="s">
        <v>25</v>
      </c>
      <c r="H115" s="18"/>
      <c r="I115" s="6"/>
      <c r="J115" s="19"/>
    </row>
    <row r="116" spans="1:10" ht="12.75" customHeight="1">
      <c r="A116" s="204" t="s">
        <v>42</v>
      </c>
      <c r="B116" s="205"/>
      <c r="C116" s="206"/>
      <c r="D116" s="229">
        <f>SUM(D109:D115)</f>
        <v>30000</v>
      </c>
      <c r="E116" s="1" t="s">
        <v>78</v>
      </c>
      <c r="F116" s="1"/>
      <c r="G116" s="2" t="s">
        <v>25</v>
      </c>
      <c r="H116" s="18"/>
      <c r="I116" s="6"/>
      <c r="J116" s="19"/>
    </row>
    <row r="117" spans="1:10" ht="12.7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100</v>
      </c>
      <c r="H117" s="21" t="s">
        <v>44</v>
      </c>
      <c r="I117" s="22"/>
      <c r="J117" s="13">
        <v>30000</v>
      </c>
    </row>
    <row r="118" spans="1:10" ht="12.7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.7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2.7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2.7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2.75" customHeight="1">
      <c r="A123" s="1" t="s">
        <v>2</v>
      </c>
      <c r="B123" s="1"/>
      <c r="C123" s="194" t="s">
        <v>500</v>
      </c>
      <c r="D123" s="194"/>
      <c r="E123" s="2"/>
      <c r="F123" s="3"/>
      <c r="G123" s="1" t="s">
        <v>4</v>
      </c>
      <c r="H123" s="209" t="s">
        <v>938</v>
      </c>
      <c r="I123" s="209"/>
      <c r="J123" s="209"/>
    </row>
    <row r="124" spans="1:10" ht="12.75" customHeight="1">
      <c r="A124" s="1" t="s">
        <v>6</v>
      </c>
      <c r="B124" s="1"/>
      <c r="C124" s="192" t="s">
        <v>943</v>
      </c>
      <c r="D124" s="192"/>
      <c r="E124" s="2"/>
      <c r="F124" s="3"/>
      <c r="G124" s="1" t="s">
        <v>8</v>
      </c>
      <c r="H124" s="193" t="s">
        <v>9</v>
      </c>
      <c r="I124" s="193"/>
      <c r="J124" s="193"/>
    </row>
    <row r="125" spans="1:10" ht="12.75" customHeight="1">
      <c r="A125" s="6" t="s">
        <v>10</v>
      </c>
      <c r="B125" s="6"/>
      <c r="C125" s="6" t="s">
        <v>944</v>
      </c>
      <c r="D125" s="6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2.75" customHeight="1">
      <c r="A126" s="2" t="s">
        <v>14</v>
      </c>
      <c r="B126" s="2"/>
      <c r="C126" s="2" t="s">
        <v>15</v>
      </c>
      <c r="D126" s="2"/>
      <c r="E126" s="2"/>
      <c r="F126" s="3"/>
      <c r="G126" s="1" t="s">
        <v>16</v>
      </c>
      <c r="H126" s="196" t="s">
        <v>945</v>
      </c>
      <c r="I126" s="196"/>
      <c r="J126" s="196"/>
    </row>
    <row r="127" spans="1:10" ht="12.75" customHeight="1">
      <c r="A127" s="2">
        <v>30</v>
      </c>
      <c r="B127" s="2"/>
      <c r="C127" s="2">
        <f>A127-H127</f>
        <v>0</v>
      </c>
      <c r="D127" s="2"/>
      <c r="E127" s="2"/>
      <c r="F127" s="3"/>
      <c r="G127" s="8" t="s">
        <v>18</v>
      </c>
      <c r="H127" s="197">
        <v>30</v>
      </c>
      <c r="I127" s="197"/>
      <c r="J127" s="197"/>
    </row>
    <row r="128" spans="1:10" ht="12.7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2.75" customHeight="1">
      <c r="A129" s="17" t="s">
        <v>23</v>
      </c>
      <c r="B129" s="1"/>
      <c r="C129" s="1"/>
      <c r="D129" s="2">
        <v>27000</v>
      </c>
      <c r="E129" s="17" t="s">
        <v>24</v>
      </c>
      <c r="F129" s="1"/>
      <c r="G129" s="2" t="s">
        <v>25</v>
      </c>
      <c r="H129" s="18" t="s">
        <v>502</v>
      </c>
      <c r="I129" s="6"/>
      <c r="J129" s="19"/>
    </row>
    <row r="130" spans="1:10" ht="12.75" customHeight="1">
      <c r="A130" s="17" t="s">
        <v>77</v>
      </c>
      <c r="B130" s="209"/>
      <c r="C130" s="209"/>
      <c r="D130" s="2" t="s">
        <v>25</v>
      </c>
      <c r="E130" s="17" t="s">
        <v>28</v>
      </c>
      <c r="F130" s="1"/>
      <c r="G130" s="2" t="s">
        <v>25</v>
      </c>
      <c r="H130" s="18" t="s">
        <v>504</v>
      </c>
      <c r="I130" s="6"/>
      <c r="J130" s="19"/>
    </row>
    <row r="131" spans="1:10" ht="12.75" customHeight="1">
      <c r="A131" s="17" t="s">
        <v>30</v>
      </c>
      <c r="B131" s="1"/>
      <c r="C131" s="1"/>
      <c r="D131" s="2" t="s">
        <v>25</v>
      </c>
      <c r="E131" s="17" t="s">
        <v>52</v>
      </c>
      <c r="F131" s="1"/>
      <c r="G131" s="2">
        <v>180</v>
      </c>
      <c r="H131" s="18" t="s">
        <v>32</v>
      </c>
      <c r="I131" s="6"/>
      <c r="J131" s="19"/>
    </row>
    <row r="132" spans="1:10" ht="12.75" customHeight="1">
      <c r="A132" s="17" t="s">
        <v>435</v>
      </c>
      <c r="B132" s="1"/>
      <c r="C132" s="1"/>
      <c r="D132" s="2">
        <v>3000</v>
      </c>
      <c r="E132" s="17" t="s">
        <v>71</v>
      </c>
      <c r="F132" s="1"/>
      <c r="G132" s="2" t="s">
        <v>25</v>
      </c>
      <c r="H132" s="18"/>
      <c r="I132" s="36"/>
      <c r="J132" s="19"/>
    </row>
    <row r="133" spans="1:10" ht="12.75" customHeight="1">
      <c r="A133" s="17" t="s">
        <v>72</v>
      </c>
      <c r="B133" s="1"/>
      <c r="C133" s="1"/>
      <c r="D133" s="2">
        <v>1600</v>
      </c>
      <c r="E133" s="17" t="s">
        <v>61</v>
      </c>
      <c r="F133" s="1"/>
      <c r="G133" s="2" t="s">
        <v>25</v>
      </c>
      <c r="H133" s="18"/>
      <c r="I133" s="6"/>
      <c r="J133" s="19"/>
    </row>
    <row r="134" spans="1:10" ht="12.75" customHeight="1">
      <c r="A134" s="17" t="s">
        <v>78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8"/>
      <c r="I134" s="6"/>
      <c r="J134" s="19"/>
    </row>
    <row r="135" spans="1:10" ht="12.75" customHeight="1">
      <c r="A135" s="18" t="s">
        <v>40</v>
      </c>
      <c r="B135" s="6"/>
      <c r="C135" s="6"/>
      <c r="D135" s="2" t="s">
        <v>25</v>
      </c>
      <c r="E135" s="17" t="s">
        <v>41</v>
      </c>
      <c r="F135" s="1"/>
      <c r="G135" s="2" t="s">
        <v>25</v>
      </c>
      <c r="H135" s="18"/>
      <c r="I135" s="6"/>
      <c r="J135" s="19"/>
    </row>
    <row r="136" spans="1:10" ht="12.75" customHeight="1">
      <c r="A136" s="204" t="s">
        <v>42</v>
      </c>
      <c r="B136" s="205"/>
      <c r="C136" s="206"/>
      <c r="D136" s="229">
        <f>SUM(D129:D135)</f>
        <v>31600</v>
      </c>
      <c r="E136" s="1" t="s">
        <v>78</v>
      </c>
      <c r="F136" s="1"/>
      <c r="G136" s="2" t="s">
        <v>25</v>
      </c>
      <c r="H136" s="18"/>
      <c r="I136" s="6"/>
      <c r="J136" s="19"/>
    </row>
    <row r="137" spans="1:10" ht="12.7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280</v>
      </c>
      <c r="H137" s="21" t="s">
        <v>44</v>
      </c>
      <c r="I137" s="22"/>
      <c r="J137" s="13">
        <f>D136-G137</f>
        <v>31320</v>
      </c>
    </row>
    <row r="138" spans="1:10" ht="12.7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2.75" customHeight="1">
      <c r="A140" s="3"/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2.7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2.7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2.75" customHeight="1">
      <c r="A143" s="1" t="s">
        <v>2</v>
      </c>
      <c r="B143" s="1"/>
      <c r="C143" s="194" t="s">
        <v>500</v>
      </c>
      <c r="D143" s="194"/>
      <c r="E143" s="2"/>
      <c r="F143" s="3"/>
      <c r="G143" s="1" t="s">
        <v>4</v>
      </c>
      <c r="H143" s="209" t="s">
        <v>938</v>
      </c>
      <c r="I143" s="209"/>
      <c r="J143" s="209"/>
    </row>
    <row r="144" spans="1:10" ht="12.75" customHeight="1">
      <c r="A144" s="1" t="s">
        <v>6</v>
      </c>
      <c r="B144" s="1"/>
      <c r="C144" s="192" t="s">
        <v>946</v>
      </c>
      <c r="D144" s="192"/>
      <c r="E144" s="2"/>
      <c r="F144" s="3"/>
      <c r="G144" s="1" t="s">
        <v>8</v>
      </c>
      <c r="H144" s="193" t="s">
        <v>9</v>
      </c>
      <c r="I144" s="193"/>
      <c r="J144" s="193"/>
    </row>
    <row r="145" spans="1:10" ht="12.75" customHeight="1">
      <c r="A145" s="6" t="s">
        <v>10</v>
      </c>
      <c r="B145" s="6"/>
      <c r="C145" s="6" t="s">
        <v>944</v>
      </c>
      <c r="D145" s="6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2.75" customHeight="1">
      <c r="A146" s="2" t="s">
        <v>14</v>
      </c>
      <c r="B146" s="2"/>
      <c r="C146" s="2" t="s">
        <v>15</v>
      </c>
      <c r="D146" s="2"/>
      <c r="E146" s="2"/>
      <c r="F146" s="3"/>
      <c r="G146" s="1" t="s">
        <v>16</v>
      </c>
      <c r="H146" s="196" t="s">
        <v>945</v>
      </c>
      <c r="I146" s="196"/>
      <c r="J146" s="196"/>
    </row>
    <row r="147" spans="1:10" ht="12.75" customHeight="1">
      <c r="A147" s="2">
        <v>30</v>
      </c>
      <c r="B147" s="2"/>
      <c r="C147" s="2">
        <f>A147-H147</f>
        <v>0</v>
      </c>
      <c r="D147" s="2"/>
      <c r="E147" s="2"/>
      <c r="F147" s="3"/>
      <c r="G147" s="8" t="s">
        <v>18</v>
      </c>
      <c r="H147" s="197">
        <v>30</v>
      </c>
      <c r="I147" s="197"/>
      <c r="J147" s="197"/>
    </row>
    <row r="148" spans="1:10" ht="12.7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2.75" customHeight="1">
      <c r="A149" s="17" t="s">
        <v>23</v>
      </c>
      <c r="B149" s="1"/>
      <c r="C149" s="1"/>
      <c r="D149" s="2">
        <v>25000</v>
      </c>
      <c r="E149" s="17" t="s">
        <v>24</v>
      </c>
      <c r="F149" s="1"/>
      <c r="G149" s="2" t="s">
        <v>25</v>
      </c>
      <c r="H149" s="18" t="s">
        <v>502</v>
      </c>
      <c r="I149" s="6"/>
      <c r="J149" s="19"/>
    </row>
    <row r="150" spans="1:10" ht="12.75" customHeight="1">
      <c r="A150" s="17" t="s">
        <v>77</v>
      </c>
      <c r="B150" s="209"/>
      <c r="C150" s="209"/>
      <c r="D150" s="2" t="s">
        <v>25</v>
      </c>
      <c r="E150" s="17" t="s">
        <v>58</v>
      </c>
      <c r="F150" s="1"/>
      <c r="G150" s="2">
        <v>892</v>
      </c>
      <c r="H150" s="18" t="s">
        <v>504</v>
      </c>
      <c r="I150" s="6"/>
      <c r="J150" s="19"/>
    </row>
    <row r="151" spans="1:10" ht="12.75" customHeight="1">
      <c r="A151" s="17" t="s">
        <v>30</v>
      </c>
      <c r="B151" s="1"/>
      <c r="C151" s="1"/>
      <c r="D151" s="2" t="s">
        <v>25</v>
      </c>
      <c r="E151" s="17" t="s">
        <v>52</v>
      </c>
      <c r="F151" s="1"/>
      <c r="G151" s="2">
        <v>620</v>
      </c>
      <c r="H151" s="18" t="s">
        <v>32</v>
      </c>
      <c r="I151" s="6"/>
      <c r="J151" s="19"/>
    </row>
    <row r="152" spans="1:10" ht="12.75" customHeight="1">
      <c r="A152" s="17" t="s">
        <v>435</v>
      </c>
      <c r="B152" s="1"/>
      <c r="C152" s="1"/>
      <c r="D152" s="2">
        <v>5000</v>
      </c>
      <c r="E152" s="17" t="s">
        <v>71</v>
      </c>
      <c r="F152" s="1"/>
      <c r="G152" s="2" t="s">
        <v>25</v>
      </c>
      <c r="H152" s="18"/>
      <c r="I152" s="36"/>
      <c r="J152" s="19"/>
    </row>
    <row r="153" spans="1:10" ht="12.75" customHeight="1">
      <c r="A153" s="17" t="s">
        <v>72</v>
      </c>
      <c r="B153" s="1"/>
      <c r="C153" s="1"/>
      <c r="D153" s="2" t="s">
        <v>25</v>
      </c>
      <c r="E153" s="17" t="s">
        <v>61</v>
      </c>
      <c r="F153" s="1"/>
      <c r="G153" s="2" t="s">
        <v>25</v>
      </c>
      <c r="H153" s="18"/>
      <c r="I153" s="6"/>
      <c r="J153" s="19"/>
    </row>
    <row r="154" spans="1:10" ht="12.75" customHeight="1">
      <c r="A154" s="17" t="s">
        <v>78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2.75" customHeight="1">
      <c r="A155" s="18" t="s">
        <v>40</v>
      </c>
      <c r="B155" s="6"/>
      <c r="C155" s="6"/>
      <c r="D155" s="2" t="s">
        <v>25</v>
      </c>
      <c r="E155" s="17" t="s">
        <v>41</v>
      </c>
      <c r="F155" s="1"/>
      <c r="G155" s="2" t="s">
        <v>25</v>
      </c>
      <c r="H155" s="18"/>
      <c r="I155" s="6"/>
      <c r="J155" s="19"/>
    </row>
    <row r="156" spans="1:10" ht="12.75" customHeight="1">
      <c r="A156" s="204" t="s">
        <v>42</v>
      </c>
      <c r="B156" s="205"/>
      <c r="C156" s="206"/>
      <c r="D156" s="229">
        <f>SUM(D149:D155)</f>
        <v>30000</v>
      </c>
      <c r="E156" s="1" t="s">
        <v>78</v>
      </c>
      <c r="F156" s="1"/>
      <c r="G156" s="2" t="s">
        <v>25</v>
      </c>
      <c r="H156" s="18"/>
      <c r="I156" s="6"/>
      <c r="J156" s="19"/>
    </row>
    <row r="157" spans="1:10" ht="12.7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1612</v>
      </c>
      <c r="H157" s="21" t="s">
        <v>44</v>
      </c>
      <c r="I157" s="22"/>
      <c r="J157" s="13">
        <f>D156-G157</f>
        <v>28388</v>
      </c>
    </row>
    <row r="158" spans="1:10" ht="12.7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2.75" customHeight="1">
      <c r="A160" s="3"/>
      <c r="B160" s="3" t="s">
        <v>47</v>
      </c>
      <c r="C160" s="3"/>
      <c r="D160" s="3"/>
      <c r="E160" s="3" t="s">
        <v>48</v>
      </c>
      <c r="F160" s="3"/>
      <c r="G160" s="3"/>
      <c r="H160" s="3" t="s">
        <v>49</v>
      </c>
      <c r="I160" s="3"/>
      <c r="J160" s="3"/>
    </row>
    <row r="161" spans="1:10" ht="12.75" customHeight="1">
      <c r="A161" s="184" t="s">
        <v>0</v>
      </c>
      <c r="B161" s="185"/>
      <c r="C161" s="185"/>
      <c r="D161" s="185"/>
      <c r="E161" s="185"/>
      <c r="F161" s="185"/>
      <c r="G161" s="185"/>
      <c r="H161" s="185"/>
      <c r="I161" s="185"/>
      <c r="J161" s="186"/>
    </row>
    <row r="162" spans="1:10" ht="12.75" customHeight="1">
      <c r="A162" s="187" t="s">
        <v>1</v>
      </c>
      <c r="B162" s="188"/>
      <c r="C162" s="188"/>
      <c r="D162" s="188"/>
      <c r="E162" s="188"/>
      <c r="F162" s="188"/>
      <c r="G162" s="188"/>
      <c r="H162" s="188"/>
      <c r="I162" s="188"/>
      <c r="J162" s="189"/>
    </row>
    <row r="163" spans="1:10" ht="12.75" customHeight="1">
      <c r="A163" s="1" t="s">
        <v>2</v>
      </c>
      <c r="B163" s="1"/>
      <c r="C163" s="194" t="s">
        <v>947</v>
      </c>
      <c r="D163" s="194"/>
      <c r="E163" s="2"/>
      <c r="F163" s="3"/>
      <c r="G163" s="1" t="s">
        <v>4</v>
      </c>
      <c r="H163" s="209" t="s">
        <v>938</v>
      </c>
      <c r="I163" s="209"/>
      <c r="J163" s="209"/>
    </row>
    <row r="164" spans="1:10" ht="12.75" customHeight="1">
      <c r="A164" s="1" t="s">
        <v>6</v>
      </c>
      <c r="B164" s="1"/>
      <c r="C164" s="192" t="s">
        <v>948</v>
      </c>
      <c r="D164" s="192"/>
      <c r="E164" s="2"/>
      <c r="F164" s="3"/>
      <c r="G164" s="1" t="s">
        <v>8</v>
      </c>
      <c r="H164" s="193" t="s">
        <v>9</v>
      </c>
      <c r="I164" s="193"/>
      <c r="J164" s="193"/>
    </row>
    <row r="165" spans="1:10" ht="12.75" customHeight="1">
      <c r="A165" s="6" t="s">
        <v>10</v>
      </c>
      <c r="B165" s="6"/>
      <c r="C165" s="6" t="s">
        <v>949</v>
      </c>
      <c r="D165" s="6"/>
      <c r="E165" s="2"/>
      <c r="F165" s="3"/>
      <c r="G165" s="1" t="s">
        <v>12</v>
      </c>
      <c r="H165" s="195" t="s">
        <v>13</v>
      </c>
      <c r="I165" s="195"/>
      <c r="J165" s="195"/>
    </row>
    <row r="166" spans="1:10" ht="12.75" customHeight="1">
      <c r="A166" s="2" t="s">
        <v>14</v>
      </c>
      <c r="B166" s="2"/>
      <c r="C166" s="1" t="s">
        <v>15</v>
      </c>
      <c r="D166" s="1"/>
      <c r="E166" s="2"/>
      <c r="F166" s="3"/>
      <c r="G166" s="1" t="s">
        <v>16</v>
      </c>
      <c r="H166" s="209" t="s">
        <v>55</v>
      </c>
      <c r="I166" s="209"/>
      <c r="J166" s="209"/>
    </row>
    <row r="167" spans="1:10" ht="12.75" customHeight="1">
      <c r="A167" s="2">
        <v>30</v>
      </c>
      <c r="B167" s="2"/>
      <c r="C167" s="2">
        <f>A167-H167</f>
        <v>0</v>
      </c>
      <c r="D167" s="2"/>
      <c r="E167" s="2"/>
      <c r="F167" s="3"/>
      <c r="G167" s="8" t="s">
        <v>18</v>
      </c>
      <c r="H167" s="197">
        <v>30</v>
      </c>
      <c r="I167" s="197"/>
      <c r="J167" s="197"/>
    </row>
    <row r="168" spans="1:10" ht="12.75" customHeight="1">
      <c r="A168" s="198" t="s">
        <v>19</v>
      </c>
      <c r="B168" s="199"/>
      <c r="C168" s="200"/>
      <c r="D168" s="13" t="s">
        <v>20</v>
      </c>
      <c r="E168" s="14" t="s">
        <v>21</v>
      </c>
      <c r="F168" s="15"/>
      <c r="G168" s="16" t="s">
        <v>20</v>
      </c>
      <c r="H168" s="201" t="s">
        <v>22</v>
      </c>
      <c r="I168" s="202"/>
      <c r="J168" s="203"/>
    </row>
    <row r="169" spans="1:10" ht="12.75" customHeight="1">
      <c r="A169" s="17" t="s">
        <v>23</v>
      </c>
      <c r="B169" s="1"/>
      <c r="C169" s="1"/>
      <c r="D169" s="2">
        <v>35000</v>
      </c>
      <c r="E169" s="17" t="s">
        <v>24</v>
      </c>
      <c r="F169" s="1"/>
      <c r="G169" s="2" t="s">
        <v>25</v>
      </c>
      <c r="H169" s="18" t="s">
        <v>502</v>
      </c>
      <c r="I169" s="6"/>
      <c r="J169" s="19"/>
    </row>
    <row r="170" spans="1:10" ht="12.75" customHeight="1">
      <c r="A170" s="17" t="s">
        <v>77</v>
      </c>
      <c r="B170" s="209"/>
      <c r="C170" s="209"/>
      <c r="D170" s="2" t="s">
        <v>25</v>
      </c>
      <c r="E170" s="17" t="s">
        <v>141</v>
      </c>
      <c r="F170" s="1"/>
      <c r="G170" s="2">
        <v>800</v>
      </c>
      <c r="H170" s="18" t="s">
        <v>504</v>
      </c>
      <c r="I170" s="6"/>
      <c r="J170" s="19"/>
    </row>
    <row r="171" spans="1:10" ht="12.75" customHeight="1">
      <c r="A171" s="17" t="s">
        <v>852</v>
      </c>
      <c r="B171" s="1"/>
      <c r="C171" s="1"/>
      <c r="D171" s="2" t="s">
        <v>25</v>
      </c>
      <c r="E171" s="17" t="s">
        <v>52</v>
      </c>
      <c r="F171" s="1"/>
      <c r="G171" s="2" t="s">
        <v>25</v>
      </c>
      <c r="H171" s="18" t="s">
        <v>32</v>
      </c>
      <c r="I171" s="6"/>
      <c r="J171" s="19"/>
    </row>
    <row r="172" spans="1:10" ht="12.75" customHeight="1">
      <c r="A172" s="17" t="s">
        <v>136</v>
      </c>
      <c r="B172" s="1"/>
      <c r="C172" s="1"/>
      <c r="D172" s="2" t="s">
        <v>25</v>
      </c>
      <c r="E172" s="17" t="s">
        <v>35</v>
      </c>
      <c r="F172" s="1"/>
      <c r="G172" s="2" t="s">
        <v>25</v>
      </c>
      <c r="H172" s="18"/>
      <c r="I172" s="6"/>
      <c r="J172" s="19"/>
    </row>
    <row r="173" spans="1:10" ht="12.75" customHeight="1">
      <c r="A173" s="17" t="s">
        <v>97</v>
      </c>
      <c r="B173" s="1"/>
      <c r="C173" s="1"/>
      <c r="D173" s="2">
        <v>3000</v>
      </c>
      <c r="E173" s="17" t="s">
        <v>37</v>
      </c>
      <c r="F173" s="2"/>
      <c r="G173" s="2" t="s">
        <v>25</v>
      </c>
      <c r="H173" s="18"/>
      <c r="I173" s="6"/>
      <c r="J173" s="40"/>
    </row>
    <row r="174" spans="1:10" ht="12.75" customHeight="1">
      <c r="A174" s="17"/>
      <c r="B174" s="1"/>
      <c r="C174" s="1"/>
      <c r="D174" s="2" t="s">
        <v>25</v>
      </c>
      <c r="E174" s="17" t="s">
        <v>39</v>
      </c>
      <c r="F174" s="1"/>
      <c r="G174" s="2">
        <v>100</v>
      </c>
      <c r="H174" s="18"/>
      <c r="I174" s="6"/>
      <c r="J174" s="40"/>
    </row>
    <row r="175" spans="1:10" ht="12.75" customHeight="1">
      <c r="A175" s="18" t="s">
        <v>147</v>
      </c>
      <c r="B175" s="6"/>
      <c r="C175" s="6"/>
      <c r="D175" s="2">
        <v>2900</v>
      </c>
      <c r="E175" s="17" t="s">
        <v>78</v>
      </c>
      <c r="F175" s="1"/>
      <c r="G175" s="2" t="s">
        <v>25</v>
      </c>
      <c r="H175" s="18"/>
      <c r="I175" s="6"/>
      <c r="J175" s="40"/>
    </row>
    <row r="176" spans="1:10" ht="12.75" customHeight="1">
      <c r="A176" s="204" t="s">
        <v>42</v>
      </c>
      <c r="B176" s="205"/>
      <c r="C176" s="206"/>
      <c r="D176" s="229">
        <f>SUM(D169:D175)</f>
        <v>40900</v>
      </c>
      <c r="E176" s="1" t="s">
        <v>43</v>
      </c>
      <c r="F176" s="1"/>
      <c r="G176" s="2" t="s">
        <v>25</v>
      </c>
      <c r="H176" s="18"/>
      <c r="I176" s="6"/>
      <c r="J176" s="40"/>
    </row>
    <row r="177" spans="1:10" ht="12.75" customHeight="1">
      <c r="A177" s="207"/>
      <c r="B177" s="197"/>
      <c r="C177" s="208"/>
      <c r="D177" s="230"/>
      <c r="E177" s="21" t="s">
        <v>21</v>
      </c>
      <c r="F177" s="22"/>
      <c r="G177" s="13">
        <f>SUM(G169:G176)</f>
        <v>900</v>
      </c>
      <c r="H177" s="21" t="s">
        <v>44</v>
      </c>
      <c r="I177" s="22"/>
      <c r="J177" s="13">
        <f>D176-G177</f>
        <v>40000</v>
      </c>
    </row>
    <row r="178" spans="1:10" ht="12.75" customHeight="1">
      <c r="A178" s="3" t="s">
        <v>45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2.75" customHeight="1">
      <c r="A180" s="3"/>
      <c r="B180" s="3" t="s">
        <v>47</v>
      </c>
      <c r="C180" s="3"/>
      <c r="D180" s="3"/>
      <c r="E180" s="3" t="s">
        <v>48</v>
      </c>
      <c r="F180" s="3"/>
      <c r="G180" s="3"/>
      <c r="H180" s="3" t="s">
        <v>49</v>
      </c>
      <c r="I180" s="3"/>
      <c r="J180" s="3"/>
    </row>
    <row r="181" spans="1:10" ht="12.75" customHeight="1">
      <c r="A181" s="184" t="s">
        <v>0</v>
      </c>
      <c r="B181" s="185"/>
      <c r="C181" s="185"/>
      <c r="D181" s="185"/>
      <c r="E181" s="185"/>
      <c r="F181" s="185"/>
      <c r="G181" s="185"/>
      <c r="H181" s="185"/>
      <c r="I181" s="185"/>
      <c r="J181" s="186"/>
    </row>
    <row r="182" spans="1:10" ht="12.75" customHeight="1">
      <c r="A182" s="187" t="s">
        <v>1</v>
      </c>
      <c r="B182" s="188"/>
      <c r="C182" s="188"/>
      <c r="D182" s="188"/>
      <c r="E182" s="188"/>
      <c r="F182" s="188"/>
      <c r="G182" s="188"/>
      <c r="H182" s="188"/>
      <c r="I182" s="188"/>
      <c r="J182" s="189"/>
    </row>
    <row r="183" spans="1:10" ht="12.75" customHeight="1">
      <c r="A183" s="1" t="s">
        <v>2</v>
      </c>
      <c r="B183" s="1"/>
      <c r="C183" s="194" t="s">
        <v>950</v>
      </c>
      <c r="D183" s="194"/>
      <c r="E183" s="2"/>
      <c r="F183" s="3"/>
      <c r="G183" s="1" t="s">
        <v>4</v>
      </c>
      <c r="H183" s="209" t="s">
        <v>182</v>
      </c>
      <c r="I183" s="209"/>
      <c r="J183" s="209"/>
    </row>
    <row r="184" spans="1:10" ht="12.75" customHeight="1">
      <c r="A184" s="1" t="s">
        <v>6</v>
      </c>
      <c r="B184" s="1"/>
      <c r="C184" s="192" t="s">
        <v>951</v>
      </c>
      <c r="D184" s="192"/>
      <c r="E184" s="2"/>
      <c r="F184" s="3"/>
      <c r="G184" s="1" t="s">
        <v>8</v>
      </c>
      <c r="H184" s="193" t="s">
        <v>9</v>
      </c>
      <c r="I184" s="193"/>
      <c r="J184" s="193"/>
    </row>
    <row r="185" spans="1:10" ht="12.75" customHeight="1">
      <c r="A185" s="6" t="s">
        <v>10</v>
      </c>
      <c r="B185" s="6"/>
      <c r="C185" s="6" t="s">
        <v>952</v>
      </c>
      <c r="D185" s="6"/>
      <c r="E185" s="2"/>
      <c r="F185" s="3"/>
      <c r="G185" s="1" t="s">
        <v>12</v>
      </c>
      <c r="H185" s="195" t="s">
        <v>13</v>
      </c>
      <c r="I185" s="195"/>
      <c r="J185" s="195"/>
    </row>
    <row r="186" spans="1:10" ht="12.75" customHeight="1">
      <c r="A186" s="2" t="s">
        <v>14</v>
      </c>
      <c r="B186" s="2"/>
      <c r="C186" s="1" t="s">
        <v>15</v>
      </c>
      <c r="D186" s="1"/>
      <c r="E186" s="2"/>
      <c r="F186" s="3"/>
      <c r="G186" s="1" t="s">
        <v>16</v>
      </c>
      <c r="H186" s="209" t="s">
        <v>202</v>
      </c>
      <c r="I186" s="209"/>
      <c r="J186" s="209"/>
    </row>
    <row r="187" spans="1:10" ht="12.75" customHeight="1">
      <c r="A187" s="2">
        <v>30</v>
      </c>
      <c r="B187" s="2"/>
      <c r="C187" s="2">
        <f>A187-H187</f>
        <v>2</v>
      </c>
      <c r="D187" s="2"/>
      <c r="E187" s="2"/>
      <c r="F187" s="3"/>
      <c r="G187" s="8" t="s">
        <v>18</v>
      </c>
      <c r="H187" s="197">
        <v>28</v>
      </c>
      <c r="I187" s="197"/>
      <c r="J187" s="197"/>
    </row>
    <row r="188" spans="1:10" ht="12.75" customHeight="1">
      <c r="A188" s="198" t="s">
        <v>19</v>
      </c>
      <c r="B188" s="199"/>
      <c r="C188" s="200"/>
      <c r="D188" s="13" t="s">
        <v>20</v>
      </c>
      <c r="E188" s="14" t="s">
        <v>21</v>
      </c>
      <c r="F188" s="15"/>
      <c r="G188" s="16" t="s">
        <v>20</v>
      </c>
      <c r="H188" s="201" t="s">
        <v>22</v>
      </c>
      <c r="I188" s="202"/>
      <c r="J188" s="203"/>
    </row>
    <row r="189" spans="1:10" ht="12.75" customHeight="1">
      <c r="A189" s="17" t="s">
        <v>56</v>
      </c>
      <c r="B189" s="1"/>
      <c r="C189" s="1"/>
      <c r="D189" s="2">
        <v>25000</v>
      </c>
      <c r="E189" s="17" t="s">
        <v>24</v>
      </c>
      <c r="F189" s="1"/>
      <c r="G189" s="2" t="s">
        <v>25</v>
      </c>
      <c r="H189" s="18" t="s">
        <v>26</v>
      </c>
      <c r="I189" s="23"/>
      <c r="J189" s="24"/>
    </row>
    <row r="190" spans="1:10" ht="12.75" customHeight="1">
      <c r="A190" s="17" t="s">
        <v>57</v>
      </c>
      <c r="B190" s="209"/>
      <c r="C190" s="209"/>
      <c r="D190" s="2" t="s">
        <v>25</v>
      </c>
      <c r="E190" s="17" t="s">
        <v>52</v>
      </c>
      <c r="F190" s="1"/>
      <c r="G190" s="2">
        <v>60</v>
      </c>
      <c r="H190" s="18" t="s">
        <v>29</v>
      </c>
      <c r="I190" s="23"/>
      <c r="J190" s="24"/>
    </row>
    <row r="191" spans="1:10" ht="12.75" customHeight="1">
      <c r="A191" s="17" t="s">
        <v>30</v>
      </c>
      <c r="B191" s="1"/>
      <c r="C191" s="1"/>
      <c r="D191" s="2" t="s">
        <v>25</v>
      </c>
      <c r="E191" s="17" t="s">
        <v>141</v>
      </c>
      <c r="F191" s="1"/>
      <c r="G191" s="2">
        <v>800</v>
      </c>
      <c r="H191" s="18" t="s">
        <v>32</v>
      </c>
      <c r="I191" s="23"/>
      <c r="J191" s="24"/>
    </row>
    <row r="192" spans="1:10" ht="12.75" customHeight="1">
      <c r="A192" s="17" t="s">
        <v>147</v>
      </c>
      <c r="B192" s="1"/>
      <c r="C192" s="1"/>
      <c r="D192" s="2">
        <v>2460</v>
      </c>
      <c r="E192" s="17" t="s">
        <v>35</v>
      </c>
      <c r="F192" s="1"/>
      <c r="G192" s="2" t="s">
        <v>25</v>
      </c>
      <c r="H192" s="18"/>
      <c r="I192" s="6"/>
      <c r="J192" s="19"/>
    </row>
    <row r="193" spans="1:10" ht="12.75" customHeight="1">
      <c r="A193" s="17" t="s">
        <v>953</v>
      </c>
      <c r="B193" s="6"/>
      <c r="C193" s="6"/>
      <c r="D193" s="2">
        <v>5000</v>
      </c>
      <c r="E193" s="17" t="s">
        <v>61</v>
      </c>
      <c r="F193" s="1"/>
      <c r="G193" s="2" t="s">
        <v>25</v>
      </c>
      <c r="H193" s="18"/>
      <c r="I193" s="6"/>
      <c r="J193" s="19"/>
    </row>
    <row r="194" spans="1:10" ht="12.75" customHeight="1">
      <c r="A194" s="17" t="s">
        <v>78</v>
      </c>
      <c r="B194" s="1"/>
      <c r="C194" s="1"/>
      <c r="D194" s="2" t="s">
        <v>25</v>
      </c>
      <c r="E194" s="17" t="s">
        <v>39</v>
      </c>
      <c r="F194" s="1"/>
      <c r="G194" s="2">
        <v>100</v>
      </c>
      <c r="H194" s="18"/>
      <c r="I194" s="6"/>
      <c r="J194" s="19"/>
    </row>
    <row r="195" spans="1:10" ht="12.75" customHeight="1">
      <c r="A195" s="18" t="s">
        <v>27</v>
      </c>
      <c r="B195" s="6"/>
      <c r="C195" s="6"/>
      <c r="D195" s="2" t="s">
        <v>25</v>
      </c>
      <c r="E195" s="17" t="s">
        <v>78</v>
      </c>
      <c r="F195" s="1"/>
      <c r="G195" s="2" t="s">
        <v>25</v>
      </c>
      <c r="H195" s="18"/>
      <c r="I195" s="6"/>
      <c r="J195" s="19"/>
    </row>
    <row r="196" spans="1:10" ht="12.75" customHeight="1">
      <c r="A196" s="204" t="s">
        <v>63</v>
      </c>
      <c r="B196" s="205"/>
      <c r="C196" s="206"/>
      <c r="D196" s="229">
        <f>SUM(D189:D195)</f>
        <v>32460</v>
      </c>
      <c r="E196" s="1" t="s">
        <v>43</v>
      </c>
      <c r="F196" s="1"/>
      <c r="G196" s="2" t="s">
        <v>25</v>
      </c>
      <c r="H196" s="18"/>
      <c r="I196" s="6"/>
      <c r="J196" s="19"/>
    </row>
    <row r="197" spans="1:10" ht="12.75" customHeight="1">
      <c r="A197" s="207"/>
      <c r="B197" s="197"/>
      <c r="C197" s="208"/>
      <c r="D197" s="230"/>
      <c r="E197" s="21" t="s">
        <v>21</v>
      </c>
      <c r="F197" s="22"/>
      <c r="G197" s="13">
        <f>SUM(G189:G196)</f>
        <v>960</v>
      </c>
      <c r="H197" s="21" t="s">
        <v>44</v>
      </c>
      <c r="I197" s="22"/>
      <c r="J197" s="13">
        <f>D196-G197</f>
        <v>31500</v>
      </c>
    </row>
    <row r="198" spans="1:10" ht="12.75" customHeight="1">
      <c r="A198" s="3" t="s">
        <v>45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2.75" customHeight="1">
      <c r="A200" s="3"/>
      <c r="B200" s="3" t="s">
        <v>47</v>
      </c>
      <c r="C200" s="3"/>
      <c r="D200" s="3"/>
      <c r="E200" s="3" t="s">
        <v>48</v>
      </c>
      <c r="F200" s="3"/>
      <c r="G200" s="3"/>
      <c r="H200" s="3" t="s">
        <v>49</v>
      </c>
      <c r="I200" s="3"/>
      <c r="J200" s="3"/>
    </row>
    <row r="201" spans="1:10" ht="12.75" customHeight="1">
      <c r="A201" s="184" t="s">
        <v>0</v>
      </c>
      <c r="B201" s="185"/>
      <c r="C201" s="185"/>
      <c r="D201" s="185"/>
      <c r="E201" s="185"/>
      <c r="F201" s="185"/>
      <c r="G201" s="185"/>
      <c r="H201" s="185"/>
      <c r="I201" s="185"/>
      <c r="J201" s="186"/>
    </row>
    <row r="202" spans="1:10" ht="12.75" customHeight="1">
      <c r="A202" s="187" t="s">
        <v>1</v>
      </c>
      <c r="B202" s="188"/>
      <c r="C202" s="188"/>
      <c r="D202" s="188"/>
      <c r="E202" s="188"/>
      <c r="F202" s="188"/>
      <c r="G202" s="188"/>
      <c r="H202" s="188"/>
      <c r="I202" s="188"/>
      <c r="J202" s="189"/>
    </row>
    <row r="203" spans="1:10" ht="12.75" customHeight="1">
      <c r="A203" s="1" t="s">
        <v>2</v>
      </c>
      <c r="B203" s="1"/>
      <c r="C203" s="194"/>
      <c r="D203" s="194"/>
      <c r="E203" s="2"/>
      <c r="F203" s="3"/>
      <c r="G203" s="1" t="s">
        <v>4</v>
      </c>
      <c r="H203" s="209" t="s">
        <v>938</v>
      </c>
      <c r="I203" s="209"/>
      <c r="J203" s="209"/>
    </row>
    <row r="204" spans="1:10" ht="12.75" customHeight="1">
      <c r="A204" s="1" t="s">
        <v>6</v>
      </c>
      <c r="B204" s="1"/>
      <c r="C204" s="192" t="s">
        <v>954</v>
      </c>
      <c r="D204" s="192"/>
      <c r="E204" s="2"/>
      <c r="F204" s="3"/>
      <c r="G204" s="1" t="s">
        <v>8</v>
      </c>
      <c r="H204" s="193" t="s">
        <v>9</v>
      </c>
      <c r="I204" s="193"/>
      <c r="J204" s="193"/>
    </row>
    <row r="205" spans="1:10" ht="12.75" customHeight="1">
      <c r="A205" s="6" t="s">
        <v>10</v>
      </c>
      <c r="B205" s="6"/>
      <c r="C205" s="6" t="s">
        <v>955</v>
      </c>
      <c r="D205" s="6"/>
      <c r="E205" s="2"/>
      <c r="F205" s="3"/>
      <c r="G205" s="1" t="s">
        <v>12</v>
      </c>
      <c r="H205" s="195" t="s">
        <v>13</v>
      </c>
      <c r="I205" s="195"/>
      <c r="J205" s="195"/>
    </row>
    <row r="206" spans="1:10" ht="12.75" customHeight="1">
      <c r="A206" s="2" t="s">
        <v>14</v>
      </c>
      <c r="B206" s="2"/>
      <c r="C206" s="1" t="s">
        <v>15</v>
      </c>
      <c r="D206" s="1"/>
      <c r="E206" s="2"/>
      <c r="F206" s="3"/>
      <c r="G206" s="1" t="s">
        <v>16</v>
      </c>
      <c r="H206" s="209" t="s">
        <v>55</v>
      </c>
      <c r="I206" s="209"/>
      <c r="J206" s="209"/>
    </row>
    <row r="207" spans="1:10" ht="12.75" customHeight="1">
      <c r="A207" s="2">
        <v>30</v>
      </c>
      <c r="B207" s="2"/>
      <c r="C207" s="2">
        <f>A207-H207</f>
        <v>15</v>
      </c>
      <c r="D207" s="2"/>
      <c r="E207" s="2"/>
      <c r="F207" s="3"/>
      <c r="G207" s="8" t="s">
        <v>18</v>
      </c>
      <c r="H207" s="197">
        <v>15</v>
      </c>
      <c r="I207" s="197"/>
      <c r="J207" s="197"/>
    </row>
    <row r="208" spans="1:10" ht="12.75" customHeight="1">
      <c r="A208" s="198" t="s">
        <v>19</v>
      </c>
      <c r="B208" s="199"/>
      <c r="C208" s="200"/>
      <c r="D208" s="13" t="s">
        <v>20</v>
      </c>
      <c r="E208" s="14" t="s">
        <v>21</v>
      </c>
      <c r="F208" s="15"/>
      <c r="G208" s="16" t="s">
        <v>20</v>
      </c>
      <c r="H208" s="201" t="s">
        <v>22</v>
      </c>
      <c r="I208" s="202"/>
      <c r="J208" s="203"/>
    </row>
    <row r="209" spans="1:10" ht="12.75" customHeight="1">
      <c r="A209" s="17" t="s">
        <v>23</v>
      </c>
      <c r="B209" s="1"/>
      <c r="C209" s="1"/>
      <c r="D209" s="2">
        <v>35000</v>
      </c>
      <c r="E209" s="17" t="s">
        <v>24</v>
      </c>
      <c r="F209" s="1"/>
      <c r="G209" s="2" t="s">
        <v>25</v>
      </c>
      <c r="H209" s="18" t="s">
        <v>502</v>
      </c>
      <c r="I209" s="6"/>
      <c r="J209" s="19"/>
    </row>
    <row r="210" spans="1:10" ht="12.75" customHeight="1">
      <c r="A210" s="17" t="s">
        <v>77</v>
      </c>
      <c r="B210" s="209"/>
      <c r="C210" s="209"/>
      <c r="D210" s="2" t="s">
        <v>25</v>
      </c>
      <c r="E210" s="17" t="s">
        <v>58</v>
      </c>
      <c r="F210" s="1"/>
      <c r="G210" s="2" t="s">
        <v>25</v>
      </c>
      <c r="H210" s="18" t="s">
        <v>504</v>
      </c>
      <c r="I210" s="6"/>
      <c r="J210" s="19"/>
    </row>
    <row r="211" spans="1:10" ht="12.75" customHeight="1">
      <c r="A211" s="17" t="s">
        <v>147</v>
      </c>
      <c r="B211" s="1"/>
      <c r="C211" s="1"/>
      <c r="D211" s="2">
        <v>1400</v>
      </c>
      <c r="E211" s="17" t="s">
        <v>52</v>
      </c>
      <c r="F211" s="1"/>
      <c r="G211" s="2">
        <v>800</v>
      </c>
      <c r="H211" s="18" t="s">
        <v>32</v>
      </c>
      <c r="I211" s="6"/>
      <c r="J211" s="19"/>
    </row>
    <row r="212" spans="1:10" ht="12.75" customHeight="1">
      <c r="A212" s="17" t="s">
        <v>27</v>
      </c>
      <c r="B212" s="1"/>
      <c r="C212" s="1"/>
      <c r="D212" s="2" t="s">
        <v>25</v>
      </c>
      <c r="E212" s="17" t="s">
        <v>35</v>
      </c>
      <c r="F212" s="1"/>
      <c r="G212" s="2">
        <v>17500</v>
      </c>
      <c r="H212" s="18"/>
      <c r="I212" s="6"/>
      <c r="J212" s="19"/>
    </row>
    <row r="213" spans="1:10" ht="12.75" customHeight="1">
      <c r="A213" s="17" t="s">
        <v>78</v>
      </c>
      <c r="B213" s="1"/>
      <c r="C213" s="1"/>
      <c r="D213" s="2" t="s">
        <v>25</v>
      </c>
      <c r="E213" s="17" t="s">
        <v>37</v>
      </c>
      <c r="F213" s="2"/>
      <c r="G213" s="2" t="s">
        <v>25</v>
      </c>
      <c r="H213" s="18"/>
      <c r="I213" s="6"/>
      <c r="J213" s="40"/>
    </row>
    <row r="214" spans="1:10" ht="12.75" customHeight="1">
      <c r="A214" s="17" t="s">
        <v>136</v>
      </c>
      <c r="B214" s="1"/>
      <c r="C214" s="1"/>
      <c r="D214" s="2" t="s">
        <v>25</v>
      </c>
      <c r="E214" s="17" t="s">
        <v>39</v>
      </c>
      <c r="F214" s="1"/>
      <c r="G214" s="2">
        <v>100</v>
      </c>
      <c r="H214" s="18"/>
      <c r="I214" s="6"/>
      <c r="J214" s="40"/>
    </row>
    <row r="215" spans="1:10" ht="12.75" customHeight="1">
      <c r="A215" s="18" t="s">
        <v>147</v>
      </c>
      <c r="B215" s="6"/>
      <c r="C215" s="6"/>
      <c r="D215" s="2" t="s">
        <v>25</v>
      </c>
      <c r="E215" s="17" t="s">
        <v>78</v>
      </c>
      <c r="F215" s="1"/>
      <c r="G215" s="2" t="s">
        <v>25</v>
      </c>
      <c r="H215" s="18"/>
      <c r="I215" s="6"/>
      <c r="J215" s="40"/>
    </row>
    <row r="216" spans="1:10" ht="12.75" customHeight="1">
      <c r="A216" s="204" t="s">
        <v>42</v>
      </c>
      <c r="B216" s="205"/>
      <c r="C216" s="206"/>
      <c r="D216" s="229">
        <f>SUM(D209:D215)</f>
        <v>36400</v>
      </c>
      <c r="E216" s="1" t="s">
        <v>43</v>
      </c>
      <c r="F216" s="1"/>
      <c r="G216" s="2" t="s">
        <v>25</v>
      </c>
      <c r="H216" s="18"/>
      <c r="I216" s="6"/>
      <c r="J216" s="40"/>
    </row>
    <row r="217" spans="1:10" ht="12.75" customHeight="1">
      <c r="A217" s="207"/>
      <c r="B217" s="197"/>
      <c r="C217" s="208"/>
      <c r="D217" s="230"/>
      <c r="E217" s="21" t="s">
        <v>21</v>
      </c>
      <c r="F217" s="22"/>
      <c r="G217" s="13">
        <f>SUM(G209:G216)</f>
        <v>18400</v>
      </c>
      <c r="H217" s="21" t="s">
        <v>44</v>
      </c>
      <c r="I217" s="22"/>
      <c r="J217" s="13">
        <f>D216-G217</f>
        <v>18000</v>
      </c>
    </row>
    <row r="218" spans="1:10" ht="12.75" customHeight="1">
      <c r="A218" s="3" t="s">
        <v>45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2.75" customHeight="1">
      <c r="A220" s="3"/>
      <c r="B220" s="3" t="s">
        <v>47</v>
      </c>
      <c r="C220" s="3"/>
      <c r="D220" s="3"/>
      <c r="E220" s="3" t="s">
        <v>48</v>
      </c>
      <c r="F220" s="3"/>
      <c r="G220" s="3"/>
      <c r="H220" s="3" t="s">
        <v>49</v>
      </c>
      <c r="I220" s="3"/>
      <c r="J220" s="3"/>
    </row>
    <row r="221" spans="1:10" ht="12.75" customHeight="1">
      <c r="A221" s="184" t="s">
        <v>0</v>
      </c>
      <c r="B221" s="185"/>
      <c r="C221" s="185"/>
      <c r="D221" s="185"/>
      <c r="E221" s="185"/>
      <c r="F221" s="185"/>
      <c r="G221" s="185"/>
      <c r="H221" s="185"/>
      <c r="I221" s="185"/>
      <c r="J221" s="186"/>
    </row>
    <row r="222" spans="1:10" ht="12.75" customHeight="1">
      <c r="A222" s="187" t="s">
        <v>1</v>
      </c>
      <c r="B222" s="188"/>
      <c r="C222" s="188"/>
      <c r="D222" s="188"/>
      <c r="E222" s="188"/>
      <c r="F222" s="188"/>
      <c r="G222" s="188"/>
      <c r="H222" s="188"/>
      <c r="I222" s="188"/>
      <c r="J222" s="189"/>
    </row>
    <row r="223" spans="1:10" ht="12.75" customHeight="1">
      <c r="A223" s="1" t="s">
        <v>2</v>
      </c>
      <c r="B223" s="1"/>
      <c r="C223" s="194"/>
      <c r="D223" s="194"/>
      <c r="E223" s="2"/>
      <c r="F223" s="3"/>
      <c r="G223" s="1" t="s">
        <v>4</v>
      </c>
      <c r="H223" s="209" t="s">
        <v>938</v>
      </c>
      <c r="I223" s="209"/>
      <c r="J223" s="209"/>
    </row>
    <row r="224" spans="1:10" ht="12.75" customHeight="1">
      <c r="A224" s="1" t="s">
        <v>6</v>
      </c>
      <c r="B224" s="1"/>
      <c r="C224" s="192" t="s">
        <v>956</v>
      </c>
      <c r="D224" s="192"/>
      <c r="E224" s="2"/>
      <c r="F224" s="3"/>
      <c r="G224" s="1" t="s">
        <v>8</v>
      </c>
      <c r="H224" s="193" t="s">
        <v>9</v>
      </c>
      <c r="I224" s="193"/>
      <c r="J224" s="193"/>
    </row>
    <row r="225" spans="1:10" ht="12.75" customHeight="1">
      <c r="A225" s="6" t="s">
        <v>10</v>
      </c>
      <c r="B225" s="6"/>
      <c r="C225" s="6" t="s">
        <v>955</v>
      </c>
      <c r="D225" s="6"/>
      <c r="E225" s="2"/>
      <c r="F225" s="3"/>
      <c r="G225" s="1" t="s">
        <v>12</v>
      </c>
      <c r="H225" s="195" t="s">
        <v>13</v>
      </c>
      <c r="I225" s="195"/>
      <c r="J225" s="195"/>
    </row>
    <row r="226" spans="1:10" ht="12.75" customHeight="1">
      <c r="A226" s="2" t="s">
        <v>14</v>
      </c>
      <c r="B226" s="2"/>
      <c r="C226" s="1" t="s">
        <v>15</v>
      </c>
      <c r="D226" s="1"/>
      <c r="E226" s="2"/>
      <c r="F226" s="3"/>
      <c r="G226" s="1" t="s">
        <v>16</v>
      </c>
      <c r="H226" s="209" t="s">
        <v>55</v>
      </c>
      <c r="I226" s="209"/>
      <c r="J226" s="209"/>
    </row>
    <row r="227" spans="1:10" ht="12.75" customHeight="1">
      <c r="A227" s="2">
        <v>30</v>
      </c>
      <c r="B227" s="2"/>
      <c r="C227" s="2">
        <f>A227-H227</f>
        <v>0</v>
      </c>
      <c r="D227" s="2"/>
      <c r="E227" s="2"/>
      <c r="F227" s="3"/>
      <c r="G227" s="8" t="s">
        <v>18</v>
      </c>
      <c r="H227" s="197">
        <v>30</v>
      </c>
      <c r="I227" s="197"/>
      <c r="J227" s="197"/>
    </row>
    <row r="228" spans="1:10" ht="12.75" customHeight="1">
      <c r="A228" s="198" t="s">
        <v>19</v>
      </c>
      <c r="B228" s="199"/>
      <c r="C228" s="200"/>
      <c r="D228" s="13" t="s">
        <v>20</v>
      </c>
      <c r="E228" s="14" t="s">
        <v>21</v>
      </c>
      <c r="F228" s="15"/>
      <c r="G228" s="16" t="s">
        <v>20</v>
      </c>
      <c r="H228" s="201" t="s">
        <v>22</v>
      </c>
      <c r="I228" s="202"/>
      <c r="J228" s="203"/>
    </row>
    <row r="229" spans="1:10" ht="12.75" customHeight="1">
      <c r="A229" s="17" t="s">
        <v>23</v>
      </c>
      <c r="B229" s="1"/>
      <c r="C229" s="1"/>
      <c r="D229" s="2">
        <v>27000</v>
      </c>
      <c r="E229" s="17" t="s">
        <v>24</v>
      </c>
      <c r="F229" s="1"/>
      <c r="G229" s="2" t="s">
        <v>25</v>
      </c>
      <c r="H229" s="18" t="s">
        <v>502</v>
      </c>
      <c r="I229" s="6"/>
      <c r="J229" s="19"/>
    </row>
    <row r="230" spans="1:10" ht="12.75" customHeight="1">
      <c r="A230" s="17" t="s">
        <v>77</v>
      </c>
      <c r="B230" s="209"/>
      <c r="C230" s="209"/>
      <c r="D230" s="2" t="s">
        <v>25</v>
      </c>
      <c r="E230" s="17" t="s">
        <v>58</v>
      </c>
      <c r="F230" s="1"/>
      <c r="G230" s="2" t="s">
        <v>25</v>
      </c>
      <c r="H230" s="18" t="s">
        <v>504</v>
      </c>
      <c r="I230" s="6"/>
      <c r="J230" s="19"/>
    </row>
    <row r="231" spans="1:10" ht="12.75" customHeight="1">
      <c r="A231" s="17" t="s">
        <v>147</v>
      </c>
      <c r="B231" s="1"/>
      <c r="C231" s="1"/>
      <c r="D231" s="2">
        <v>3300</v>
      </c>
      <c r="E231" s="17" t="s">
        <v>52</v>
      </c>
      <c r="F231" s="1"/>
      <c r="G231" s="2">
        <v>2200</v>
      </c>
      <c r="H231" s="18" t="s">
        <v>32</v>
      </c>
      <c r="I231" s="6"/>
      <c r="J231" s="19"/>
    </row>
    <row r="232" spans="1:10" ht="12.75" customHeight="1">
      <c r="A232" s="17" t="s">
        <v>602</v>
      </c>
      <c r="B232" s="1"/>
      <c r="C232" s="1"/>
      <c r="D232" s="2">
        <v>5000</v>
      </c>
      <c r="E232" s="17" t="s">
        <v>35</v>
      </c>
      <c r="F232" s="1"/>
      <c r="G232" s="2" t="s">
        <v>25</v>
      </c>
      <c r="H232" s="18"/>
      <c r="I232" s="6"/>
      <c r="J232" s="19"/>
    </row>
    <row r="233" spans="1:10" ht="12.75" customHeight="1">
      <c r="A233" s="17" t="s">
        <v>78</v>
      </c>
      <c r="B233" s="1"/>
      <c r="C233" s="1"/>
      <c r="D233" s="2" t="s">
        <v>25</v>
      </c>
      <c r="E233" s="17" t="s">
        <v>37</v>
      </c>
      <c r="F233" s="2"/>
      <c r="G233" s="2" t="s">
        <v>25</v>
      </c>
      <c r="H233" s="18"/>
      <c r="I233" s="6"/>
      <c r="J233" s="40"/>
    </row>
    <row r="234" spans="1:10" ht="12.75" customHeight="1">
      <c r="A234" s="17" t="s">
        <v>136</v>
      </c>
      <c r="B234" s="1"/>
      <c r="C234" s="1"/>
      <c r="D234" s="2" t="s">
        <v>25</v>
      </c>
      <c r="E234" s="17" t="s">
        <v>39</v>
      </c>
      <c r="F234" s="1"/>
      <c r="G234" s="2">
        <v>100</v>
      </c>
      <c r="H234" s="18"/>
      <c r="I234" s="6"/>
      <c r="J234" s="40"/>
    </row>
    <row r="235" spans="1:10" ht="12.75" customHeight="1">
      <c r="A235" s="18" t="s">
        <v>147</v>
      </c>
      <c r="B235" s="6"/>
      <c r="C235" s="6"/>
      <c r="D235" s="2" t="s">
        <v>25</v>
      </c>
      <c r="E235" s="17" t="s">
        <v>78</v>
      </c>
      <c r="F235" s="1"/>
      <c r="G235" s="2" t="s">
        <v>25</v>
      </c>
      <c r="H235" s="18"/>
      <c r="I235" s="6"/>
      <c r="J235" s="40"/>
    </row>
    <row r="236" spans="1:10" ht="12.75" customHeight="1">
      <c r="A236" s="204" t="s">
        <v>42</v>
      </c>
      <c r="B236" s="205"/>
      <c r="C236" s="206"/>
      <c r="D236" s="229">
        <f>SUM(D229:D235)</f>
        <v>35300</v>
      </c>
      <c r="E236" s="1" t="s">
        <v>43</v>
      </c>
      <c r="F236" s="1"/>
      <c r="G236" s="2" t="s">
        <v>25</v>
      </c>
      <c r="H236" s="18"/>
      <c r="I236" s="6"/>
      <c r="J236" s="40"/>
    </row>
    <row r="237" spans="1:10" ht="12.75" customHeight="1">
      <c r="A237" s="207"/>
      <c r="B237" s="197"/>
      <c r="C237" s="208"/>
      <c r="D237" s="230"/>
      <c r="E237" s="21" t="s">
        <v>21</v>
      </c>
      <c r="F237" s="22"/>
      <c r="G237" s="13">
        <f>SUM(G229:G236)</f>
        <v>2300</v>
      </c>
      <c r="H237" s="21" t="s">
        <v>44</v>
      </c>
      <c r="I237" s="22"/>
      <c r="J237" s="13">
        <f>D236-G237</f>
        <v>33000</v>
      </c>
    </row>
    <row r="238" spans="1:10" ht="12.75" customHeight="1">
      <c r="A238" s="3" t="s">
        <v>45</v>
      </c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2.75" customHeight="1">
      <c r="A240" s="3"/>
      <c r="B240" s="3" t="s">
        <v>47</v>
      </c>
      <c r="C240" s="3"/>
      <c r="D240" s="3"/>
      <c r="E240" s="3" t="s">
        <v>48</v>
      </c>
      <c r="F240" s="3"/>
      <c r="G240" s="3"/>
      <c r="H240" s="3" t="s">
        <v>49</v>
      </c>
      <c r="I240" s="3"/>
      <c r="J240" s="3"/>
    </row>
    <row r="241" spans="1:10" ht="12.75" customHeight="1">
      <c r="A241" s="184" t="s">
        <v>0</v>
      </c>
      <c r="B241" s="185"/>
      <c r="C241" s="185"/>
      <c r="D241" s="185"/>
      <c r="E241" s="185"/>
      <c r="F241" s="185"/>
      <c r="G241" s="185"/>
      <c r="H241" s="185"/>
      <c r="I241" s="185"/>
      <c r="J241" s="186"/>
    </row>
    <row r="242" spans="1:10" ht="12.75" customHeight="1">
      <c r="A242" s="187" t="s">
        <v>1</v>
      </c>
      <c r="B242" s="188"/>
      <c r="C242" s="188"/>
      <c r="D242" s="188"/>
      <c r="E242" s="188"/>
      <c r="F242" s="188"/>
      <c r="G242" s="188"/>
      <c r="H242" s="188"/>
      <c r="I242" s="188"/>
      <c r="J242" s="189"/>
    </row>
    <row r="243" spans="1:10" ht="12.75" customHeight="1">
      <c r="A243" s="1" t="s">
        <v>2</v>
      </c>
      <c r="B243" s="1"/>
      <c r="C243" s="194"/>
      <c r="D243" s="194"/>
      <c r="E243" s="2"/>
      <c r="F243" s="3"/>
      <c r="G243" s="1" t="s">
        <v>4</v>
      </c>
      <c r="H243" s="209" t="s">
        <v>938</v>
      </c>
      <c r="I243" s="209"/>
      <c r="J243" s="209"/>
    </row>
    <row r="244" spans="1:10" ht="12.75" customHeight="1">
      <c r="A244" s="1" t="s">
        <v>6</v>
      </c>
      <c r="B244" s="1"/>
      <c r="C244" s="192" t="s">
        <v>957</v>
      </c>
      <c r="D244" s="192"/>
      <c r="E244" s="2"/>
      <c r="F244" s="3"/>
      <c r="G244" s="1" t="s">
        <v>8</v>
      </c>
      <c r="H244" s="193" t="s">
        <v>9</v>
      </c>
      <c r="I244" s="193"/>
      <c r="J244" s="193"/>
    </row>
    <row r="245" spans="1:10" ht="12.75" customHeight="1">
      <c r="A245" s="6" t="s">
        <v>10</v>
      </c>
      <c r="B245" s="6"/>
      <c r="C245" s="6" t="s">
        <v>955</v>
      </c>
      <c r="D245" s="6"/>
      <c r="E245" s="2"/>
      <c r="F245" s="3"/>
      <c r="G245" s="1" t="s">
        <v>12</v>
      </c>
      <c r="H245" s="195" t="s">
        <v>13</v>
      </c>
      <c r="I245" s="195"/>
      <c r="J245" s="195"/>
    </row>
    <row r="246" spans="1:10" ht="12.75" customHeight="1">
      <c r="A246" s="2" t="s">
        <v>14</v>
      </c>
      <c r="B246" s="2"/>
      <c r="C246" s="1" t="s">
        <v>15</v>
      </c>
      <c r="D246" s="1"/>
      <c r="E246" s="2"/>
      <c r="F246" s="3"/>
      <c r="G246" s="1" t="s">
        <v>16</v>
      </c>
      <c r="H246" s="209" t="s">
        <v>55</v>
      </c>
      <c r="I246" s="209"/>
      <c r="J246" s="209"/>
    </row>
    <row r="247" spans="1:10" ht="12.75" customHeight="1">
      <c r="A247" s="2">
        <v>30</v>
      </c>
      <c r="B247" s="2"/>
      <c r="C247" s="2">
        <f>A247-H247</f>
        <v>14</v>
      </c>
      <c r="D247" s="2"/>
      <c r="E247" s="2"/>
      <c r="F247" s="3"/>
      <c r="G247" s="8" t="s">
        <v>18</v>
      </c>
      <c r="H247" s="197">
        <v>16</v>
      </c>
      <c r="I247" s="197"/>
      <c r="J247" s="197"/>
    </row>
    <row r="248" spans="1:10" ht="12.75" customHeight="1">
      <c r="A248" s="198" t="s">
        <v>19</v>
      </c>
      <c r="B248" s="199"/>
      <c r="C248" s="200"/>
      <c r="D248" s="13" t="s">
        <v>20</v>
      </c>
      <c r="E248" s="14" t="s">
        <v>21</v>
      </c>
      <c r="F248" s="15"/>
      <c r="G248" s="16" t="s">
        <v>20</v>
      </c>
      <c r="H248" s="201" t="s">
        <v>22</v>
      </c>
      <c r="I248" s="202"/>
      <c r="J248" s="203"/>
    </row>
    <row r="249" spans="1:10" ht="12.75" customHeight="1">
      <c r="A249" s="17" t="s">
        <v>23</v>
      </c>
      <c r="B249" s="1"/>
      <c r="C249" s="1"/>
      <c r="D249" s="2">
        <v>15000</v>
      </c>
      <c r="E249" s="17" t="s">
        <v>24</v>
      </c>
      <c r="F249" s="1"/>
      <c r="G249" s="2" t="s">
        <v>25</v>
      </c>
      <c r="H249" s="18" t="s">
        <v>502</v>
      </c>
      <c r="I249" s="6"/>
      <c r="J249" s="19"/>
    </row>
    <row r="250" spans="1:10" ht="12.75" customHeight="1">
      <c r="A250" s="17" t="s">
        <v>77</v>
      </c>
      <c r="B250" s="209"/>
      <c r="C250" s="209"/>
      <c r="D250" s="2" t="s">
        <v>25</v>
      </c>
      <c r="E250" s="17" t="s">
        <v>58</v>
      </c>
      <c r="F250" s="1"/>
      <c r="G250" s="2" t="s">
        <v>25</v>
      </c>
      <c r="H250" s="18" t="s">
        <v>504</v>
      </c>
      <c r="I250" s="6"/>
      <c r="J250" s="19"/>
    </row>
    <row r="251" spans="1:10" ht="12.75" customHeight="1">
      <c r="A251" s="17" t="s">
        <v>147</v>
      </c>
      <c r="B251" s="1"/>
      <c r="C251" s="1"/>
      <c r="D251" s="2">
        <v>4650</v>
      </c>
      <c r="E251" s="17" t="s">
        <v>52</v>
      </c>
      <c r="F251" s="1"/>
      <c r="G251" s="2">
        <v>1800</v>
      </c>
      <c r="H251" s="18" t="s">
        <v>32</v>
      </c>
      <c r="I251" s="6"/>
      <c r="J251" s="19"/>
    </row>
    <row r="252" spans="1:10" ht="12.75" customHeight="1">
      <c r="A252" s="17" t="s">
        <v>27</v>
      </c>
      <c r="B252" s="1"/>
      <c r="C252" s="1"/>
      <c r="D252" s="2" t="s">
        <v>25</v>
      </c>
      <c r="E252" s="17" t="s">
        <v>35</v>
      </c>
      <c r="F252" s="1"/>
      <c r="G252" s="2">
        <v>10750</v>
      </c>
      <c r="H252" s="18"/>
      <c r="I252" s="6"/>
      <c r="J252" s="19"/>
    </row>
    <row r="253" spans="1:10" ht="12.75" customHeight="1">
      <c r="A253" s="17" t="s">
        <v>78</v>
      </c>
      <c r="B253" s="1"/>
      <c r="C253" s="1"/>
      <c r="D253" s="2" t="s">
        <v>25</v>
      </c>
      <c r="E253" s="17" t="s">
        <v>37</v>
      </c>
      <c r="F253" s="2"/>
      <c r="G253" s="2" t="s">
        <v>25</v>
      </c>
      <c r="H253" s="18" t="s">
        <v>958</v>
      </c>
      <c r="I253" s="6"/>
      <c r="J253" s="40"/>
    </row>
    <row r="254" spans="1:10" ht="12.75" customHeight="1">
      <c r="A254" s="17" t="s">
        <v>136</v>
      </c>
      <c r="B254" s="1"/>
      <c r="C254" s="1"/>
      <c r="D254" s="2" t="s">
        <v>25</v>
      </c>
      <c r="E254" s="17" t="s">
        <v>39</v>
      </c>
      <c r="F254" s="1"/>
      <c r="G254" s="2">
        <v>100</v>
      </c>
      <c r="H254" s="18" t="s">
        <v>959</v>
      </c>
      <c r="I254" s="6"/>
      <c r="J254" s="40"/>
    </row>
    <row r="255" spans="1:10" ht="12.75" customHeight="1">
      <c r="A255" s="18" t="s">
        <v>147</v>
      </c>
      <c r="B255" s="6"/>
      <c r="C255" s="6"/>
      <c r="D255" s="2" t="s">
        <v>25</v>
      </c>
      <c r="E255" s="17" t="s">
        <v>78</v>
      </c>
      <c r="F255" s="1"/>
      <c r="G255" s="2" t="s">
        <v>25</v>
      </c>
      <c r="H255" s="18"/>
      <c r="I255" s="6"/>
      <c r="J255" s="40"/>
    </row>
    <row r="256" spans="1:10" ht="12.75" customHeight="1">
      <c r="A256" s="204" t="s">
        <v>42</v>
      </c>
      <c r="B256" s="205"/>
      <c r="C256" s="206"/>
      <c r="D256" s="229">
        <f>SUM(D249:D255)</f>
        <v>19650</v>
      </c>
      <c r="E256" s="1" t="s">
        <v>43</v>
      </c>
      <c r="F256" s="1"/>
      <c r="G256" s="2" t="s">
        <v>25</v>
      </c>
      <c r="H256" s="18"/>
      <c r="I256" s="6"/>
      <c r="J256" s="40"/>
    </row>
    <row r="257" spans="1:10" ht="12.75" customHeight="1">
      <c r="A257" s="207"/>
      <c r="B257" s="197"/>
      <c r="C257" s="208"/>
      <c r="D257" s="230"/>
      <c r="E257" s="21" t="s">
        <v>21</v>
      </c>
      <c r="F257" s="22"/>
      <c r="G257" s="13">
        <f>SUM(G249:G256)</f>
        <v>12650</v>
      </c>
      <c r="H257" s="21" t="s">
        <v>44</v>
      </c>
      <c r="I257" s="22"/>
      <c r="J257" s="13">
        <f>D256-G257</f>
        <v>7000</v>
      </c>
    </row>
    <row r="258" spans="1:10" ht="12.75" customHeight="1">
      <c r="A258" s="3" t="s">
        <v>45</v>
      </c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2.75" customHeight="1">
      <c r="A260" s="3"/>
      <c r="B260" s="3" t="s">
        <v>47</v>
      </c>
      <c r="C260" s="3"/>
      <c r="D260" s="3"/>
      <c r="E260" s="3" t="s">
        <v>48</v>
      </c>
      <c r="F260" s="3"/>
      <c r="G260" s="3"/>
      <c r="H260" s="3" t="s">
        <v>49</v>
      </c>
      <c r="I260" s="3"/>
      <c r="J260" s="3"/>
    </row>
    <row r="261" spans="1:10" ht="12.75" customHeight="1">
      <c r="A261" s="184" t="s">
        <v>0</v>
      </c>
      <c r="B261" s="185"/>
      <c r="C261" s="185"/>
      <c r="D261" s="185"/>
      <c r="E261" s="185"/>
      <c r="F261" s="185"/>
      <c r="G261" s="185"/>
      <c r="H261" s="185"/>
      <c r="I261" s="185"/>
      <c r="J261" s="186"/>
    </row>
    <row r="262" spans="1:10" ht="12.75" customHeight="1">
      <c r="A262" s="187" t="s">
        <v>1</v>
      </c>
      <c r="B262" s="188"/>
      <c r="C262" s="188"/>
      <c r="D262" s="188"/>
      <c r="E262" s="188"/>
      <c r="F262" s="188"/>
      <c r="G262" s="188"/>
      <c r="H262" s="188"/>
      <c r="I262" s="188"/>
      <c r="J262" s="189"/>
    </row>
    <row r="263" spans="1:10" ht="12.75" customHeight="1">
      <c r="A263" s="1" t="s">
        <v>2</v>
      </c>
      <c r="B263" s="1"/>
      <c r="C263" s="209"/>
      <c r="D263" s="209"/>
      <c r="E263" s="2"/>
      <c r="F263" s="3"/>
      <c r="G263" s="1" t="s">
        <v>4</v>
      </c>
      <c r="H263" s="1"/>
      <c r="I263" s="2" t="s">
        <v>922</v>
      </c>
      <c r="J263" s="2"/>
    </row>
    <row r="264" spans="1:10" ht="12.75" customHeight="1">
      <c r="A264" s="1" t="s">
        <v>6</v>
      </c>
      <c r="B264" s="1"/>
      <c r="C264" s="196" t="s">
        <v>960</v>
      </c>
      <c r="D264" s="196"/>
      <c r="E264" s="2"/>
      <c r="F264" s="3"/>
      <c r="G264" s="1" t="s">
        <v>8</v>
      </c>
      <c r="H264" s="193" t="s">
        <v>9</v>
      </c>
      <c r="I264" s="193"/>
      <c r="J264" s="193"/>
    </row>
    <row r="265" spans="1:10" ht="12.75" customHeight="1">
      <c r="A265" s="6" t="s">
        <v>10</v>
      </c>
      <c r="B265" s="6"/>
      <c r="C265" s="209" t="s">
        <v>961</v>
      </c>
      <c r="D265" s="209"/>
      <c r="E265" s="2"/>
      <c r="F265" s="3"/>
      <c r="G265" s="1" t="s">
        <v>12</v>
      </c>
      <c r="H265" s="195" t="s">
        <v>13</v>
      </c>
      <c r="I265" s="195"/>
      <c r="J265" s="195"/>
    </row>
    <row r="266" spans="1:10" ht="12.75" customHeight="1">
      <c r="A266" s="2" t="s">
        <v>14</v>
      </c>
      <c r="B266" s="2"/>
      <c r="C266" s="2" t="s">
        <v>15</v>
      </c>
      <c r="D266" s="2"/>
      <c r="E266" s="2"/>
      <c r="F266" s="3"/>
      <c r="G266" s="1" t="s">
        <v>16</v>
      </c>
      <c r="H266" s="209" t="s">
        <v>962</v>
      </c>
      <c r="I266" s="209"/>
      <c r="J266" s="209"/>
    </row>
    <row r="267" spans="1:10" ht="12.75" customHeight="1">
      <c r="A267" s="2">
        <v>30</v>
      </c>
      <c r="B267" s="2"/>
      <c r="C267" s="2">
        <f>A267-H267</f>
        <v>10</v>
      </c>
      <c r="D267" s="2"/>
      <c r="E267" s="2"/>
      <c r="F267" s="3"/>
      <c r="G267" s="8" t="s">
        <v>18</v>
      </c>
      <c r="H267" s="197">
        <v>20</v>
      </c>
      <c r="I267" s="197"/>
      <c r="J267" s="197"/>
    </row>
    <row r="268" spans="1:10" ht="12.75" customHeight="1">
      <c r="A268" s="198" t="s">
        <v>19</v>
      </c>
      <c r="B268" s="199"/>
      <c r="C268" s="200"/>
      <c r="D268" s="13" t="s">
        <v>20</v>
      </c>
      <c r="E268" s="14" t="s">
        <v>21</v>
      </c>
      <c r="F268" s="15"/>
      <c r="G268" s="16" t="s">
        <v>20</v>
      </c>
      <c r="H268" s="201" t="s">
        <v>22</v>
      </c>
      <c r="I268" s="202"/>
      <c r="J268" s="203"/>
    </row>
    <row r="269" spans="1:10" ht="12.75" customHeight="1">
      <c r="A269" s="17" t="s">
        <v>23</v>
      </c>
      <c r="B269" s="1"/>
      <c r="C269" s="1"/>
      <c r="D269" s="2">
        <v>78000</v>
      </c>
      <c r="E269" s="17" t="s">
        <v>24</v>
      </c>
      <c r="F269" s="1"/>
      <c r="G269" s="2" t="s">
        <v>25</v>
      </c>
      <c r="H269" s="18" t="s">
        <v>502</v>
      </c>
      <c r="I269" s="6"/>
      <c r="J269" s="19"/>
    </row>
    <row r="270" spans="1:10" ht="12.75" customHeight="1">
      <c r="A270" s="17" t="s">
        <v>77</v>
      </c>
      <c r="B270" s="209"/>
      <c r="C270" s="209"/>
      <c r="D270" s="2" t="s">
        <v>25</v>
      </c>
      <c r="E270" s="17" t="s">
        <v>52</v>
      </c>
      <c r="F270" s="1"/>
      <c r="G270" s="2" t="s">
        <v>25</v>
      </c>
      <c r="H270" s="18" t="s">
        <v>504</v>
      </c>
      <c r="I270" s="6"/>
      <c r="J270" s="19"/>
    </row>
    <row r="271" spans="1:10" ht="12.75" customHeight="1">
      <c r="A271" s="17" t="s">
        <v>963</v>
      </c>
      <c r="B271" s="1"/>
      <c r="C271" s="1"/>
      <c r="D271" s="2" t="s">
        <v>25</v>
      </c>
      <c r="E271" s="17" t="s">
        <v>964</v>
      </c>
      <c r="F271" s="1"/>
      <c r="G271" s="2" t="s">
        <v>25</v>
      </c>
      <c r="H271" s="18" t="s">
        <v>32</v>
      </c>
      <c r="I271" s="6"/>
      <c r="J271" s="19"/>
    </row>
    <row r="272" spans="1:10" ht="12.75" customHeight="1">
      <c r="A272" s="17" t="s">
        <v>147</v>
      </c>
      <c r="B272" s="1"/>
      <c r="C272" s="1"/>
      <c r="D272" s="2">
        <v>1800</v>
      </c>
      <c r="E272" s="17" t="s">
        <v>35</v>
      </c>
      <c r="F272" s="1"/>
      <c r="G272" s="2">
        <v>24700</v>
      </c>
      <c r="H272" s="18"/>
      <c r="I272" s="6"/>
      <c r="J272" s="19"/>
    </row>
    <row r="273" spans="1:10" ht="12.75" customHeight="1">
      <c r="A273" s="17" t="s">
        <v>663</v>
      </c>
      <c r="B273" s="1"/>
      <c r="C273" s="1"/>
      <c r="D273" s="2" t="s">
        <v>25</v>
      </c>
      <c r="E273" s="17" t="s">
        <v>61</v>
      </c>
      <c r="F273" s="1"/>
      <c r="G273" s="2" t="s">
        <v>25</v>
      </c>
      <c r="H273" s="18" t="s">
        <v>965</v>
      </c>
      <c r="I273" s="6"/>
      <c r="J273" s="19"/>
    </row>
    <row r="274" spans="1:10" ht="12.75" customHeight="1">
      <c r="A274" s="17" t="s">
        <v>136</v>
      </c>
      <c r="B274" s="1"/>
      <c r="C274" s="1"/>
      <c r="D274" s="2" t="s">
        <v>25</v>
      </c>
      <c r="E274" s="17" t="s">
        <v>39</v>
      </c>
      <c r="F274" s="1"/>
      <c r="G274" s="2">
        <v>100</v>
      </c>
      <c r="H274" s="18" t="s">
        <v>966</v>
      </c>
      <c r="I274" s="6"/>
      <c r="J274" s="19"/>
    </row>
    <row r="275" spans="1:10" ht="12.75" customHeight="1">
      <c r="A275" s="18" t="s">
        <v>40</v>
      </c>
      <c r="B275" s="6"/>
      <c r="C275" s="6"/>
      <c r="D275" s="2" t="s">
        <v>25</v>
      </c>
      <c r="E275" s="17" t="s">
        <v>78</v>
      </c>
      <c r="F275" s="1"/>
      <c r="G275" s="2" t="s">
        <v>25</v>
      </c>
      <c r="H275" s="18"/>
      <c r="I275" s="6"/>
      <c r="J275" s="19"/>
    </row>
    <row r="276" spans="1:10" ht="12.75" customHeight="1">
      <c r="A276" s="204" t="s">
        <v>42</v>
      </c>
      <c r="B276" s="205"/>
      <c r="C276" s="206"/>
      <c r="D276" s="229">
        <f>SUM(D269:D275)</f>
        <v>79800</v>
      </c>
      <c r="E276" s="1" t="s">
        <v>283</v>
      </c>
      <c r="F276" s="1"/>
      <c r="G276" s="2" t="s">
        <v>25</v>
      </c>
      <c r="H276" s="18"/>
      <c r="I276" s="6"/>
      <c r="J276" s="19"/>
    </row>
    <row r="277" spans="1:10" ht="12.75" customHeight="1">
      <c r="A277" s="207"/>
      <c r="B277" s="197"/>
      <c r="C277" s="208"/>
      <c r="D277" s="230"/>
      <c r="E277" s="21" t="s">
        <v>21</v>
      </c>
      <c r="F277" s="22"/>
      <c r="G277" s="13">
        <f>SUM(G269:G276)</f>
        <v>24800</v>
      </c>
      <c r="H277" s="21" t="s">
        <v>44</v>
      </c>
      <c r="I277" s="22"/>
      <c r="J277" s="13">
        <f>D276-G277</f>
        <v>55000</v>
      </c>
    </row>
    <row r="278" spans="1:10" ht="12.75" customHeight="1">
      <c r="A278" s="3" t="s">
        <v>45</v>
      </c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2.75" customHeight="1">
      <c r="A280" s="3"/>
      <c r="B280" s="3" t="s">
        <v>47</v>
      </c>
      <c r="C280" s="3"/>
      <c r="D280" s="3"/>
      <c r="E280" s="3" t="s">
        <v>48</v>
      </c>
      <c r="F280" s="3"/>
      <c r="G280" s="3"/>
      <c r="H280" s="3" t="s">
        <v>49</v>
      </c>
      <c r="I280" s="3"/>
      <c r="J280" s="3"/>
    </row>
    <row r="281" spans="1:10" ht="12.75" customHeight="1">
      <c r="A281" s="184" t="s">
        <v>0</v>
      </c>
      <c r="B281" s="185"/>
      <c r="C281" s="185"/>
      <c r="D281" s="185"/>
      <c r="E281" s="185"/>
      <c r="F281" s="185"/>
      <c r="G281" s="185"/>
      <c r="H281" s="185"/>
      <c r="I281" s="185"/>
      <c r="J281" s="186"/>
    </row>
    <row r="282" spans="1:10" ht="12.75" customHeight="1">
      <c r="A282" s="187" t="s">
        <v>1</v>
      </c>
      <c r="B282" s="188"/>
      <c r="C282" s="188"/>
      <c r="D282" s="188"/>
      <c r="E282" s="188"/>
      <c r="F282" s="188"/>
      <c r="G282" s="188"/>
      <c r="H282" s="188"/>
      <c r="I282" s="188"/>
      <c r="J282" s="189"/>
    </row>
    <row r="283" spans="1:10" ht="12.75" customHeight="1">
      <c r="A283" s="1" t="s">
        <v>2</v>
      </c>
      <c r="B283" s="1"/>
      <c r="C283" s="209"/>
      <c r="D283" s="209"/>
      <c r="E283" s="2"/>
      <c r="F283" s="3"/>
      <c r="G283" s="1" t="s">
        <v>4</v>
      </c>
      <c r="H283" s="1"/>
      <c r="I283" s="2" t="s">
        <v>922</v>
      </c>
      <c r="J283" s="2"/>
    </row>
    <row r="284" spans="1:10" ht="12.75" customHeight="1">
      <c r="A284" s="1" t="s">
        <v>6</v>
      </c>
      <c r="B284" s="1"/>
      <c r="C284" s="196" t="s">
        <v>967</v>
      </c>
      <c r="D284" s="196"/>
      <c r="E284" s="2"/>
      <c r="F284" s="3"/>
      <c r="G284" s="1" t="s">
        <v>8</v>
      </c>
      <c r="H284" s="193" t="s">
        <v>9</v>
      </c>
      <c r="I284" s="193"/>
      <c r="J284" s="193"/>
    </row>
    <row r="285" spans="1:10" ht="12.75" customHeight="1">
      <c r="A285" s="6" t="s">
        <v>10</v>
      </c>
      <c r="B285" s="6"/>
      <c r="C285" s="6" t="s">
        <v>968</v>
      </c>
      <c r="D285" s="6"/>
      <c r="E285" s="2"/>
      <c r="F285" s="3"/>
      <c r="G285" s="1" t="s">
        <v>12</v>
      </c>
      <c r="H285" s="195" t="s">
        <v>13</v>
      </c>
      <c r="I285" s="195"/>
      <c r="J285" s="195"/>
    </row>
    <row r="286" spans="1:10" ht="12.75" customHeight="1">
      <c r="A286" s="2" t="s">
        <v>14</v>
      </c>
      <c r="B286" s="2"/>
      <c r="C286" s="2" t="s">
        <v>15</v>
      </c>
      <c r="D286" s="2"/>
      <c r="E286" s="2"/>
      <c r="F286" s="3"/>
      <c r="G286" s="1" t="s">
        <v>16</v>
      </c>
      <c r="H286" s="209" t="s">
        <v>969</v>
      </c>
      <c r="I286" s="209"/>
      <c r="J286" s="209"/>
    </row>
    <row r="287" spans="1:10" ht="12.75" customHeight="1">
      <c r="A287" s="2">
        <v>30</v>
      </c>
      <c r="B287" s="2"/>
      <c r="C287" s="2">
        <f>A287-H287</f>
        <v>0</v>
      </c>
      <c r="D287" s="2"/>
      <c r="E287" s="2"/>
      <c r="F287" s="3"/>
      <c r="G287" s="8" t="s">
        <v>18</v>
      </c>
      <c r="H287" s="197">
        <v>30</v>
      </c>
      <c r="I287" s="197"/>
      <c r="J287" s="197"/>
    </row>
    <row r="288" spans="1:10" ht="12.75" customHeight="1">
      <c r="A288" s="198" t="s">
        <v>19</v>
      </c>
      <c r="B288" s="199"/>
      <c r="C288" s="200"/>
      <c r="D288" s="13" t="s">
        <v>20</v>
      </c>
      <c r="E288" s="14" t="s">
        <v>21</v>
      </c>
      <c r="F288" s="15"/>
      <c r="G288" s="16" t="s">
        <v>20</v>
      </c>
      <c r="H288" s="201" t="s">
        <v>22</v>
      </c>
      <c r="I288" s="202"/>
      <c r="J288" s="203"/>
    </row>
    <row r="289" spans="1:10" ht="12.75" customHeight="1">
      <c r="A289" s="17" t="s">
        <v>23</v>
      </c>
      <c r="B289" s="1"/>
      <c r="C289" s="1"/>
      <c r="D289" s="2">
        <v>30000</v>
      </c>
      <c r="E289" s="17" t="s">
        <v>24</v>
      </c>
      <c r="F289" s="1"/>
      <c r="G289" s="2" t="s">
        <v>25</v>
      </c>
      <c r="H289" s="18" t="s">
        <v>502</v>
      </c>
      <c r="I289" s="6"/>
      <c r="J289" s="19"/>
    </row>
    <row r="290" spans="1:10" ht="12.75" customHeight="1">
      <c r="A290" s="17" t="s">
        <v>77</v>
      </c>
      <c r="B290" s="209"/>
      <c r="C290" s="209"/>
      <c r="D290" s="2" t="s">
        <v>25</v>
      </c>
      <c r="E290" s="17" t="s">
        <v>28</v>
      </c>
      <c r="F290" s="1"/>
      <c r="G290" s="2" t="s">
        <v>25</v>
      </c>
      <c r="H290" s="18" t="s">
        <v>504</v>
      </c>
      <c r="I290" s="6"/>
      <c r="J290" s="19"/>
    </row>
    <row r="291" spans="1:10" ht="12.75" customHeight="1">
      <c r="A291" s="17" t="s">
        <v>852</v>
      </c>
      <c r="B291" s="1"/>
      <c r="C291" s="1"/>
      <c r="D291" s="2" t="s">
        <v>25</v>
      </c>
      <c r="E291" s="17" t="s">
        <v>58</v>
      </c>
      <c r="F291" s="1"/>
      <c r="G291" s="2" t="s">
        <v>25</v>
      </c>
      <c r="H291" s="18" t="s">
        <v>32</v>
      </c>
      <c r="I291" s="6"/>
      <c r="J291" s="19"/>
    </row>
    <row r="292" spans="1:10" ht="12.75" customHeight="1">
      <c r="A292" s="17" t="s">
        <v>147</v>
      </c>
      <c r="B292" s="1"/>
      <c r="C292" s="1"/>
      <c r="D292" s="2" t="s">
        <v>25</v>
      </c>
      <c r="E292" s="17" t="s">
        <v>35</v>
      </c>
      <c r="F292" s="1"/>
      <c r="G292" s="2" t="s">
        <v>25</v>
      </c>
      <c r="H292" s="18"/>
      <c r="I292" s="6"/>
      <c r="J292" s="19"/>
    </row>
    <row r="293" spans="1:10" ht="12.75" customHeight="1">
      <c r="A293" s="17" t="s">
        <v>970</v>
      </c>
      <c r="B293" s="1"/>
      <c r="C293" s="1"/>
      <c r="D293" s="2">
        <v>3000</v>
      </c>
      <c r="E293" s="17" t="s">
        <v>61</v>
      </c>
      <c r="F293" s="1"/>
      <c r="G293" s="2" t="s">
        <v>25</v>
      </c>
      <c r="H293" s="18"/>
      <c r="I293" s="6"/>
      <c r="J293" s="19"/>
    </row>
    <row r="294" spans="1:10" ht="12.75" customHeight="1">
      <c r="A294" s="17" t="s">
        <v>136</v>
      </c>
      <c r="B294" s="1"/>
      <c r="C294" s="1"/>
      <c r="D294" s="2">
        <v>2000</v>
      </c>
      <c r="E294" s="17" t="s">
        <v>39</v>
      </c>
      <c r="F294" s="1"/>
      <c r="G294" s="2">
        <v>100</v>
      </c>
      <c r="H294" s="18" t="s">
        <v>437</v>
      </c>
      <c r="I294" s="6"/>
      <c r="J294" s="19"/>
    </row>
    <row r="295" spans="1:10" ht="12.75" customHeight="1">
      <c r="A295" s="18" t="s">
        <v>40</v>
      </c>
      <c r="B295" s="6"/>
      <c r="C295" s="6"/>
      <c r="D295" s="2" t="s">
        <v>25</v>
      </c>
      <c r="E295" s="17" t="s">
        <v>78</v>
      </c>
      <c r="F295" s="1"/>
      <c r="G295" s="2" t="s">
        <v>25</v>
      </c>
      <c r="H295" s="18"/>
      <c r="I295" s="6"/>
      <c r="J295" s="19"/>
    </row>
    <row r="296" spans="1:10" ht="12.75" customHeight="1">
      <c r="A296" s="204" t="s">
        <v>42</v>
      </c>
      <c r="B296" s="205"/>
      <c r="C296" s="206"/>
      <c r="D296" s="229">
        <f>SUM(D289:D295)</f>
        <v>35000</v>
      </c>
      <c r="E296" s="1" t="s">
        <v>283</v>
      </c>
      <c r="F296" s="1"/>
      <c r="G296" s="2" t="s">
        <v>25</v>
      </c>
      <c r="H296" s="18"/>
      <c r="I296" s="6"/>
      <c r="J296" s="19"/>
    </row>
    <row r="297" spans="1:10" ht="12.75" customHeight="1">
      <c r="A297" s="207"/>
      <c r="B297" s="197"/>
      <c r="C297" s="208"/>
      <c r="D297" s="230"/>
      <c r="E297" s="21" t="s">
        <v>21</v>
      </c>
      <c r="F297" s="22"/>
      <c r="G297" s="13">
        <f>SUM(G289:G296)</f>
        <v>100</v>
      </c>
      <c r="H297" s="21" t="s">
        <v>44</v>
      </c>
      <c r="I297" s="22"/>
      <c r="J297" s="13">
        <f>D296-G297</f>
        <v>34900</v>
      </c>
    </row>
    <row r="298" spans="1:10" ht="12.75" customHeight="1">
      <c r="A298" s="3" t="s">
        <v>45</v>
      </c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2.75" customHeight="1">
      <c r="A300" s="3"/>
      <c r="B300" s="3" t="s">
        <v>47</v>
      </c>
      <c r="C300" s="3"/>
      <c r="D300" s="3"/>
      <c r="E300" s="3" t="s">
        <v>48</v>
      </c>
      <c r="F300" s="3"/>
      <c r="G300" s="3"/>
      <c r="H300" s="3" t="s">
        <v>49</v>
      </c>
      <c r="I300" s="3"/>
      <c r="J300" s="3"/>
    </row>
    <row r="301" spans="1:10" ht="12.75" customHeight="1">
      <c r="A301" s="184" t="s">
        <v>0</v>
      </c>
      <c r="B301" s="185"/>
      <c r="C301" s="185"/>
      <c r="D301" s="185"/>
      <c r="E301" s="185"/>
      <c r="F301" s="185"/>
      <c r="G301" s="185"/>
      <c r="H301" s="185"/>
      <c r="I301" s="185"/>
      <c r="J301" s="186"/>
    </row>
    <row r="302" spans="1:10" ht="12.75" customHeight="1">
      <c r="A302" s="187" t="s">
        <v>1</v>
      </c>
      <c r="B302" s="188"/>
      <c r="C302" s="188"/>
      <c r="D302" s="188"/>
      <c r="E302" s="188"/>
      <c r="F302" s="188"/>
      <c r="G302" s="188"/>
      <c r="H302" s="188"/>
      <c r="I302" s="188"/>
      <c r="J302" s="189"/>
    </row>
    <row r="303" spans="1:10" ht="12.75" customHeight="1">
      <c r="A303" s="1" t="s">
        <v>2</v>
      </c>
      <c r="B303" s="1"/>
      <c r="C303" s="209"/>
      <c r="D303" s="209"/>
      <c r="E303" s="2"/>
      <c r="F303" s="3"/>
      <c r="G303" s="1" t="s">
        <v>4</v>
      </c>
      <c r="H303" s="1"/>
      <c r="I303" s="2" t="s">
        <v>922</v>
      </c>
      <c r="J303" s="2"/>
    </row>
    <row r="304" spans="1:10" ht="12.75" customHeight="1">
      <c r="A304" s="1" t="s">
        <v>6</v>
      </c>
      <c r="B304" s="1"/>
      <c r="C304" s="6" t="s">
        <v>971</v>
      </c>
      <c r="D304" s="6"/>
      <c r="E304" s="2"/>
      <c r="F304" s="3"/>
      <c r="G304" s="1" t="s">
        <v>8</v>
      </c>
      <c r="H304" s="193" t="s">
        <v>9</v>
      </c>
      <c r="I304" s="193"/>
      <c r="J304" s="193"/>
    </row>
    <row r="305" spans="1:10" ht="12.75" customHeight="1">
      <c r="A305" s="6" t="s">
        <v>10</v>
      </c>
      <c r="B305" s="6"/>
      <c r="C305" s="194" t="s">
        <v>972</v>
      </c>
      <c r="D305" s="194"/>
      <c r="E305" s="2"/>
      <c r="F305" s="3"/>
      <c r="G305" s="1" t="s">
        <v>12</v>
      </c>
      <c r="H305" s="195" t="s">
        <v>13</v>
      </c>
      <c r="I305" s="195"/>
      <c r="J305" s="195"/>
    </row>
    <row r="306" spans="1:10" ht="12.75" customHeight="1">
      <c r="A306" s="2" t="s">
        <v>14</v>
      </c>
      <c r="B306" s="2"/>
      <c r="C306" s="2" t="s">
        <v>15</v>
      </c>
      <c r="D306" s="2"/>
      <c r="E306" s="2"/>
      <c r="F306" s="3"/>
      <c r="G306" s="1" t="s">
        <v>16</v>
      </c>
      <c r="H306" s="209" t="s">
        <v>973</v>
      </c>
      <c r="I306" s="209"/>
      <c r="J306" s="209"/>
    </row>
    <row r="307" spans="1:10" ht="12.75" customHeight="1">
      <c r="A307" s="2">
        <v>30</v>
      </c>
      <c r="B307" s="2"/>
      <c r="C307" s="2">
        <f>A307-H307</f>
        <v>0</v>
      </c>
      <c r="D307" s="2"/>
      <c r="E307" s="2"/>
      <c r="F307" s="3"/>
      <c r="G307" s="8" t="s">
        <v>974</v>
      </c>
      <c r="H307" s="197">
        <v>30</v>
      </c>
      <c r="I307" s="197"/>
      <c r="J307" s="197"/>
    </row>
    <row r="308" spans="1:10" ht="12.75" customHeight="1">
      <c r="A308" s="198" t="s">
        <v>19</v>
      </c>
      <c r="B308" s="199"/>
      <c r="C308" s="200"/>
      <c r="D308" s="13" t="s">
        <v>20</v>
      </c>
      <c r="E308" s="14" t="s">
        <v>21</v>
      </c>
      <c r="F308" s="15"/>
      <c r="G308" s="16" t="s">
        <v>20</v>
      </c>
      <c r="H308" s="201" t="s">
        <v>22</v>
      </c>
      <c r="I308" s="202"/>
      <c r="J308" s="203"/>
    </row>
    <row r="309" spans="1:10" ht="12.75" customHeight="1">
      <c r="A309" s="17" t="s">
        <v>23</v>
      </c>
      <c r="B309" s="1"/>
      <c r="C309" s="1"/>
      <c r="D309" s="2">
        <v>20000</v>
      </c>
      <c r="E309" s="17" t="s">
        <v>24</v>
      </c>
      <c r="F309" s="1"/>
      <c r="G309" s="2" t="s">
        <v>25</v>
      </c>
      <c r="H309" s="18" t="s">
        <v>502</v>
      </c>
      <c r="I309" s="6"/>
      <c r="J309" s="19"/>
    </row>
    <row r="310" spans="1:10" ht="12.75" customHeight="1">
      <c r="A310" s="17" t="s">
        <v>77</v>
      </c>
      <c r="B310" s="1"/>
      <c r="C310" s="1"/>
      <c r="D310" s="2" t="s">
        <v>25</v>
      </c>
      <c r="E310" s="17" t="s">
        <v>28</v>
      </c>
      <c r="F310" s="1"/>
      <c r="G310" s="2" t="s">
        <v>25</v>
      </c>
      <c r="H310" s="18" t="s">
        <v>504</v>
      </c>
      <c r="I310" s="6"/>
      <c r="J310" s="19"/>
    </row>
    <row r="311" spans="1:10" ht="12.75" customHeight="1">
      <c r="A311" s="17" t="s">
        <v>30</v>
      </c>
      <c r="B311" s="1"/>
      <c r="C311" s="1"/>
      <c r="D311" s="2" t="s">
        <v>25</v>
      </c>
      <c r="E311" s="17" t="s">
        <v>40</v>
      </c>
      <c r="F311" s="1"/>
      <c r="G311" s="2" t="s">
        <v>25</v>
      </c>
      <c r="H311" s="18" t="s">
        <v>32</v>
      </c>
      <c r="I311" s="6"/>
      <c r="J311" s="19"/>
    </row>
    <row r="312" spans="1:10" ht="12.75" customHeight="1">
      <c r="A312" s="17" t="s">
        <v>34</v>
      </c>
      <c r="B312" s="1"/>
      <c r="C312" s="1"/>
      <c r="D312" s="2" t="s">
        <v>25</v>
      </c>
      <c r="E312" s="17" t="s">
        <v>35</v>
      </c>
      <c r="F312" s="1"/>
      <c r="G312" s="2" t="s">
        <v>25</v>
      </c>
      <c r="H312" s="18"/>
      <c r="I312" s="6"/>
      <c r="J312" s="19"/>
    </row>
    <row r="313" spans="1:10" ht="12.75" customHeight="1">
      <c r="A313" s="17" t="s">
        <v>110</v>
      </c>
      <c r="B313" s="1"/>
      <c r="C313" s="1"/>
      <c r="D313" s="2" t="s">
        <v>25</v>
      </c>
      <c r="E313" s="17" t="s">
        <v>37</v>
      </c>
      <c r="F313" s="1"/>
      <c r="G313" s="2" t="s">
        <v>25</v>
      </c>
      <c r="H313" s="18"/>
      <c r="I313" s="6"/>
      <c r="J313" s="19"/>
    </row>
    <row r="314" spans="1:10" ht="12.75" customHeight="1">
      <c r="A314" s="17" t="s">
        <v>136</v>
      </c>
      <c r="B314" s="1"/>
      <c r="C314" s="1"/>
      <c r="D314" s="2" t="s">
        <v>25</v>
      </c>
      <c r="E314" s="17" t="s">
        <v>39</v>
      </c>
      <c r="F314" s="1"/>
      <c r="G314" s="2" t="s">
        <v>25</v>
      </c>
      <c r="H314" s="18"/>
      <c r="I314" s="6"/>
      <c r="J314" s="19"/>
    </row>
    <row r="315" spans="1:10" ht="12.75" customHeight="1">
      <c r="A315" s="18" t="s">
        <v>40</v>
      </c>
      <c r="B315" s="6"/>
      <c r="C315" s="6"/>
      <c r="D315" s="2" t="s">
        <v>25</v>
      </c>
      <c r="E315" s="17" t="s">
        <v>41</v>
      </c>
      <c r="F315" s="1"/>
      <c r="G315" s="2" t="s">
        <v>25</v>
      </c>
      <c r="H315" s="18"/>
      <c r="I315" s="6"/>
      <c r="J315" s="19"/>
    </row>
    <row r="316" spans="1:10" ht="12.75" customHeight="1">
      <c r="A316" s="204" t="s">
        <v>42</v>
      </c>
      <c r="B316" s="205"/>
      <c r="C316" s="206"/>
      <c r="D316" s="229">
        <f>SUM(D309:D315)</f>
        <v>20000</v>
      </c>
      <c r="E316" s="1" t="s">
        <v>43</v>
      </c>
      <c r="F316" s="1"/>
      <c r="G316" s="2" t="s">
        <v>25</v>
      </c>
      <c r="H316" s="18"/>
      <c r="I316" s="6"/>
      <c r="J316" s="19"/>
    </row>
    <row r="317" spans="1:10" ht="12.75" customHeight="1">
      <c r="A317" s="207"/>
      <c r="B317" s="197"/>
      <c r="C317" s="208"/>
      <c r="D317" s="230"/>
      <c r="E317" s="21" t="s">
        <v>21</v>
      </c>
      <c r="F317" s="52"/>
      <c r="G317" s="53">
        <f>SUM(G309:G316)</f>
        <v>0</v>
      </c>
      <c r="H317" s="12" t="s">
        <v>44</v>
      </c>
      <c r="I317" s="22"/>
      <c r="J317" s="13">
        <f>D316-G317</f>
        <v>20000</v>
      </c>
    </row>
    <row r="318" spans="1:10" ht="12.75" customHeight="1">
      <c r="A318" s="3" t="s">
        <v>45</v>
      </c>
      <c r="B318" s="3"/>
      <c r="C318" s="3"/>
      <c r="D318" s="3"/>
      <c r="E318" s="3"/>
      <c r="F318" s="3"/>
      <c r="G318" s="6"/>
      <c r="H318" s="3"/>
      <c r="I318" s="3"/>
      <c r="J318" s="3"/>
    </row>
    <row r="319" spans="1:10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2.75" customHeight="1">
      <c r="A320" s="3"/>
      <c r="B320" s="3" t="s">
        <v>47</v>
      </c>
      <c r="C320" s="3"/>
      <c r="D320" s="3"/>
      <c r="E320" s="3" t="s">
        <v>48</v>
      </c>
      <c r="F320" s="3"/>
      <c r="G320" s="3"/>
      <c r="H320" s="3" t="s">
        <v>49</v>
      </c>
      <c r="I320" s="3"/>
      <c r="J320" s="3"/>
    </row>
    <row r="321" spans="1:10" ht="12.75" customHeight="1">
      <c r="A321" s="184" t="s">
        <v>0</v>
      </c>
      <c r="B321" s="185"/>
      <c r="C321" s="185"/>
      <c r="D321" s="185"/>
      <c r="E321" s="185"/>
      <c r="F321" s="185"/>
      <c r="G321" s="185"/>
      <c r="H321" s="185"/>
      <c r="I321" s="185"/>
      <c r="J321" s="186"/>
    </row>
    <row r="322" spans="1:10" ht="12.75" customHeight="1">
      <c r="A322" s="187" t="s">
        <v>1</v>
      </c>
      <c r="B322" s="188"/>
      <c r="C322" s="188"/>
      <c r="D322" s="188"/>
      <c r="E322" s="188"/>
      <c r="F322" s="188"/>
      <c r="G322" s="188"/>
      <c r="H322" s="188"/>
      <c r="I322" s="188"/>
      <c r="J322" s="189"/>
    </row>
    <row r="323" spans="1:10" ht="12.75" customHeight="1">
      <c r="A323" s="1" t="s">
        <v>2</v>
      </c>
      <c r="B323" s="1"/>
      <c r="C323" s="209" t="s">
        <v>975</v>
      </c>
      <c r="D323" s="209"/>
      <c r="E323" s="2"/>
      <c r="F323" s="3"/>
      <c r="G323" s="1" t="s">
        <v>4</v>
      </c>
      <c r="H323" s="1"/>
      <c r="I323" s="2" t="s">
        <v>922</v>
      </c>
      <c r="J323" s="2"/>
    </row>
    <row r="324" spans="1:10" ht="12.75" customHeight="1">
      <c r="A324" s="1" t="s">
        <v>6</v>
      </c>
      <c r="B324" s="1"/>
      <c r="C324" s="6" t="s">
        <v>976</v>
      </c>
      <c r="D324" s="6"/>
      <c r="E324" s="2"/>
      <c r="F324" s="3"/>
      <c r="G324" s="1" t="s">
        <v>8</v>
      </c>
      <c r="H324" s="193" t="s">
        <v>9</v>
      </c>
      <c r="I324" s="193"/>
      <c r="J324" s="193"/>
    </row>
    <row r="325" spans="1:10" ht="12.75" customHeight="1">
      <c r="A325" s="6" t="s">
        <v>10</v>
      </c>
      <c r="B325" s="6"/>
      <c r="C325" s="194" t="s">
        <v>977</v>
      </c>
      <c r="D325" s="194"/>
      <c r="E325" s="2"/>
      <c r="F325" s="3"/>
      <c r="G325" s="1" t="s">
        <v>12</v>
      </c>
      <c r="H325" s="195" t="s">
        <v>13</v>
      </c>
      <c r="I325" s="195"/>
      <c r="J325" s="195"/>
    </row>
    <row r="326" spans="1:10" ht="12.75" customHeight="1">
      <c r="A326" s="2" t="s">
        <v>14</v>
      </c>
      <c r="B326" s="2"/>
      <c r="C326" s="2" t="s">
        <v>15</v>
      </c>
      <c r="D326" s="2"/>
      <c r="E326" s="2"/>
      <c r="F326" s="3"/>
      <c r="G326" s="1" t="s">
        <v>16</v>
      </c>
      <c r="H326" s="209" t="s">
        <v>925</v>
      </c>
      <c r="I326" s="209"/>
      <c r="J326" s="209"/>
    </row>
    <row r="327" spans="1:10" ht="12.75" customHeight="1">
      <c r="A327" s="2">
        <v>30</v>
      </c>
      <c r="B327" s="2"/>
      <c r="C327" s="2">
        <f>A327-H327</f>
        <v>0</v>
      </c>
      <c r="D327" s="2"/>
      <c r="E327" s="2"/>
      <c r="F327" s="3"/>
      <c r="G327" s="8" t="s">
        <v>974</v>
      </c>
      <c r="H327" s="197">
        <v>30</v>
      </c>
      <c r="I327" s="197"/>
      <c r="J327" s="197"/>
    </row>
    <row r="328" spans="1:10" ht="12.75" customHeight="1">
      <c r="A328" s="198" t="s">
        <v>19</v>
      </c>
      <c r="B328" s="199"/>
      <c r="C328" s="200"/>
      <c r="D328" s="13" t="s">
        <v>20</v>
      </c>
      <c r="E328" s="14" t="s">
        <v>21</v>
      </c>
      <c r="F328" s="15"/>
      <c r="G328" s="16" t="s">
        <v>20</v>
      </c>
      <c r="H328" s="201" t="s">
        <v>22</v>
      </c>
      <c r="I328" s="202"/>
      <c r="J328" s="203"/>
    </row>
    <row r="329" spans="1:10" ht="12.75" customHeight="1">
      <c r="A329" s="17" t="s">
        <v>23</v>
      </c>
      <c r="B329" s="1"/>
      <c r="C329" s="1"/>
      <c r="D329" s="2">
        <v>50000</v>
      </c>
      <c r="E329" s="17" t="s">
        <v>24</v>
      </c>
      <c r="F329" s="1"/>
      <c r="G329" s="2" t="s">
        <v>25</v>
      </c>
      <c r="H329" s="18" t="s">
        <v>502</v>
      </c>
      <c r="I329" s="6"/>
      <c r="J329" s="19"/>
    </row>
    <row r="330" spans="1:10" ht="12.75" customHeight="1">
      <c r="A330" s="17" t="s">
        <v>77</v>
      </c>
      <c r="B330" s="1"/>
      <c r="C330" s="1"/>
      <c r="D330" s="2" t="s">
        <v>25</v>
      </c>
      <c r="E330" s="17" t="s">
        <v>28</v>
      </c>
      <c r="F330" s="1"/>
      <c r="G330" s="2" t="s">
        <v>25</v>
      </c>
      <c r="H330" s="18" t="s">
        <v>504</v>
      </c>
      <c r="I330" s="6"/>
      <c r="J330" s="19"/>
    </row>
    <row r="331" spans="1:10" ht="12.75" customHeight="1">
      <c r="A331" s="17" t="s">
        <v>30</v>
      </c>
      <c r="B331" s="1"/>
      <c r="C331" s="1"/>
      <c r="D331" s="2" t="s">
        <v>25</v>
      </c>
      <c r="E331" s="17" t="s">
        <v>40</v>
      </c>
      <c r="F331" s="1"/>
      <c r="G331" s="2" t="s">
        <v>25</v>
      </c>
      <c r="H331" s="18" t="s">
        <v>32</v>
      </c>
      <c r="I331" s="6"/>
      <c r="J331" s="19"/>
    </row>
    <row r="332" spans="1:10" ht="12.75" customHeight="1">
      <c r="A332" s="17" t="s">
        <v>34</v>
      </c>
      <c r="B332" s="1"/>
      <c r="C332" s="1"/>
      <c r="D332" s="2">
        <v>5100</v>
      </c>
      <c r="E332" s="17" t="s">
        <v>35</v>
      </c>
      <c r="F332" s="1"/>
      <c r="G332" s="2" t="s">
        <v>25</v>
      </c>
      <c r="H332" s="18"/>
      <c r="I332" s="6"/>
      <c r="J332" s="19"/>
    </row>
    <row r="333" spans="1:10" ht="12.75" customHeight="1">
      <c r="A333" s="17" t="s">
        <v>110</v>
      </c>
      <c r="B333" s="1"/>
      <c r="C333" s="1"/>
      <c r="D333" s="2" t="s">
        <v>25</v>
      </c>
      <c r="E333" s="17" t="s">
        <v>37</v>
      </c>
      <c r="F333" s="1"/>
      <c r="G333" s="2" t="s">
        <v>25</v>
      </c>
      <c r="H333" s="18"/>
      <c r="I333" s="6"/>
      <c r="J333" s="19"/>
    </row>
    <row r="334" spans="1:10" ht="12.75" customHeight="1">
      <c r="A334" s="17" t="s">
        <v>136</v>
      </c>
      <c r="B334" s="1"/>
      <c r="C334" s="1"/>
      <c r="D334" s="2" t="s">
        <v>25</v>
      </c>
      <c r="E334" s="17" t="s">
        <v>39</v>
      </c>
      <c r="F334" s="1"/>
      <c r="G334" s="2">
        <v>100</v>
      </c>
      <c r="H334" s="18"/>
      <c r="I334" s="6"/>
      <c r="J334" s="19"/>
    </row>
    <row r="335" spans="1:10" ht="12.75" customHeight="1">
      <c r="A335" s="18" t="s">
        <v>40</v>
      </c>
      <c r="B335" s="6"/>
      <c r="C335" s="6"/>
      <c r="D335" s="2" t="s">
        <v>25</v>
      </c>
      <c r="E335" s="17" t="s">
        <v>41</v>
      </c>
      <c r="F335" s="1"/>
      <c r="G335" s="2" t="s">
        <v>25</v>
      </c>
      <c r="H335" s="18"/>
      <c r="I335" s="6"/>
      <c r="J335" s="19"/>
    </row>
    <row r="336" spans="1:10" ht="12.75" customHeight="1">
      <c r="A336" s="204" t="s">
        <v>42</v>
      </c>
      <c r="B336" s="205"/>
      <c r="C336" s="206"/>
      <c r="D336" s="229">
        <f>SUM(D329:D335)</f>
        <v>55100</v>
      </c>
      <c r="E336" s="1" t="s">
        <v>43</v>
      </c>
      <c r="F336" s="1"/>
      <c r="G336" s="2" t="s">
        <v>25</v>
      </c>
      <c r="H336" s="18"/>
      <c r="I336" s="6"/>
      <c r="J336" s="19"/>
    </row>
    <row r="337" spans="1:10" ht="12.75" customHeight="1">
      <c r="A337" s="207"/>
      <c r="B337" s="197"/>
      <c r="C337" s="208"/>
      <c r="D337" s="230"/>
      <c r="E337" s="21" t="s">
        <v>21</v>
      </c>
      <c r="F337" s="52"/>
      <c r="G337" s="53">
        <f>SUM(G329:G336)</f>
        <v>100</v>
      </c>
      <c r="H337" s="12" t="s">
        <v>44</v>
      </c>
      <c r="I337" s="22"/>
      <c r="J337" s="13">
        <f>D336-G337</f>
        <v>55000</v>
      </c>
    </row>
    <row r="338" spans="1:10" ht="12.75" customHeight="1">
      <c r="A338" s="3" t="s">
        <v>45</v>
      </c>
      <c r="B338" s="3"/>
      <c r="C338" s="3"/>
      <c r="D338" s="3"/>
      <c r="E338" s="3"/>
      <c r="F338" s="3"/>
      <c r="G338" s="6"/>
      <c r="H338" s="3"/>
      <c r="I338" s="3"/>
      <c r="J338" s="3"/>
    </row>
    <row r="339" spans="1:10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2.75" customHeight="1">
      <c r="A340" s="3"/>
      <c r="B340" s="3" t="s">
        <v>47</v>
      </c>
      <c r="C340" s="3"/>
      <c r="D340" s="3"/>
      <c r="E340" s="3" t="s">
        <v>48</v>
      </c>
      <c r="F340" s="3"/>
      <c r="G340" s="3"/>
      <c r="H340" s="3" t="s">
        <v>49</v>
      </c>
      <c r="I340" s="3"/>
      <c r="J340" s="3"/>
    </row>
    <row r="341" spans="1:10" ht="12.75" customHeight="1">
      <c r="A341" s="184" t="s">
        <v>0</v>
      </c>
      <c r="B341" s="185"/>
      <c r="C341" s="185"/>
      <c r="D341" s="185"/>
      <c r="E341" s="185"/>
      <c r="F341" s="185"/>
      <c r="G341" s="185"/>
      <c r="H341" s="185"/>
      <c r="I341" s="185"/>
      <c r="J341" s="186"/>
    </row>
    <row r="342" spans="1:10" ht="12.75" customHeight="1">
      <c r="A342" s="187" t="s">
        <v>1</v>
      </c>
      <c r="B342" s="188"/>
      <c r="C342" s="188"/>
      <c r="D342" s="188"/>
      <c r="E342" s="188"/>
      <c r="F342" s="188"/>
      <c r="G342" s="188"/>
      <c r="H342" s="188"/>
      <c r="I342" s="188"/>
      <c r="J342" s="189"/>
    </row>
    <row r="343" spans="1:10" ht="12.75" customHeight="1">
      <c r="A343" s="1" t="s">
        <v>2</v>
      </c>
      <c r="B343" s="1"/>
      <c r="C343" s="353" t="s">
        <v>978</v>
      </c>
      <c r="D343" s="353"/>
      <c r="E343" s="2"/>
      <c r="F343" s="3"/>
      <c r="G343" s="1" t="s">
        <v>4</v>
      </c>
      <c r="H343" s="1"/>
      <c r="I343" s="2" t="s">
        <v>922</v>
      </c>
      <c r="J343" s="2"/>
    </row>
    <row r="344" spans="1:10" ht="12.75" customHeight="1">
      <c r="A344" s="1" t="s">
        <v>6</v>
      </c>
      <c r="B344" s="1"/>
      <c r="C344" s="196" t="s">
        <v>979</v>
      </c>
      <c r="D344" s="196"/>
      <c r="E344" s="2"/>
      <c r="F344" s="3"/>
      <c r="G344" s="1" t="s">
        <v>8</v>
      </c>
      <c r="H344" s="193" t="s">
        <v>9</v>
      </c>
      <c r="I344" s="193"/>
      <c r="J344" s="193"/>
    </row>
    <row r="345" spans="1:10" ht="12.75" customHeight="1">
      <c r="A345" s="6" t="s">
        <v>10</v>
      </c>
      <c r="B345" s="6"/>
      <c r="C345" s="194" t="s">
        <v>980</v>
      </c>
      <c r="D345" s="194"/>
      <c r="E345" s="194"/>
      <c r="F345" s="3"/>
      <c r="G345" s="1" t="s">
        <v>12</v>
      </c>
      <c r="H345" s="195" t="s">
        <v>13</v>
      </c>
      <c r="I345" s="195"/>
      <c r="J345" s="195"/>
    </row>
    <row r="346" spans="1:10" ht="12.75" customHeight="1">
      <c r="A346" s="2" t="s">
        <v>14</v>
      </c>
      <c r="B346" s="2"/>
      <c r="C346" s="2" t="s">
        <v>15</v>
      </c>
      <c r="D346" s="2"/>
      <c r="E346" s="2"/>
      <c r="F346" s="3"/>
      <c r="G346" s="1" t="s">
        <v>16</v>
      </c>
      <c r="H346" s="349" t="s">
        <v>925</v>
      </c>
      <c r="I346" s="209"/>
      <c r="J346" s="210"/>
    </row>
    <row r="347" spans="1:10" ht="12.75" customHeight="1">
      <c r="A347" s="2">
        <v>30</v>
      </c>
      <c r="B347" s="2"/>
      <c r="C347" s="2">
        <f>A347-H347</f>
        <v>1</v>
      </c>
      <c r="D347" s="2"/>
      <c r="E347" s="2"/>
      <c r="F347" s="3"/>
      <c r="G347" s="8" t="s">
        <v>18</v>
      </c>
      <c r="H347" s="197">
        <v>29</v>
      </c>
      <c r="I347" s="197"/>
      <c r="J347" s="197"/>
    </row>
    <row r="348" spans="1:10" ht="12.75" customHeight="1">
      <c r="A348" s="198" t="s">
        <v>19</v>
      </c>
      <c r="B348" s="199"/>
      <c r="C348" s="200"/>
      <c r="D348" s="13" t="s">
        <v>20</v>
      </c>
      <c r="E348" s="14" t="s">
        <v>21</v>
      </c>
      <c r="F348" s="15"/>
      <c r="G348" s="16" t="s">
        <v>20</v>
      </c>
      <c r="H348" s="201" t="s">
        <v>22</v>
      </c>
      <c r="I348" s="202"/>
      <c r="J348" s="203"/>
    </row>
    <row r="349" spans="1:10" ht="12.75" customHeight="1">
      <c r="A349" s="17" t="s">
        <v>23</v>
      </c>
      <c r="B349" s="1"/>
      <c r="C349" s="1"/>
      <c r="D349" s="2">
        <v>30000</v>
      </c>
      <c r="E349" s="17" t="s">
        <v>52</v>
      </c>
      <c r="F349" s="1"/>
      <c r="G349" s="2">
        <v>2040</v>
      </c>
      <c r="H349" s="18" t="s">
        <v>502</v>
      </c>
      <c r="I349" s="6"/>
      <c r="J349" s="19"/>
    </row>
    <row r="350" spans="1:10" ht="12.75" customHeight="1">
      <c r="A350" s="17" t="s">
        <v>57</v>
      </c>
      <c r="B350" s="1"/>
      <c r="C350" s="1"/>
      <c r="D350" s="2" t="s">
        <v>25</v>
      </c>
      <c r="E350" s="17" t="s">
        <v>28</v>
      </c>
      <c r="F350" s="1"/>
      <c r="G350" s="2">
        <v>5000</v>
      </c>
      <c r="H350" s="18" t="s">
        <v>504</v>
      </c>
      <c r="I350" s="6"/>
      <c r="J350" s="19"/>
    </row>
    <row r="351" spans="1:10" ht="12.75" customHeight="1">
      <c r="A351" s="17" t="s">
        <v>963</v>
      </c>
      <c r="B351" s="1"/>
      <c r="C351" s="1"/>
      <c r="D351" s="2">
        <v>4073</v>
      </c>
      <c r="E351" s="17" t="s">
        <v>58</v>
      </c>
      <c r="F351" s="54"/>
      <c r="G351" s="2">
        <v>3433</v>
      </c>
      <c r="H351" s="18" t="s">
        <v>32</v>
      </c>
      <c r="I351" s="6"/>
      <c r="J351" s="19"/>
    </row>
    <row r="352" spans="1:10" ht="12.75" customHeight="1">
      <c r="A352" s="17" t="s">
        <v>981</v>
      </c>
      <c r="B352" s="1"/>
      <c r="C352" s="1"/>
      <c r="D352" s="2">
        <v>2500</v>
      </c>
      <c r="E352" s="17" t="s">
        <v>35</v>
      </c>
      <c r="F352" s="1"/>
      <c r="G352" s="2">
        <v>1000</v>
      </c>
      <c r="H352" s="18"/>
      <c r="I352" s="6"/>
      <c r="J352" s="27"/>
    </row>
    <row r="353" spans="1:10" ht="12.75" customHeight="1">
      <c r="A353" s="17" t="s">
        <v>36</v>
      </c>
      <c r="B353" s="1"/>
      <c r="C353" s="1"/>
      <c r="D353" s="2">
        <v>10000</v>
      </c>
      <c r="E353" s="17" t="s">
        <v>37</v>
      </c>
      <c r="F353" s="1"/>
      <c r="G353" s="2" t="s">
        <v>25</v>
      </c>
      <c r="H353" s="18"/>
      <c r="I353" s="6"/>
      <c r="J353" s="27"/>
    </row>
    <row r="354" spans="1:10" ht="12.75" customHeight="1">
      <c r="A354" s="17" t="s">
        <v>136</v>
      </c>
      <c r="B354" s="1"/>
      <c r="C354" s="1"/>
      <c r="D354" s="2">
        <v>5000</v>
      </c>
      <c r="E354" s="17" t="s">
        <v>39</v>
      </c>
      <c r="F354" s="1"/>
      <c r="G354" s="2">
        <v>100</v>
      </c>
      <c r="H354" s="18"/>
      <c r="I354" s="6"/>
      <c r="J354" s="27"/>
    </row>
    <row r="355" spans="1:10" ht="12.75" customHeight="1">
      <c r="A355" s="18" t="s">
        <v>72</v>
      </c>
      <c r="B355" s="6"/>
      <c r="C355" s="6"/>
      <c r="D355" s="2" t="s">
        <v>25</v>
      </c>
      <c r="E355" s="17" t="s">
        <v>982</v>
      </c>
      <c r="F355" s="1"/>
      <c r="G355" s="2" t="s">
        <v>25</v>
      </c>
      <c r="H355" s="18"/>
      <c r="I355" s="6"/>
      <c r="J355" s="27"/>
    </row>
    <row r="356" spans="1:10" ht="12.75" customHeight="1">
      <c r="A356" s="204" t="s">
        <v>42</v>
      </c>
      <c r="B356" s="205"/>
      <c r="C356" s="206"/>
      <c r="D356" s="229">
        <f>SUM(D349:D355)</f>
        <v>51573</v>
      </c>
      <c r="E356" s="1" t="s">
        <v>37</v>
      </c>
      <c r="F356" s="1"/>
      <c r="G356" s="2" t="s">
        <v>25</v>
      </c>
      <c r="H356" s="18"/>
      <c r="I356" s="6"/>
      <c r="J356" s="19"/>
    </row>
    <row r="357" spans="1:10" ht="12.75" customHeight="1">
      <c r="A357" s="207"/>
      <c r="B357" s="197"/>
      <c r="C357" s="208"/>
      <c r="D357" s="230"/>
      <c r="E357" s="21" t="s">
        <v>21</v>
      </c>
      <c r="F357" s="22"/>
      <c r="G357" s="13">
        <f>SUM(G349:G356)</f>
        <v>11573</v>
      </c>
      <c r="H357" s="21" t="s">
        <v>44</v>
      </c>
      <c r="I357" s="22"/>
      <c r="J357" s="13">
        <f>D356-G357</f>
        <v>40000</v>
      </c>
    </row>
    <row r="358" spans="1:10" ht="12.75" customHeight="1">
      <c r="A358" s="3" t="s">
        <v>45</v>
      </c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2.75" customHeight="1">
      <c r="A360" s="3"/>
      <c r="B360" s="3" t="s">
        <v>47</v>
      </c>
      <c r="C360" s="3"/>
      <c r="D360" s="3"/>
      <c r="E360" s="3" t="s">
        <v>48</v>
      </c>
      <c r="F360" s="3"/>
      <c r="G360" s="3"/>
      <c r="H360" s="3" t="s">
        <v>49</v>
      </c>
      <c r="I360" s="3"/>
      <c r="J360" s="3"/>
    </row>
    <row r="361" spans="1:10" ht="12.75" customHeight="1">
      <c r="A361" s="184" t="s">
        <v>0</v>
      </c>
      <c r="B361" s="185"/>
      <c r="C361" s="185"/>
      <c r="D361" s="185"/>
      <c r="E361" s="185"/>
      <c r="F361" s="185"/>
      <c r="G361" s="185"/>
      <c r="H361" s="185"/>
      <c r="I361" s="185"/>
      <c r="J361" s="186"/>
    </row>
    <row r="362" spans="1:10" ht="12.75" customHeight="1">
      <c r="A362" s="187" t="s">
        <v>1</v>
      </c>
      <c r="B362" s="188"/>
      <c r="C362" s="188"/>
      <c r="D362" s="188"/>
      <c r="E362" s="188"/>
      <c r="F362" s="188"/>
      <c r="G362" s="188"/>
      <c r="H362" s="188"/>
      <c r="I362" s="188"/>
      <c r="J362" s="189"/>
    </row>
    <row r="363" spans="1:10" ht="12.75" customHeight="1">
      <c r="A363" s="1" t="s">
        <v>2</v>
      </c>
      <c r="B363" s="1"/>
      <c r="C363" s="194"/>
      <c r="D363" s="194"/>
      <c r="E363" s="2"/>
      <c r="F363" s="3"/>
      <c r="G363" s="1" t="s">
        <v>4</v>
      </c>
      <c r="H363" s="1"/>
      <c r="I363" s="2" t="s">
        <v>922</v>
      </c>
      <c r="J363" s="2"/>
    </row>
    <row r="364" spans="1:10" ht="12.75" customHeight="1">
      <c r="A364" s="1" t="s">
        <v>6</v>
      </c>
      <c r="B364" s="1"/>
      <c r="C364" s="196" t="s">
        <v>983</v>
      </c>
      <c r="D364" s="196"/>
      <c r="E364" s="2"/>
      <c r="F364" s="3"/>
      <c r="G364" s="1" t="s">
        <v>8</v>
      </c>
      <c r="H364" s="193" t="s">
        <v>9</v>
      </c>
      <c r="I364" s="193"/>
      <c r="J364" s="193"/>
    </row>
    <row r="365" spans="1:10" ht="12.75" customHeight="1">
      <c r="A365" s="6" t="s">
        <v>10</v>
      </c>
      <c r="B365" s="6"/>
      <c r="C365" s="6" t="s">
        <v>984</v>
      </c>
      <c r="D365" s="6"/>
      <c r="E365" s="2"/>
      <c r="F365" s="3"/>
      <c r="G365" s="1" t="s">
        <v>12</v>
      </c>
      <c r="H365" s="195" t="s">
        <v>13</v>
      </c>
      <c r="I365" s="195"/>
      <c r="J365" s="195"/>
    </row>
    <row r="366" spans="1:10" ht="12.75" customHeight="1">
      <c r="A366" s="2" t="s">
        <v>14</v>
      </c>
      <c r="B366" s="2"/>
      <c r="C366" s="2" t="s">
        <v>15</v>
      </c>
      <c r="D366" s="2"/>
      <c r="E366" s="2"/>
      <c r="F366" s="3"/>
      <c r="G366" s="1" t="s">
        <v>16</v>
      </c>
      <c r="H366" s="349" t="s">
        <v>925</v>
      </c>
      <c r="I366" s="209"/>
      <c r="J366" s="210"/>
    </row>
    <row r="367" spans="1:10" ht="12.75" customHeight="1">
      <c r="A367" s="2">
        <v>30</v>
      </c>
      <c r="B367" s="2"/>
      <c r="C367" s="2">
        <f>A367-H367</f>
        <v>0</v>
      </c>
      <c r="D367" s="2"/>
      <c r="E367" s="2"/>
      <c r="F367" s="3"/>
      <c r="G367" s="8" t="s">
        <v>18</v>
      </c>
      <c r="H367" s="197">
        <v>30</v>
      </c>
      <c r="I367" s="197"/>
      <c r="J367" s="197"/>
    </row>
    <row r="368" spans="1:10" ht="12.75" customHeight="1">
      <c r="A368" s="198" t="s">
        <v>19</v>
      </c>
      <c r="B368" s="199"/>
      <c r="C368" s="200"/>
      <c r="D368" s="13" t="s">
        <v>20</v>
      </c>
      <c r="E368" s="14" t="s">
        <v>21</v>
      </c>
      <c r="F368" s="15"/>
      <c r="G368" s="16" t="s">
        <v>20</v>
      </c>
      <c r="H368" s="201" t="s">
        <v>22</v>
      </c>
      <c r="I368" s="202"/>
      <c r="J368" s="203"/>
    </row>
    <row r="369" spans="1:10" ht="12.75" customHeight="1">
      <c r="A369" s="17" t="s">
        <v>23</v>
      </c>
      <c r="B369" s="1"/>
      <c r="C369" s="1"/>
      <c r="D369" s="2">
        <v>33000</v>
      </c>
      <c r="E369" s="17" t="s">
        <v>28</v>
      </c>
      <c r="F369" s="1"/>
      <c r="G369" s="2" t="s">
        <v>25</v>
      </c>
      <c r="H369" s="18" t="s">
        <v>502</v>
      </c>
      <c r="I369" s="6"/>
      <c r="J369" s="19"/>
    </row>
    <row r="370" spans="1:10" ht="12.75" customHeight="1">
      <c r="A370" s="17" t="s">
        <v>77</v>
      </c>
      <c r="B370" s="209"/>
      <c r="C370" s="209"/>
      <c r="D370" s="2" t="s">
        <v>25</v>
      </c>
      <c r="E370" s="17" t="s">
        <v>548</v>
      </c>
      <c r="F370" s="1"/>
      <c r="G370" s="2">
        <v>260</v>
      </c>
      <c r="H370" s="18" t="s">
        <v>504</v>
      </c>
      <c r="I370" s="6"/>
      <c r="J370" s="19"/>
    </row>
    <row r="371" spans="1:10" ht="12.75" customHeight="1">
      <c r="A371" s="17" t="s">
        <v>985</v>
      </c>
      <c r="B371" s="1"/>
      <c r="C371" s="1"/>
      <c r="D371" s="2">
        <v>5000</v>
      </c>
      <c r="E371" s="17" t="s">
        <v>775</v>
      </c>
      <c r="F371" s="54"/>
      <c r="G371" s="2" t="s">
        <v>25</v>
      </c>
      <c r="H371" s="18" t="s">
        <v>32</v>
      </c>
      <c r="I371" s="6"/>
      <c r="J371" s="19"/>
    </row>
    <row r="372" spans="1:10" ht="12.75" customHeight="1">
      <c r="A372" s="17" t="s">
        <v>926</v>
      </c>
      <c r="B372" s="1"/>
      <c r="C372" s="1"/>
      <c r="D372" s="2">
        <v>5000</v>
      </c>
      <c r="E372" s="17" t="s">
        <v>58</v>
      </c>
      <c r="F372" s="1"/>
      <c r="G372" s="2">
        <v>581</v>
      </c>
      <c r="H372" s="18"/>
      <c r="I372" s="6"/>
      <c r="J372" s="27"/>
    </row>
    <row r="373" spans="1:10" ht="12.75" customHeight="1">
      <c r="A373" s="17" t="s">
        <v>986</v>
      </c>
      <c r="B373" s="1"/>
      <c r="C373" s="1"/>
      <c r="D373" s="2">
        <v>5000</v>
      </c>
      <c r="E373" s="17" t="s">
        <v>35</v>
      </c>
      <c r="F373" s="1"/>
      <c r="G373" s="2" t="s">
        <v>25</v>
      </c>
      <c r="H373" s="18"/>
      <c r="I373" s="6"/>
      <c r="J373" s="27"/>
    </row>
    <row r="374" spans="1:10" ht="12.75" customHeight="1">
      <c r="A374" s="17" t="s">
        <v>136</v>
      </c>
      <c r="B374" s="1"/>
      <c r="C374" s="1"/>
      <c r="D374" s="2">
        <v>5000</v>
      </c>
      <c r="E374" s="17" t="s">
        <v>39</v>
      </c>
      <c r="F374" s="1"/>
      <c r="G374" s="2">
        <v>100</v>
      </c>
      <c r="H374" s="18"/>
      <c r="I374" s="6"/>
      <c r="J374" s="27"/>
    </row>
    <row r="375" spans="1:10" ht="12.75" customHeight="1">
      <c r="A375" s="176" t="s">
        <v>30</v>
      </c>
      <c r="B375" s="6"/>
      <c r="C375" s="6"/>
      <c r="D375" s="2">
        <v>2941</v>
      </c>
      <c r="E375" s="17" t="s">
        <v>58</v>
      </c>
      <c r="F375" s="1"/>
      <c r="G375" s="2" t="s">
        <v>25</v>
      </c>
      <c r="H375" s="18"/>
      <c r="I375" s="6"/>
      <c r="J375" s="27"/>
    </row>
    <row r="376" spans="1:10" ht="12.75" customHeight="1">
      <c r="A376" s="204" t="s">
        <v>42</v>
      </c>
      <c r="B376" s="205"/>
      <c r="C376" s="206"/>
      <c r="D376" s="229">
        <f>SUM(D369:D375)</f>
        <v>55941</v>
      </c>
      <c r="E376" s="1" t="s">
        <v>37</v>
      </c>
      <c r="F376" s="1"/>
      <c r="G376" s="2" t="s">
        <v>25</v>
      </c>
      <c r="H376" s="18"/>
      <c r="I376" s="6"/>
      <c r="J376" s="27"/>
    </row>
    <row r="377" spans="1:10" ht="12.75" customHeight="1">
      <c r="A377" s="207"/>
      <c r="B377" s="197"/>
      <c r="C377" s="208"/>
      <c r="D377" s="230"/>
      <c r="E377" s="21" t="s">
        <v>21</v>
      </c>
      <c r="F377" s="22"/>
      <c r="G377" s="13">
        <f>SUM(G369:G376)</f>
        <v>941</v>
      </c>
      <c r="H377" s="21" t="s">
        <v>44</v>
      </c>
      <c r="I377" s="22"/>
      <c r="J377" s="13">
        <f>D376-G377</f>
        <v>55000</v>
      </c>
    </row>
    <row r="378" spans="1:10" ht="12.75" customHeight="1">
      <c r="A378" s="3" t="s">
        <v>45</v>
      </c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2.75" customHeight="1">
      <c r="A380" s="3"/>
      <c r="B380" s="3" t="s">
        <v>47</v>
      </c>
      <c r="C380" s="3"/>
      <c r="D380" s="3"/>
      <c r="E380" s="3" t="s">
        <v>48</v>
      </c>
      <c r="F380" s="3"/>
      <c r="G380" s="3"/>
      <c r="H380" s="3" t="s">
        <v>49</v>
      </c>
      <c r="I380" s="3"/>
      <c r="J380" s="3"/>
    </row>
    <row r="381" spans="1:10" ht="12.75" customHeight="1">
      <c r="A381" s="184" t="s">
        <v>0</v>
      </c>
      <c r="B381" s="185"/>
      <c r="C381" s="185"/>
      <c r="D381" s="185"/>
      <c r="E381" s="185"/>
      <c r="F381" s="185"/>
      <c r="G381" s="185"/>
      <c r="H381" s="185"/>
      <c r="I381" s="185"/>
      <c r="J381" s="186"/>
    </row>
    <row r="382" spans="1:10" ht="12.75" customHeight="1">
      <c r="A382" s="187" t="s">
        <v>1</v>
      </c>
      <c r="B382" s="188"/>
      <c r="C382" s="188"/>
      <c r="D382" s="188"/>
      <c r="E382" s="188"/>
      <c r="F382" s="188"/>
      <c r="G382" s="188"/>
      <c r="H382" s="188"/>
      <c r="I382" s="188"/>
      <c r="J382" s="189"/>
    </row>
    <row r="383" spans="1:10" ht="12.75" customHeight="1">
      <c r="A383" s="1" t="s">
        <v>2</v>
      </c>
      <c r="B383" s="55"/>
      <c r="C383" s="55" t="s">
        <v>987</v>
      </c>
      <c r="D383" s="55"/>
      <c r="E383" s="2"/>
      <c r="F383" s="3"/>
      <c r="G383" s="1" t="s">
        <v>4</v>
      </c>
      <c r="H383" s="1"/>
      <c r="I383" s="2" t="s">
        <v>922</v>
      </c>
      <c r="J383" s="2"/>
    </row>
    <row r="384" spans="1:10" ht="12.75" customHeight="1">
      <c r="A384" s="1" t="s">
        <v>6</v>
      </c>
      <c r="B384" s="1"/>
      <c r="C384" s="192" t="s">
        <v>988</v>
      </c>
      <c r="D384" s="192"/>
      <c r="E384" s="192"/>
      <c r="F384" s="3"/>
      <c r="G384" s="1" t="s">
        <v>8</v>
      </c>
      <c r="H384" s="193" t="s">
        <v>9</v>
      </c>
      <c r="I384" s="193"/>
      <c r="J384" s="193"/>
    </row>
    <row r="385" spans="1:10" ht="12.75" customHeight="1">
      <c r="A385" s="6" t="s">
        <v>10</v>
      </c>
      <c r="B385" s="6"/>
      <c r="C385" s="194" t="s">
        <v>989</v>
      </c>
      <c r="D385" s="194"/>
      <c r="E385" s="194"/>
      <c r="F385" s="3"/>
      <c r="G385" s="1" t="s">
        <v>12</v>
      </c>
      <c r="H385" s="195" t="s">
        <v>13</v>
      </c>
      <c r="I385" s="195"/>
      <c r="J385" s="195"/>
    </row>
    <row r="386" spans="1:10" ht="12.75" customHeight="1">
      <c r="A386" s="2" t="s">
        <v>14</v>
      </c>
      <c r="B386" s="2"/>
      <c r="C386" s="2" t="s">
        <v>15</v>
      </c>
      <c r="D386" s="2"/>
      <c r="E386" s="2"/>
      <c r="F386" s="3"/>
      <c r="G386" s="1" t="s">
        <v>16</v>
      </c>
      <c r="H386" s="209" t="s">
        <v>990</v>
      </c>
      <c r="I386" s="209"/>
      <c r="J386" s="209"/>
    </row>
    <row r="387" spans="1:10" ht="12.75" customHeight="1">
      <c r="A387" s="2">
        <v>30</v>
      </c>
      <c r="B387" s="2"/>
      <c r="C387" s="2">
        <f>A387-H387</f>
        <v>0</v>
      </c>
      <c r="D387" s="2"/>
      <c r="E387" s="2"/>
      <c r="F387" s="3"/>
      <c r="G387" s="8" t="s">
        <v>18</v>
      </c>
      <c r="H387" s="197">
        <v>30</v>
      </c>
      <c r="I387" s="197"/>
      <c r="J387" s="197"/>
    </row>
    <row r="388" spans="1:10" ht="12.75" customHeight="1">
      <c r="A388" s="198" t="s">
        <v>19</v>
      </c>
      <c r="B388" s="199"/>
      <c r="C388" s="200"/>
      <c r="D388" s="13" t="s">
        <v>20</v>
      </c>
      <c r="E388" s="14" t="s">
        <v>21</v>
      </c>
      <c r="F388" s="15"/>
      <c r="G388" s="16" t="s">
        <v>20</v>
      </c>
      <c r="H388" s="201" t="s">
        <v>22</v>
      </c>
      <c r="I388" s="202"/>
      <c r="J388" s="203"/>
    </row>
    <row r="389" spans="1:10" ht="12.75" customHeight="1">
      <c r="A389" s="17" t="s">
        <v>23</v>
      </c>
      <c r="B389" s="1"/>
      <c r="C389" s="1"/>
      <c r="D389" s="2">
        <v>25000</v>
      </c>
      <c r="E389" s="17" t="s">
        <v>89</v>
      </c>
      <c r="F389" s="1"/>
      <c r="G389" s="2" t="s">
        <v>25</v>
      </c>
      <c r="H389" s="18" t="s">
        <v>502</v>
      </c>
      <c r="I389" s="6"/>
      <c r="J389" s="19"/>
    </row>
    <row r="390" spans="1:10" ht="12.75" customHeight="1">
      <c r="A390" s="17" t="s">
        <v>77</v>
      </c>
      <c r="B390" s="1"/>
      <c r="C390" s="1"/>
      <c r="D390" s="2" t="s">
        <v>25</v>
      </c>
      <c r="E390" s="17" t="s">
        <v>52</v>
      </c>
      <c r="F390" s="1"/>
      <c r="G390" s="2">
        <v>470</v>
      </c>
      <c r="H390" s="18" t="s">
        <v>504</v>
      </c>
      <c r="I390" s="6"/>
      <c r="J390" s="19"/>
    </row>
    <row r="391" spans="1:10" ht="12.75" customHeight="1">
      <c r="A391" s="17" t="s">
        <v>147</v>
      </c>
      <c r="B391" s="1"/>
      <c r="C391" s="1"/>
      <c r="D391" s="2" t="s">
        <v>25</v>
      </c>
      <c r="E391" s="17" t="s">
        <v>58</v>
      </c>
      <c r="F391" s="1"/>
      <c r="G391" s="2" t="s">
        <v>25</v>
      </c>
      <c r="H391" s="18" t="s">
        <v>32</v>
      </c>
      <c r="I391" s="6"/>
      <c r="J391" s="19"/>
    </row>
    <row r="392" spans="1:10" ht="12.75" customHeight="1">
      <c r="A392" s="17" t="s">
        <v>147</v>
      </c>
      <c r="B392" s="1"/>
      <c r="C392" s="1"/>
      <c r="D392" s="2" t="s">
        <v>25</v>
      </c>
      <c r="E392" s="17" t="s">
        <v>35</v>
      </c>
      <c r="F392" s="1"/>
      <c r="G392" s="2" t="s">
        <v>25</v>
      </c>
      <c r="H392" s="18"/>
      <c r="I392" s="6"/>
      <c r="J392" s="19" t="s">
        <v>73</v>
      </c>
    </row>
    <row r="393" spans="1:10" ht="12.75" customHeight="1">
      <c r="A393" s="17" t="s">
        <v>136</v>
      </c>
      <c r="B393" s="1"/>
      <c r="C393" s="1"/>
      <c r="D393" s="2" t="s">
        <v>25</v>
      </c>
      <c r="E393" s="17" t="s">
        <v>286</v>
      </c>
      <c r="F393" s="1"/>
      <c r="G393" s="2" t="s">
        <v>25</v>
      </c>
      <c r="H393" s="18"/>
      <c r="I393" s="6"/>
      <c r="J393" s="19"/>
    </row>
    <row r="394" spans="1:10" ht="12.75" customHeight="1">
      <c r="A394" s="17" t="s">
        <v>78</v>
      </c>
      <c r="B394" s="1"/>
      <c r="C394" s="1"/>
      <c r="D394" s="2" t="s">
        <v>991</v>
      </c>
      <c r="E394" s="17" t="s">
        <v>39</v>
      </c>
      <c r="F394" s="1"/>
      <c r="G394" s="2">
        <v>100</v>
      </c>
      <c r="H394" s="18"/>
      <c r="I394" s="6"/>
      <c r="J394" s="19"/>
    </row>
    <row r="395" spans="1:10" ht="12.75" customHeight="1">
      <c r="A395" s="18" t="s">
        <v>40</v>
      </c>
      <c r="B395" s="6"/>
      <c r="C395" s="6"/>
      <c r="D395" s="2" t="s">
        <v>25</v>
      </c>
      <c r="E395" s="17" t="s">
        <v>78</v>
      </c>
      <c r="F395" s="1"/>
      <c r="G395" s="2" t="s">
        <v>991</v>
      </c>
      <c r="H395" s="18"/>
      <c r="I395" s="6"/>
      <c r="J395" s="19"/>
    </row>
    <row r="396" spans="1:10" ht="12.75" customHeight="1">
      <c r="A396" s="204" t="s">
        <v>42</v>
      </c>
      <c r="B396" s="205"/>
      <c r="C396" s="206"/>
      <c r="D396" s="229">
        <f>SUM(D389:D395)</f>
        <v>25000</v>
      </c>
      <c r="E396" s="1" t="s">
        <v>43</v>
      </c>
      <c r="F396" s="1"/>
      <c r="G396" s="2" t="s">
        <v>25</v>
      </c>
      <c r="H396" s="18"/>
      <c r="I396" s="6"/>
      <c r="J396" s="19"/>
    </row>
    <row r="397" spans="1:10" ht="12.75" customHeight="1">
      <c r="A397" s="207"/>
      <c r="B397" s="197"/>
      <c r="C397" s="208"/>
      <c r="D397" s="230"/>
      <c r="E397" s="21" t="s">
        <v>21</v>
      </c>
      <c r="F397" s="52"/>
      <c r="G397" s="53">
        <f>SUM(G390:G396)</f>
        <v>570</v>
      </c>
      <c r="H397" s="12" t="s">
        <v>44</v>
      </c>
      <c r="I397" s="22"/>
      <c r="J397" s="13">
        <f>D396-G397</f>
        <v>24430</v>
      </c>
    </row>
    <row r="398" spans="1:10" ht="12.75" customHeight="1">
      <c r="A398" s="3" t="s">
        <v>45</v>
      </c>
      <c r="B398" s="3"/>
      <c r="C398" s="3"/>
      <c r="D398" s="3"/>
      <c r="E398" s="3"/>
      <c r="F398" s="3"/>
      <c r="G398" s="6"/>
      <c r="H398" s="3"/>
      <c r="I398" s="3"/>
      <c r="J398" s="3"/>
    </row>
    <row r="399" spans="1:10" ht="12.75" customHeight="1">
      <c r="A399" s="3"/>
      <c r="B399" s="3"/>
      <c r="C399" s="3"/>
      <c r="D399" s="3"/>
      <c r="E399" s="3"/>
      <c r="F399" s="3"/>
      <c r="G399" s="2"/>
      <c r="H399" s="3"/>
      <c r="I399" s="3"/>
      <c r="J399" s="3"/>
    </row>
    <row r="400" spans="1:10" ht="12.75" customHeight="1">
      <c r="A400" s="3"/>
      <c r="B400" s="3" t="s">
        <v>47</v>
      </c>
      <c r="C400" s="3"/>
      <c r="D400" s="3"/>
      <c r="E400" s="3" t="s">
        <v>48</v>
      </c>
      <c r="F400" s="3"/>
      <c r="G400" s="3"/>
      <c r="H400" s="3" t="s">
        <v>49</v>
      </c>
      <c r="I400" s="3"/>
      <c r="J400" s="3"/>
    </row>
    <row r="401" spans="1:10" ht="12.75" customHeight="1">
      <c r="A401" s="184" t="s">
        <v>0</v>
      </c>
      <c r="B401" s="185"/>
      <c r="C401" s="185"/>
      <c r="D401" s="185"/>
      <c r="E401" s="185"/>
      <c r="F401" s="185"/>
      <c r="G401" s="185"/>
      <c r="H401" s="185"/>
      <c r="I401" s="185"/>
      <c r="J401" s="186"/>
    </row>
    <row r="402" spans="1:10" ht="12.75" customHeight="1">
      <c r="A402" s="187" t="s">
        <v>1</v>
      </c>
      <c r="B402" s="188"/>
      <c r="C402" s="188"/>
      <c r="D402" s="188"/>
      <c r="E402" s="188"/>
      <c r="F402" s="188"/>
      <c r="G402" s="188"/>
      <c r="H402" s="188"/>
      <c r="I402" s="188"/>
      <c r="J402" s="189"/>
    </row>
    <row r="403" spans="1:10" ht="12.75" customHeight="1">
      <c r="A403" s="1" t="s">
        <v>2</v>
      </c>
      <c r="B403" s="55"/>
      <c r="C403" s="55" t="s">
        <v>992</v>
      </c>
      <c r="D403" s="55"/>
      <c r="E403" s="2"/>
      <c r="F403" s="3"/>
      <c r="G403" s="1" t="s">
        <v>4</v>
      </c>
      <c r="H403" s="1"/>
      <c r="I403" s="2" t="s">
        <v>922</v>
      </c>
      <c r="J403" s="2"/>
    </row>
    <row r="404" spans="1:10" ht="12.75" customHeight="1">
      <c r="A404" s="1" t="s">
        <v>6</v>
      </c>
      <c r="B404" s="1"/>
      <c r="C404" s="192" t="s">
        <v>993</v>
      </c>
      <c r="D404" s="192"/>
      <c r="E404" s="192"/>
      <c r="F404" s="3"/>
      <c r="G404" s="1" t="s">
        <v>8</v>
      </c>
      <c r="H404" s="193" t="s">
        <v>9</v>
      </c>
      <c r="I404" s="193"/>
      <c r="J404" s="193"/>
    </row>
    <row r="405" spans="1:10" ht="12.75" customHeight="1">
      <c r="A405" s="6" t="s">
        <v>10</v>
      </c>
      <c r="B405" s="6"/>
      <c r="C405" s="194" t="s">
        <v>994</v>
      </c>
      <c r="D405" s="194"/>
      <c r="E405" s="194"/>
      <c r="F405" s="3"/>
      <c r="G405" s="1" t="s">
        <v>12</v>
      </c>
      <c r="H405" s="195" t="s">
        <v>13</v>
      </c>
      <c r="I405" s="195"/>
      <c r="J405" s="195"/>
    </row>
    <row r="406" spans="1:10" ht="12.75" customHeight="1">
      <c r="A406" s="2" t="s">
        <v>14</v>
      </c>
      <c r="B406" s="2"/>
      <c r="C406" s="2" t="s">
        <v>15</v>
      </c>
      <c r="D406" s="2"/>
      <c r="E406" s="2"/>
      <c r="F406" s="3"/>
      <c r="G406" s="1" t="s">
        <v>16</v>
      </c>
      <c r="H406" s="209" t="s">
        <v>995</v>
      </c>
      <c r="I406" s="209"/>
      <c r="J406" s="209"/>
    </row>
    <row r="407" spans="1:10" ht="12.75" customHeight="1">
      <c r="A407" s="2">
        <v>30</v>
      </c>
      <c r="B407" s="2"/>
      <c r="C407" s="2">
        <f>A407-H407</f>
        <v>2</v>
      </c>
      <c r="D407" s="2"/>
      <c r="E407" s="2"/>
      <c r="F407" s="3"/>
      <c r="G407" s="8" t="s">
        <v>18</v>
      </c>
      <c r="H407" s="197">
        <v>28</v>
      </c>
      <c r="I407" s="197"/>
      <c r="J407" s="197"/>
    </row>
    <row r="408" spans="1:10" ht="12.75" customHeight="1">
      <c r="A408" s="198" t="s">
        <v>19</v>
      </c>
      <c r="B408" s="199"/>
      <c r="C408" s="200"/>
      <c r="D408" s="13" t="s">
        <v>20</v>
      </c>
      <c r="E408" s="14" t="s">
        <v>21</v>
      </c>
      <c r="F408" s="15"/>
      <c r="G408" s="16" t="s">
        <v>20</v>
      </c>
      <c r="H408" s="201" t="s">
        <v>22</v>
      </c>
      <c r="I408" s="202"/>
      <c r="J408" s="203"/>
    </row>
    <row r="409" spans="1:10" ht="12.75" customHeight="1">
      <c r="A409" s="17" t="s">
        <v>23</v>
      </c>
      <c r="B409" s="1"/>
      <c r="C409" s="1"/>
      <c r="D409" s="2">
        <v>23000</v>
      </c>
      <c r="E409" s="17" t="s">
        <v>24</v>
      </c>
      <c r="F409" s="1"/>
      <c r="G409" s="2" t="s">
        <v>25</v>
      </c>
      <c r="H409" s="18" t="s">
        <v>502</v>
      </c>
      <c r="I409" s="6"/>
      <c r="J409" s="19"/>
    </row>
    <row r="410" spans="1:10" ht="12.75" customHeight="1">
      <c r="A410" s="17" t="s">
        <v>77</v>
      </c>
      <c r="B410" s="1"/>
      <c r="C410" s="1"/>
      <c r="D410" s="2" t="s">
        <v>25</v>
      </c>
      <c r="E410" s="17" t="s">
        <v>58</v>
      </c>
      <c r="F410" s="1"/>
      <c r="G410" s="2">
        <v>2478</v>
      </c>
      <c r="H410" s="18" t="s">
        <v>504</v>
      </c>
      <c r="I410" s="6"/>
      <c r="J410" s="19"/>
    </row>
    <row r="411" spans="1:10" ht="12.75" customHeight="1">
      <c r="A411" s="17" t="s">
        <v>663</v>
      </c>
      <c r="B411" s="1"/>
      <c r="C411" s="1"/>
      <c r="D411" s="2" t="s">
        <v>25</v>
      </c>
      <c r="E411" s="17" t="s">
        <v>52</v>
      </c>
      <c r="F411" s="1"/>
      <c r="G411" s="2">
        <v>1290</v>
      </c>
      <c r="H411" s="18" t="s">
        <v>32</v>
      </c>
      <c r="I411" s="6"/>
      <c r="J411" s="19"/>
    </row>
    <row r="412" spans="1:10" ht="12.75" customHeight="1">
      <c r="A412" s="17" t="s">
        <v>926</v>
      </c>
      <c r="B412" s="1"/>
      <c r="C412" s="1"/>
      <c r="D412" s="2">
        <v>5000</v>
      </c>
      <c r="E412" s="17" t="s">
        <v>35</v>
      </c>
      <c r="F412" s="1"/>
      <c r="G412" s="2">
        <v>1533</v>
      </c>
      <c r="H412" s="18"/>
      <c r="I412" s="6"/>
      <c r="J412" s="19" t="s">
        <v>73</v>
      </c>
    </row>
    <row r="413" spans="1:10" ht="12.75" customHeight="1">
      <c r="A413" s="17" t="s">
        <v>136</v>
      </c>
      <c r="B413" s="1"/>
      <c r="C413" s="1"/>
      <c r="D413" s="2" t="s">
        <v>25</v>
      </c>
      <c r="E413" s="17" t="s">
        <v>286</v>
      </c>
      <c r="F413" s="1"/>
      <c r="G413" s="2" t="s">
        <v>25</v>
      </c>
      <c r="H413" s="50" t="s">
        <v>447</v>
      </c>
      <c r="I413" s="6"/>
      <c r="J413" s="19">
        <v>68000</v>
      </c>
    </row>
    <row r="414" spans="1:10" ht="12.75" customHeight="1">
      <c r="A414" s="17" t="s">
        <v>78</v>
      </c>
      <c r="B414" s="1"/>
      <c r="C414" s="1"/>
      <c r="D414" s="2" t="s">
        <v>25</v>
      </c>
      <c r="E414" s="17" t="s">
        <v>39</v>
      </c>
      <c r="F414" s="1"/>
      <c r="G414" s="2">
        <v>100</v>
      </c>
      <c r="H414" s="18"/>
      <c r="I414" s="6"/>
      <c r="J414" s="19"/>
    </row>
    <row r="415" spans="1:10" ht="12.75" customHeight="1">
      <c r="A415" s="18" t="s">
        <v>40</v>
      </c>
      <c r="B415" s="6"/>
      <c r="C415" s="6"/>
      <c r="D415" s="2" t="s">
        <v>25</v>
      </c>
      <c r="E415" s="17" t="s">
        <v>78</v>
      </c>
      <c r="F415" s="1"/>
      <c r="G415" s="2" t="s">
        <v>25</v>
      </c>
      <c r="H415" s="18"/>
      <c r="I415" s="6"/>
      <c r="J415" s="19"/>
    </row>
    <row r="416" spans="1:10" ht="12.75" customHeight="1">
      <c r="A416" s="204" t="s">
        <v>42</v>
      </c>
      <c r="B416" s="205"/>
      <c r="C416" s="206"/>
      <c r="D416" s="229">
        <f>SUM(D409:D415)</f>
        <v>28000</v>
      </c>
      <c r="E416" s="1" t="s">
        <v>43</v>
      </c>
      <c r="F416" s="1"/>
      <c r="G416" s="2" t="s">
        <v>25</v>
      </c>
      <c r="H416" s="18"/>
      <c r="I416" s="6"/>
      <c r="J416" s="19"/>
    </row>
    <row r="417" spans="1:10" ht="12.75" customHeight="1">
      <c r="A417" s="207"/>
      <c r="B417" s="197"/>
      <c r="C417" s="208"/>
      <c r="D417" s="230"/>
      <c r="E417" s="21" t="s">
        <v>21</v>
      </c>
      <c r="F417" s="22"/>
      <c r="G417" s="13">
        <f>SUM(G409:G416)</f>
        <v>5401</v>
      </c>
      <c r="H417" s="21" t="s">
        <v>44</v>
      </c>
      <c r="I417" s="22"/>
      <c r="J417" s="13">
        <f>D416-G417</f>
        <v>22599</v>
      </c>
    </row>
    <row r="418" spans="1:10" ht="12.75" customHeight="1">
      <c r="A418" s="3" t="s">
        <v>45</v>
      </c>
      <c r="B418" s="3"/>
      <c r="C418" s="3"/>
      <c r="D418" s="3"/>
      <c r="E418" s="3"/>
      <c r="F418" s="3"/>
      <c r="G418" s="3" t="s">
        <v>996</v>
      </c>
      <c r="H418" s="3"/>
      <c r="I418" s="3"/>
      <c r="J418" s="3"/>
    </row>
    <row r="419" spans="1:10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2.75" customHeight="1">
      <c r="A420" s="3"/>
      <c r="B420" s="3" t="s">
        <v>47</v>
      </c>
      <c r="C420" s="3"/>
      <c r="D420" s="3"/>
      <c r="E420" s="3" t="s">
        <v>48</v>
      </c>
      <c r="F420" s="3"/>
      <c r="G420" s="3"/>
      <c r="H420" s="3" t="s">
        <v>49</v>
      </c>
      <c r="I420" s="3"/>
      <c r="J420" s="3"/>
    </row>
    <row r="421" spans="1:10" ht="12.75" customHeight="1">
      <c r="A421" s="184" t="s">
        <v>0</v>
      </c>
      <c r="B421" s="185"/>
      <c r="C421" s="185"/>
      <c r="D421" s="185"/>
      <c r="E421" s="185"/>
      <c r="F421" s="185"/>
      <c r="G421" s="185"/>
      <c r="H421" s="185"/>
      <c r="I421" s="185"/>
      <c r="J421" s="186"/>
    </row>
    <row r="422" spans="1:10" ht="12.75" customHeight="1">
      <c r="A422" s="187" t="s">
        <v>1</v>
      </c>
      <c r="B422" s="188"/>
      <c r="C422" s="188"/>
      <c r="D422" s="188"/>
      <c r="E422" s="188"/>
      <c r="F422" s="188"/>
      <c r="G422" s="188"/>
      <c r="H422" s="188"/>
      <c r="I422" s="188"/>
      <c r="J422" s="189"/>
    </row>
    <row r="423" spans="1:10" ht="12.75" customHeight="1">
      <c r="A423" s="1" t="s">
        <v>2</v>
      </c>
      <c r="B423" s="55"/>
      <c r="C423" s="55" t="s">
        <v>992</v>
      </c>
      <c r="D423" s="55"/>
      <c r="E423" s="2"/>
      <c r="F423" s="3"/>
      <c r="G423" s="1" t="s">
        <v>4</v>
      </c>
      <c r="H423" s="1"/>
      <c r="I423" s="2" t="s">
        <v>922</v>
      </c>
      <c r="J423" s="2"/>
    </row>
    <row r="424" spans="1:10" ht="12.75" customHeight="1">
      <c r="A424" s="1" t="s">
        <v>6</v>
      </c>
      <c r="B424" s="1"/>
      <c r="C424" s="192" t="s">
        <v>997</v>
      </c>
      <c r="D424" s="192"/>
      <c r="E424" s="192"/>
      <c r="F424" s="3"/>
      <c r="G424" s="1" t="s">
        <v>8</v>
      </c>
      <c r="H424" s="193" t="s">
        <v>9</v>
      </c>
      <c r="I424" s="193"/>
      <c r="J424" s="193"/>
    </row>
    <row r="425" spans="1:10" ht="12.75" customHeight="1">
      <c r="A425" s="6" t="s">
        <v>10</v>
      </c>
      <c r="B425" s="6"/>
      <c r="C425" s="194" t="s">
        <v>998</v>
      </c>
      <c r="D425" s="194"/>
      <c r="E425" s="194"/>
      <c r="F425" s="3"/>
      <c r="G425" s="1" t="s">
        <v>12</v>
      </c>
      <c r="H425" s="195" t="s">
        <v>13</v>
      </c>
      <c r="I425" s="195"/>
      <c r="J425" s="195"/>
    </row>
    <row r="426" spans="1:10" ht="12.75" customHeight="1">
      <c r="A426" s="2" t="s">
        <v>14</v>
      </c>
      <c r="B426" s="2"/>
      <c r="C426" s="2" t="s">
        <v>15</v>
      </c>
      <c r="D426" s="2"/>
      <c r="E426" s="2"/>
      <c r="F426" s="3"/>
      <c r="G426" s="1" t="s">
        <v>16</v>
      </c>
      <c r="H426" s="209" t="s">
        <v>995</v>
      </c>
      <c r="I426" s="209"/>
      <c r="J426" s="209"/>
    </row>
    <row r="427" spans="1:10" ht="12.75" customHeight="1">
      <c r="A427" s="2">
        <v>30</v>
      </c>
      <c r="B427" s="2"/>
      <c r="C427" s="2">
        <f>A427-H427</f>
        <v>0</v>
      </c>
      <c r="D427" s="2"/>
      <c r="E427" s="2"/>
      <c r="F427" s="3"/>
      <c r="G427" s="8" t="s">
        <v>18</v>
      </c>
      <c r="H427" s="197">
        <v>30</v>
      </c>
      <c r="I427" s="197"/>
      <c r="J427" s="197"/>
    </row>
    <row r="428" spans="1:10" ht="12.75" customHeight="1">
      <c r="A428" s="198" t="s">
        <v>19</v>
      </c>
      <c r="B428" s="199"/>
      <c r="C428" s="200"/>
      <c r="D428" s="13" t="s">
        <v>20</v>
      </c>
      <c r="E428" s="14" t="s">
        <v>21</v>
      </c>
      <c r="F428" s="15"/>
      <c r="G428" s="16" t="s">
        <v>20</v>
      </c>
      <c r="H428" s="201" t="s">
        <v>22</v>
      </c>
      <c r="I428" s="202"/>
      <c r="J428" s="203"/>
    </row>
    <row r="429" spans="1:10" ht="12.75" customHeight="1">
      <c r="A429" s="17" t="s">
        <v>23</v>
      </c>
      <c r="B429" s="1"/>
      <c r="C429" s="1"/>
      <c r="D429" s="2">
        <v>30000</v>
      </c>
      <c r="E429" s="17" t="s">
        <v>24</v>
      </c>
      <c r="F429" s="1"/>
      <c r="G429" s="2" t="s">
        <v>25</v>
      </c>
      <c r="H429" s="18" t="s">
        <v>502</v>
      </c>
      <c r="I429" s="6"/>
      <c r="J429" s="19"/>
    </row>
    <row r="430" spans="1:10" ht="12.75" customHeight="1">
      <c r="A430" s="17" t="s">
        <v>77</v>
      </c>
      <c r="B430" s="1"/>
      <c r="C430" s="1"/>
      <c r="D430" s="2" t="s">
        <v>25</v>
      </c>
      <c r="E430" s="17" t="s">
        <v>58</v>
      </c>
      <c r="F430" s="1"/>
      <c r="G430" s="2" t="s">
        <v>25</v>
      </c>
      <c r="H430" s="18" t="s">
        <v>504</v>
      </c>
      <c r="I430" s="6"/>
      <c r="J430" s="19"/>
    </row>
    <row r="431" spans="1:10" ht="12.75" customHeight="1">
      <c r="A431" s="17" t="s">
        <v>663</v>
      </c>
      <c r="B431" s="1"/>
      <c r="C431" s="1"/>
      <c r="D431" s="2" t="s">
        <v>25</v>
      </c>
      <c r="E431" s="17" t="s">
        <v>52</v>
      </c>
      <c r="F431" s="1"/>
      <c r="G431" s="2" t="s">
        <v>25</v>
      </c>
      <c r="H431" s="18" t="s">
        <v>32</v>
      </c>
      <c r="I431" s="6"/>
      <c r="J431" s="19"/>
    </row>
    <row r="432" spans="1:10" ht="12.75" customHeight="1">
      <c r="A432" s="17" t="s">
        <v>147</v>
      </c>
      <c r="B432" s="1"/>
      <c r="C432" s="1"/>
      <c r="D432" s="2">
        <v>1100</v>
      </c>
      <c r="E432" s="17" t="s">
        <v>35</v>
      </c>
      <c r="F432" s="1"/>
      <c r="G432" s="2" t="s">
        <v>25</v>
      </c>
      <c r="H432" s="18"/>
      <c r="I432" s="6"/>
      <c r="J432" s="19" t="s">
        <v>73</v>
      </c>
    </row>
    <row r="433" spans="1:10" ht="12.75" customHeight="1">
      <c r="A433" s="17" t="s">
        <v>136</v>
      </c>
      <c r="B433" s="1"/>
      <c r="C433" s="1"/>
      <c r="D433" s="2" t="s">
        <v>25</v>
      </c>
      <c r="E433" s="17" t="s">
        <v>286</v>
      </c>
      <c r="F433" s="1"/>
      <c r="G433" s="2" t="s">
        <v>25</v>
      </c>
      <c r="H433" s="50"/>
      <c r="I433" s="6"/>
      <c r="J433" s="19"/>
    </row>
    <row r="434" spans="1:10" ht="12.75" customHeight="1">
      <c r="A434" s="17" t="s">
        <v>78</v>
      </c>
      <c r="B434" s="1"/>
      <c r="C434" s="1"/>
      <c r="D434" s="2" t="s">
        <v>25</v>
      </c>
      <c r="E434" s="17" t="s">
        <v>39</v>
      </c>
      <c r="F434" s="1"/>
      <c r="G434" s="2">
        <v>100</v>
      </c>
      <c r="H434" s="18"/>
      <c r="I434" s="6"/>
      <c r="J434" s="19"/>
    </row>
    <row r="435" spans="1:10" ht="12.75" customHeight="1">
      <c r="A435" s="18" t="s">
        <v>40</v>
      </c>
      <c r="B435" s="6"/>
      <c r="C435" s="6"/>
      <c r="D435" s="2" t="s">
        <v>25</v>
      </c>
      <c r="E435" s="17" t="s">
        <v>78</v>
      </c>
      <c r="F435" s="1"/>
      <c r="G435" s="2" t="s">
        <v>25</v>
      </c>
      <c r="H435" s="18"/>
      <c r="I435" s="6"/>
      <c r="J435" s="19"/>
    </row>
    <row r="436" spans="1:10" ht="12.75" customHeight="1">
      <c r="A436" s="204" t="s">
        <v>42</v>
      </c>
      <c r="B436" s="205"/>
      <c r="C436" s="206"/>
      <c r="D436" s="229">
        <f>SUM(D429:D435)</f>
        <v>31100</v>
      </c>
      <c r="E436" s="1" t="s">
        <v>43</v>
      </c>
      <c r="F436" s="1"/>
      <c r="G436" s="2" t="s">
        <v>25</v>
      </c>
      <c r="H436" s="18"/>
      <c r="I436" s="6"/>
      <c r="J436" s="19"/>
    </row>
    <row r="437" spans="1:10" ht="12.75" customHeight="1">
      <c r="A437" s="207"/>
      <c r="B437" s="197"/>
      <c r="C437" s="208"/>
      <c r="D437" s="230"/>
      <c r="E437" s="21" t="s">
        <v>21</v>
      </c>
      <c r="F437" s="22"/>
      <c r="G437" s="13">
        <f>SUM(G429:G436)</f>
        <v>100</v>
      </c>
      <c r="H437" s="21" t="s">
        <v>44</v>
      </c>
      <c r="I437" s="22"/>
      <c r="J437" s="13">
        <f>D436-G437</f>
        <v>31000</v>
      </c>
    </row>
    <row r="438" spans="1:10" ht="12.75" customHeight="1">
      <c r="A438" s="3" t="s">
        <v>45</v>
      </c>
      <c r="B438" s="3"/>
      <c r="C438" s="3"/>
      <c r="D438" s="3"/>
      <c r="E438" s="3"/>
      <c r="F438" s="3"/>
      <c r="G438" s="3" t="s">
        <v>996</v>
      </c>
      <c r="H438" s="3"/>
      <c r="I438" s="3"/>
      <c r="J438" s="3"/>
    </row>
    <row r="439" spans="1:10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2.75" customHeight="1">
      <c r="A440" s="3"/>
      <c r="B440" s="3" t="s">
        <v>47</v>
      </c>
      <c r="C440" s="3"/>
      <c r="D440" s="3"/>
      <c r="E440" s="3" t="s">
        <v>48</v>
      </c>
      <c r="F440" s="3"/>
      <c r="G440" s="3"/>
      <c r="H440" s="3" t="s">
        <v>49</v>
      </c>
      <c r="I440" s="3"/>
      <c r="J440" s="3"/>
    </row>
    <row r="441" spans="1:10" ht="12.75" customHeight="1">
      <c r="A441" s="184" t="s">
        <v>0</v>
      </c>
      <c r="B441" s="185"/>
      <c r="C441" s="185"/>
      <c r="D441" s="185"/>
      <c r="E441" s="185"/>
      <c r="F441" s="185"/>
      <c r="G441" s="185"/>
      <c r="H441" s="185"/>
      <c r="I441" s="185"/>
      <c r="J441" s="186"/>
    </row>
    <row r="442" spans="1:10" ht="12.75" customHeight="1">
      <c r="A442" s="187" t="s">
        <v>1</v>
      </c>
      <c r="B442" s="188"/>
      <c r="C442" s="188"/>
      <c r="D442" s="188"/>
      <c r="E442" s="188"/>
      <c r="F442" s="188"/>
      <c r="G442" s="188"/>
      <c r="H442" s="188"/>
      <c r="I442" s="188"/>
      <c r="J442" s="189"/>
    </row>
    <row r="443" spans="1:10" ht="12.75" customHeight="1">
      <c r="A443" s="1" t="s">
        <v>2</v>
      </c>
      <c r="B443" s="55"/>
      <c r="C443" s="55" t="s">
        <v>992</v>
      </c>
      <c r="D443" s="55"/>
      <c r="E443" s="2"/>
      <c r="F443" s="3"/>
      <c r="G443" s="1" t="s">
        <v>4</v>
      </c>
      <c r="H443" s="1"/>
      <c r="I443" s="2" t="s">
        <v>922</v>
      </c>
      <c r="J443" s="2"/>
    </row>
    <row r="444" spans="1:10" ht="12.75" customHeight="1">
      <c r="A444" s="1" t="s">
        <v>6</v>
      </c>
      <c r="B444" s="1"/>
      <c r="C444" s="192" t="s">
        <v>999</v>
      </c>
      <c r="D444" s="192"/>
      <c r="E444" s="192"/>
      <c r="F444" s="3"/>
      <c r="G444" s="1" t="s">
        <v>8</v>
      </c>
      <c r="H444" s="193" t="s">
        <v>9</v>
      </c>
      <c r="I444" s="193"/>
      <c r="J444" s="193"/>
    </row>
    <row r="445" spans="1:10" ht="12.75" customHeight="1">
      <c r="A445" s="6" t="s">
        <v>10</v>
      </c>
      <c r="B445" s="6"/>
      <c r="C445" s="194" t="s">
        <v>994</v>
      </c>
      <c r="D445" s="194"/>
      <c r="E445" s="194"/>
      <c r="F445" s="3"/>
      <c r="G445" s="1" t="s">
        <v>12</v>
      </c>
      <c r="H445" s="195" t="s">
        <v>13</v>
      </c>
      <c r="I445" s="195"/>
      <c r="J445" s="195"/>
    </row>
    <row r="446" spans="1:10" ht="12.75" customHeight="1">
      <c r="A446" s="2" t="s">
        <v>14</v>
      </c>
      <c r="B446" s="2"/>
      <c r="C446" s="2" t="s">
        <v>15</v>
      </c>
      <c r="D446" s="2"/>
      <c r="E446" s="2"/>
      <c r="F446" s="3"/>
      <c r="G446" s="1" t="s">
        <v>16</v>
      </c>
      <c r="H446" s="209" t="s">
        <v>995</v>
      </c>
      <c r="I446" s="209"/>
      <c r="J446" s="209"/>
    </row>
    <row r="447" spans="1:10" ht="12.75" customHeight="1">
      <c r="A447" s="2">
        <v>30</v>
      </c>
      <c r="B447" s="2"/>
      <c r="C447" s="2">
        <f>A447-H447</f>
        <v>1</v>
      </c>
      <c r="D447" s="2"/>
      <c r="E447" s="2"/>
      <c r="F447" s="3"/>
      <c r="G447" s="8" t="s">
        <v>18</v>
      </c>
      <c r="H447" s="197">
        <v>29</v>
      </c>
      <c r="I447" s="197"/>
      <c r="J447" s="197"/>
    </row>
    <row r="448" spans="1:10" ht="12.75" customHeight="1">
      <c r="A448" s="198" t="s">
        <v>19</v>
      </c>
      <c r="B448" s="199"/>
      <c r="C448" s="200"/>
      <c r="D448" s="13" t="s">
        <v>20</v>
      </c>
      <c r="E448" s="14" t="s">
        <v>21</v>
      </c>
      <c r="F448" s="15"/>
      <c r="G448" s="16" t="s">
        <v>20</v>
      </c>
      <c r="H448" s="201" t="s">
        <v>22</v>
      </c>
      <c r="I448" s="202"/>
      <c r="J448" s="203"/>
    </row>
    <row r="449" spans="1:10" ht="12.75" customHeight="1">
      <c r="A449" s="17" t="s">
        <v>23</v>
      </c>
      <c r="B449" s="1"/>
      <c r="C449" s="1"/>
      <c r="D449" s="2">
        <v>28000</v>
      </c>
      <c r="E449" s="17" t="s">
        <v>24</v>
      </c>
      <c r="F449" s="1"/>
      <c r="G449" s="2" t="s">
        <v>25</v>
      </c>
      <c r="H449" s="18" t="s">
        <v>502</v>
      </c>
      <c r="I449" s="6"/>
      <c r="J449" s="19"/>
    </row>
    <row r="450" spans="1:10" ht="12.75" customHeight="1">
      <c r="A450" s="17" t="s">
        <v>77</v>
      </c>
      <c r="B450" s="1"/>
      <c r="C450" s="1"/>
      <c r="D450" s="2" t="s">
        <v>25</v>
      </c>
      <c r="E450" s="17" t="s">
        <v>58</v>
      </c>
      <c r="F450" s="1"/>
      <c r="G450" s="2">
        <v>4331</v>
      </c>
      <c r="H450" s="18" t="s">
        <v>504</v>
      </c>
      <c r="I450" s="6"/>
      <c r="J450" s="19"/>
    </row>
    <row r="451" spans="1:10" ht="12.75" customHeight="1">
      <c r="A451" s="17" t="s">
        <v>663</v>
      </c>
      <c r="B451" s="1"/>
      <c r="C451" s="1"/>
      <c r="D451" s="2" t="s">
        <v>25</v>
      </c>
      <c r="E451" s="17" t="s">
        <v>52</v>
      </c>
      <c r="F451" s="1"/>
      <c r="G451" s="2">
        <v>690</v>
      </c>
      <c r="H451" s="18" t="s">
        <v>32</v>
      </c>
      <c r="I451" s="6"/>
      <c r="J451" s="19"/>
    </row>
    <row r="452" spans="1:10" ht="12.75" customHeight="1">
      <c r="A452" s="17" t="s">
        <v>891</v>
      </c>
      <c r="B452" s="1"/>
      <c r="C452" s="1"/>
      <c r="D452" s="2" t="s">
        <v>25</v>
      </c>
      <c r="E452" s="17" t="s">
        <v>35</v>
      </c>
      <c r="F452" s="1"/>
      <c r="G452" s="2">
        <v>933</v>
      </c>
      <c r="H452" s="18"/>
      <c r="I452" s="6"/>
      <c r="J452" s="19" t="s">
        <v>73</v>
      </c>
    </row>
    <row r="453" spans="1:10" ht="12.75" customHeight="1">
      <c r="A453" s="17" t="s">
        <v>136</v>
      </c>
      <c r="B453" s="1"/>
      <c r="C453" s="1"/>
      <c r="D453" s="2" t="s">
        <v>25</v>
      </c>
      <c r="E453" s="17" t="s">
        <v>286</v>
      </c>
      <c r="F453" s="1"/>
      <c r="G453" s="2" t="s">
        <v>25</v>
      </c>
      <c r="H453" s="50" t="s">
        <v>447</v>
      </c>
      <c r="I453" s="6"/>
      <c r="J453" s="19">
        <v>68000</v>
      </c>
    </row>
    <row r="454" spans="1:10" ht="12.75" customHeight="1">
      <c r="A454" s="176" t="s">
        <v>30</v>
      </c>
      <c r="B454" s="1"/>
      <c r="C454" s="1"/>
      <c r="D454" s="2">
        <v>3054</v>
      </c>
      <c r="E454" s="17" t="s">
        <v>39</v>
      </c>
      <c r="F454" s="1"/>
      <c r="G454" s="2">
        <v>100</v>
      </c>
      <c r="H454" s="18"/>
      <c r="I454" s="6"/>
      <c r="J454" s="19"/>
    </row>
    <row r="455" spans="1:10" ht="12.75" customHeight="1">
      <c r="A455" s="18" t="s">
        <v>40</v>
      </c>
      <c r="B455" s="6"/>
      <c r="C455" s="6"/>
      <c r="D455" s="2" t="s">
        <v>25</v>
      </c>
      <c r="E455" s="17" t="s">
        <v>78</v>
      </c>
      <c r="F455" s="1"/>
      <c r="G455" s="2" t="s">
        <v>25</v>
      </c>
      <c r="H455" s="18"/>
      <c r="I455" s="6"/>
      <c r="J455" s="19"/>
    </row>
    <row r="456" spans="1:10" ht="12.75" customHeight="1">
      <c r="A456" s="204" t="s">
        <v>42</v>
      </c>
      <c r="B456" s="205"/>
      <c r="C456" s="206"/>
      <c r="D456" s="229">
        <f>SUM(D449:D455)</f>
        <v>31054</v>
      </c>
      <c r="E456" s="1" t="s">
        <v>43</v>
      </c>
      <c r="F456" s="1"/>
      <c r="G456" s="2" t="s">
        <v>25</v>
      </c>
      <c r="H456" s="18"/>
      <c r="I456" s="6"/>
      <c r="J456" s="19"/>
    </row>
    <row r="457" spans="1:10" ht="12.75" customHeight="1">
      <c r="A457" s="207"/>
      <c r="B457" s="197"/>
      <c r="C457" s="208"/>
      <c r="D457" s="230"/>
      <c r="E457" s="21" t="s">
        <v>21</v>
      </c>
      <c r="F457" s="22"/>
      <c r="G457" s="13">
        <f>SUM(G449:G456)</f>
        <v>6054</v>
      </c>
      <c r="H457" s="21" t="s">
        <v>44</v>
      </c>
      <c r="I457" s="22"/>
      <c r="J457" s="13">
        <f>D456-G457</f>
        <v>25000</v>
      </c>
    </row>
    <row r="458" spans="1:10" ht="12.75" customHeight="1">
      <c r="A458" s="3" t="s">
        <v>45</v>
      </c>
      <c r="B458" s="3"/>
      <c r="C458" s="3"/>
      <c r="D458" s="3"/>
      <c r="E458" s="3"/>
      <c r="F458" s="3"/>
      <c r="G458" s="3" t="s">
        <v>996</v>
      </c>
      <c r="H458" s="3"/>
      <c r="I458" s="3"/>
      <c r="J458" s="3"/>
    </row>
    <row r="459" spans="1:10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2.75" customHeight="1">
      <c r="A460" s="3"/>
      <c r="B460" s="3" t="s">
        <v>47</v>
      </c>
      <c r="C460" s="3"/>
      <c r="D460" s="3"/>
      <c r="E460" s="3" t="s">
        <v>48</v>
      </c>
      <c r="F460" s="3"/>
      <c r="G460" s="3"/>
      <c r="H460" s="3" t="s">
        <v>49</v>
      </c>
      <c r="I460" s="3"/>
      <c r="J460" s="3"/>
    </row>
    <row r="461" spans="1:10" ht="12.75" customHeight="1">
      <c r="A461" s="184" t="s">
        <v>0</v>
      </c>
      <c r="B461" s="185"/>
      <c r="C461" s="185"/>
      <c r="D461" s="185"/>
      <c r="E461" s="185"/>
      <c r="F461" s="185"/>
      <c r="G461" s="185"/>
      <c r="H461" s="185"/>
      <c r="I461" s="185"/>
      <c r="J461" s="186"/>
    </row>
    <row r="462" spans="1:10" ht="12.75" customHeight="1">
      <c r="A462" s="187" t="s">
        <v>1</v>
      </c>
      <c r="B462" s="188"/>
      <c r="C462" s="188"/>
      <c r="D462" s="188"/>
      <c r="E462" s="188"/>
      <c r="F462" s="188"/>
      <c r="G462" s="188"/>
      <c r="H462" s="188"/>
      <c r="I462" s="188"/>
      <c r="J462" s="189"/>
    </row>
    <row r="463" spans="1:10" ht="12.75" customHeight="1">
      <c r="A463" s="1" t="s">
        <v>2</v>
      </c>
      <c r="B463" s="55"/>
      <c r="C463" s="55" t="s">
        <v>992</v>
      </c>
      <c r="D463" s="55"/>
      <c r="E463" s="2"/>
      <c r="F463" s="3"/>
      <c r="G463" s="1" t="s">
        <v>4</v>
      </c>
      <c r="H463" s="1"/>
      <c r="I463" s="2" t="s">
        <v>922</v>
      </c>
      <c r="J463" s="2"/>
    </row>
    <row r="464" spans="1:10" ht="12.75" customHeight="1">
      <c r="A464" s="1" t="s">
        <v>6</v>
      </c>
      <c r="B464" s="1"/>
      <c r="C464" s="192" t="s">
        <v>756</v>
      </c>
      <c r="D464" s="192"/>
      <c r="E464" s="192"/>
      <c r="F464" s="3"/>
      <c r="G464" s="1" t="s">
        <v>8</v>
      </c>
      <c r="H464" s="193" t="s">
        <v>9</v>
      </c>
      <c r="I464" s="193"/>
      <c r="J464" s="193"/>
    </row>
    <row r="465" spans="1:10" ht="12.75" customHeight="1">
      <c r="A465" s="6" t="s">
        <v>10</v>
      </c>
      <c r="B465" s="6"/>
      <c r="C465" s="194" t="s">
        <v>994</v>
      </c>
      <c r="D465" s="194"/>
      <c r="E465" s="194"/>
      <c r="F465" s="3"/>
      <c r="G465" s="1" t="s">
        <v>12</v>
      </c>
      <c r="H465" s="195" t="s">
        <v>13</v>
      </c>
      <c r="I465" s="195"/>
      <c r="J465" s="195"/>
    </row>
    <row r="466" spans="1:10" ht="12.75" customHeight="1">
      <c r="A466" s="2" t="s">
        <v>14</v>
      </c>
      <c r="B466" s="2"/>
      <c r="C466" s="2" t="s">
        <v>15</v>
      </c>
      <c r="D466" s="2"/>
      <c r="E466" s="2"/>
      <c r="F466" s="3"/>
      <c r="G466" s="1" t="s">
        <v>16</v>
      </c>
      <c r="H466" s="209" t="s">
        <v>995</v>
      </c>
      <c r="I466" s="209"/>
      <c r="J466" s="209"/>
    </row>
    <row r="467" spans="1:10" ht="12.75" customHeight="1">
      <c r="A467" s="2">
        <v>30</v>
      </c>
      <c r="B467" s="2"/>
      <c r="C467" s="2">
        <f>A467-H467</f>
        <v>22</v>
      </c>
      <c r="D467" s="2"/>
      <c r="E467" s="2"/>
      <c r="F467" s="3"/>
      <c r="G467" s="8" t="s">
        <v>18</v>
      </c>
      <c r="H467" s="197">
        <v>8</v>
      </c>
      <c r="I467" s="197"/>
      <c r="J467" s="197"/>
    </row>
    <row r="468" spans="1:10" ht="12.75" customHeight="1">
      <c r="A468" s="198" t="s">
        <v>19</v>
      </c>
      <c r="B468" s="199"/>
      <c r="C468" s="200"/>
      <c r="D468" s="13" t="s">
        <v>20</v>
      </c>
      <c r="E468" s="14" t="s">
        <v>21</v>
      </c>
      <c r="F468" s="15"/>
      <c r="G468" s="16" t="s">
        <v>20</v>
      </c>
      <c r="H468" s="201" t="s">
        <v>22</v>
      </c>
      <c r="I468" s="202"/>
      <c r="J468" s="203"/>
    </row>
    <row r="469" spans="1:10" ht="12.75" customHeight="1">
      <c r="A469" s="17" t="s">
        <v>23</v>
      </c>
      <c r="B469" s="1"/>
      <c r="C469" s="1"/>
      <c r="D469" s="2">
        <v>20000</v>
      </c>
      <c r="E469" s="17" t="s">
        <v>24</v>
      </c>
      <c r="F469" s="1"/>
      <c r="G469" s="2" t="s">
        <v>25</v>
      </c>
      <c r="H469" s="18" t="s">
        <v>502</v>
      </c>
      <c r="I469" s="6"/>
      <c r="J469" s="19"/>
    </row>
    <row r="470" spans="1:10" ht="12.75" customHeight="1">
      <c r="A470" s="17" t="s">
        <v>77</v>
      </c>
      <c r="B470" s="1"/>
      <c r="C470" s="1"/>
      <c r="D470" s="2" t="s">
        <v>25</v>
      </c>
      <c r="E470" s="17" t="s">
        <v>58</v>
      </c>
      <c r="F470" s="1"/>
      <c r="G470" s="2" t="s">
        <v>25</v>
      </c>
      <c r="H470" s="18" t="s">
        <v>504</v>
      </c>
      <c r="I470" s="6"/>
      <c r="J470" s="19"/>
    </row>
    <row r="471" spans="1:10" ht="12.75" customHeight="1">
      <c r="A471" s="17" t="s">
        <v>663</v>
      </c>
      <c r="B471" s="1"/>
      <c r="C471" s="1"/>
      <c r="D471" s="2" t="s">
        <v>25</v>
      </c>
      <c r="E471" s="17" t="s">
        <v>52</v>
      </c>
      <c r="F471" s="1"/>
      <c r="G471" s="2" t="s">
        <v>25</v>
      </c>
      <c r="H471" s="18" t="s">
        <v>32</v>
      </c>
      <c r="I471" s="6"/>
      <c r="J471" s="19"/>
    </row>
    <row r="472" spans="1:10" ht="12.75" customHeight="1">
      <c r="A472" s="17" t="s">
        <v>891</v>
      </c>
      <c r="B472" s="1"/>
      <c r="C472" s="1"/>
      <c r="D472" s="2" t="s">
        <v>25</v>
      </c>
      <c r="E472" s="17" t="s">
        <v>35</v>
      </c>
      <c r="F472" s="1"/>
      <c r="G472" s="2">
        <v>14667</v>
      </c>
      <c r="H472" s="18"/>
      <c r="I472" s="6"/>
      <c r="J472" s="19" t="s">
        <v>73</v>
      </c>
    </row>
    <row r="473" spans="1:10" ht="12.75" customHeight="1">
      <c r="A473" s="17" t="s">
        <v>136</v>
      </c>
      <c r="B473" s="1"/>
      <c r="C473" s="1"/>
      <c r="D473" s="2" t="s">
        <v>25</v>
      </c>
      <c r="E473" s="17" t="s">
        <v>286</v>
      </c>
      <c r="F473" s="1"/>
      <c r="G473" s="2" t="s">
        <v>25</v>
      </c>
      <c r="H473" s="50"/>
      <c r="I473" s="6"/>
      <c r="J473" s="19"/>
    </row>
    <row r="474" spans="1:10" ht="12.75" customHeight="1">
      <c r="A474" s="17" t="s">
        <v>78</v>
      </c>
      <c r="B474" s="1"/>
      <c r="C474" s="1"/>
      <c r="D474" s="2" t="s">
        <v>25</v>
      </c>
      <c r="E474" s="17" t="s">
        <v>39</v>
      </c>
      <c r="F474" s="1"/>
      <c r="G474" s="2">
        <v>100</v>
      </c>
      <c r="H474" s="18"/>
      <c r="I474" s="6"/>
      <c r="J474" s="19"/>
    </row>
    <row r="475" spans="1:10" ht="12.75" customHeight="1">
      <c r="A475" s="18" t="s">
        <v>40</v>
      </c>
      <c r="B475" s="6"/>
      <c r="C475" s="6"/>
      <c r="D475" s="2" t="s">
        <v>25</v>
      </c>
      <c r="E475" s="17" t="s">
        <v>78</v>
      </c>
      <c r="F475" s="1"/>
      <c r="G475" s="2" t="s">
        <v>25</v>
      </c>
      <c r="H475" s="18"/>
      <c r="I475" s="6"/>
      <c r="J475" s="19"/>
    </row>
    <row r="476" spans="1:10" ht="12.75" customHeight="1">
      <c r="A476" s="204" t="s">
        <v>42</v>
      </c>
      <c r="B476" s="205"/>
      <c r="C476" s="206"/>
      <c r="D476" s="229">
        <f>SUM(D469:D475)</f>
        <v>20000</v>
      </c>
      <c r="E476" s="1" t="s">
        <v>43</v>
      </c>
      <c r="F476" s="1"/>
      <c r="G476" s="2" t="s">
        <v>25</v>
      </c>
      <c r="H476" s="18"/>
      <c r="I476" s="6"/>
      <c r="J476" s="19"/>
    </row>
    <row r="477" spans="1:10" ht="12.75" customHeight="1">
      <c r="A477" s="207"/>
      <c r="B477" s="197"/>
      <c r="C477" s="208"/>
      <c r="D477" s="230"/>
      <c r="E477" s="21" t="s">
        <v>21</v>
      </c>
      <c r="F477" s="22"/>
      <c r="G477" s="13">
        <f>SUM(G469:G476)</f>
        <v>14767</v>
      </c>
      <c r="H477" s="21" t="s">
        <v>44</v>
      </c>
      <c r="I477" s="22"/>
      <c r="J477" s="13">
        <f>D476-G477</f>
        <v>5233</v>
      </c>
    </row>
    <row r="478" spans="1:10" ht="12.75" customHeight="1">
      <c r="A478" s="3" t="s">
        <v>45</v>
      </c>
      <c r="B478" s="3"/>
      <c r="C478" s="3"/>
      <c r="D478" s="3"/>
      <c r="E478" s="3"/>
      <c r="F478" s="3"/>
      <c r="G478" s="3" t="s">
        <v>996</v>
      </c>
      <c r="H478" s="3"/>
      <c r="I478" s="3"/>
      <c r="J478" s="3"/>
    </row>
    <row r="479" spans="1:10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2.75" customHeight="1">
      <c r="A480" s="3"/>
      <c r="B480" s="3" t="s">
        <v>47</v>
      </c>
      <c r="C480" s="3"/>
      <c r="D480" s="3"/>
      <c r="E480" s="3" t="s">
        <v>48</v>
      </c>
      <c r="F480" s="3"/>
      <c r="G480" s="3"/>
      <c r="H480" s="3" t="s">
        <v>49</v>
      </c>
      <c r="I480" s="3"/>
      <c r="J480" s="3"/>
    </row>
    <row r="481" spans="1:10" ht="12.75" customHeight="1">
      <c r="A481" s="184" t="s">
        <v>0</v>
      </c>
      <c r="B481" s="185"/>
      <c r="C481" s="185"/>
      <c r="D481" s="185"/>
      <c r="E481" s="185"/>
      <c r="F481" s="185"/>
      <c r="G481" s="185"/>
      <c r="H481" s="185"/>
      <c r="I481" s="185"/>
      <c r="J481" s="186"/>
    </row>
    <row r="482" spans="1:10" ht="12.75" customHeight="1">
      <c r="A482" s="187" t="s">
        <v>1</v>
      </c>
      <c r="B482" s="188"/>
      <c r="C482" s="188"/>
      <c r="D482" s="188"/>
      <c r="E482" s="188"/>
      <c r="F482" s="188"/>
      <c r="G482" s="188"/>
      <c r="H482" s="188"/>
      <c r="I482" s="188"/>
      <c r="J482" s="189"/>
    </row>
    <row r="483" spans="1:10" ht="12.75" customHeight="1">
      <c r="A483" s="1" t="s">
        <v>2</v>
      </c>
      <c r="B483" s="1"/>
      <c r="C483" s="209" t="s">
        <v>1000</v>
      </c>
      <c r="D483" s="209"/>
      <c r="E483" s="2"/>
      <c r="F483" s="3"/>
      <c r="G483" s="1" t="s">
        <v>4</v>
      </c>
      <c r="H483" s="1"/>
      <c r="I483" s="2" t="s">
        <v>922</v>
      </c>
      <c r="J483" s="2"/>
    </row>
    <row r="484" spans="1:10" ht="12.75" customHeight="1">
      <c r="A484" s="1" t="s">
        <v>6</v>
      </c>
      <c r="B484" s="1"/>
      <c r="C484" s="196" t="s">
        <v>1001</v>
      </c>
      <c r="D484" s="196"/>
      <c r="E484" s="2"/>
      <c r="F484" s="3"/>
      <c r="G484" s="1" t="s">
        <v>8</v>
      </c>
      <c r="H484" s="193" t="s">
        <v>9</v>
      </c>
      <c r="I484" s="193"/>
      <c r="J484" s="193"/>
    </row>
    <row r="485" spans="1:10" ht="12.75" customHeight="1">
      <c r="A485" s="6" t="s">
        <v>10</v>
      </c>
      <c r="B485" s="6"/>
      <c r="C485" s="209" t="s">
        <v>1002</v>
      </c>
      <c r="D485" s="209"/>
      <c r="E485" s="2"/>
      <c r="F485" s="3"/>
      <c r="G485" s="1" t="s">
        <v>12</v>
      </c>
      <c r="H485" s="195" t="s">
        <v>13</v>
      </c>
      <c r="I485" s="195"/>
      <c r="J485" s="195"/>
    </row>
    <row r="486" spans="1:10" ht="12.75" customHeight="1">
      <c r="A486" s="2" t="s">
        <v>14</v>
      </c>
      <c r="B486" s="2"/>
      <c r="C486" s="2" t="s">
        <v>15</v>
      </c>
      <c r="D486" s="2"/>
      <c r="E486" s="2"/>
      <c r="F486" s="3"/>
      <c r="G486" s="1" t="s">
        <v>16</v>
      </c>
      <c r="H486" s="209" t="s">
        <v>55</v>
      </c>
      <c r="I486" s="209"/>
      <c r="J486" s="209"/>
    </row>
    <row r="487" spans="1:10" ht="12.75" customHeight="1">
      <c r="A487" s="2">
        <v>30</v>
      </c>
      <c r="B487" s="2"/>
      <c r="C487" s="2">
        <f>A487-H487</f>
        <v>0</v>
      </c>
      <c r="D487" s="2"/>
      <c r="E487" s="2"/>
      <c r="F487" s="3"/>
      <c r="G487" s="8" t="s">
        <v>18</v>
      </c>
      <c r="H487" s="197">
        <v>30</v>
      </c>
      <c r="I487" s="197"/>
      <c r="J487" s="197"/>
    </row>
    <row r="488" spans="1:10" ht="12.75" customHeight="1">
      <c r="A488" s="198" t="s">
        <v>19</v>
      </c>
      <c r="B488" s="199"/>
      <c r="C488" s="200"/>
      <c r="D488" s="13" t="s">
        <v>20</v>
      </c>
      <c r="E488" s="14" t="s">
        <v>21</v>
      </c>
      <c r="F488" s="15"/>
      <c r="G488" s="16" t="s">
        <v>20</v>
      </c>
      <c r="H488" s="201" t="s">
        <v>22</v>
      </c>
      <c r="I488" s="202"/>
      <c r="J488" s="203"/>
    </row>
    <row r="489" spans="1:10" ht="12.75" customHeight="1">
      <c r="A489" s="17" t="s">
        <v>23</v>
      </c>
      <c r="B489" s="1"/>
      <c r="C489" s="1"/>
      <c r="D489" s="2">
        <v>60000</v>
      </c>
      <c r="E489" s="17" t="s">
        <v>24</v>
      </c>
      <c r="F489" s="1"/>
      <c r="G489" s="2" t="s">
        <v>25</v>
      </c>
      <c r="H489" s="18" t="s">
        <v>502</v>
      </c>
      <c r="I489" s="6"/>
      <c r="J489" s="19"/>
    </row>
    <row r="490" spans="1:10" ht="12.75" customHeight="1">
      <c r="A490" s="17" t="s">
        <v>77</v>
      </c>
      <c r="B490" s="209"/>
      <c r="C490" s="209"/>
      <c r="D490" s="2" t="s">
        <v>25</v>
      </c>
      <c r="E490" s="17" t="s">
        <v>177</v>
      </c>
      <c r="F490" s="1"/>
      <c r="G490" s="2" t="s">
        <v>25</v>
      </c>
      <c r="H490" s="18" t="s">
        <v>504</v>
      </c>
      <c r="I490" s="6"/>
      <c r="J490" s="19"/>
    </row>
    <row r="491" spans="1:10" ht="12.75" customHeight="1">
      <c r="A491" s="17" t="s">
        <v>852</v>
      </c>
      <c r="B491" s="1"/>
      <c r="C491" s="1"/>
      <c r="D491" s="2" t="s">
        <v>25</v>
      </c>
      <c r="E491" s="17" t="s">
        <v>52</v>
      </c>
      <c r="F491" s="1"/>
      <c r="G491" s="2" t="s">
        <v>25</v>
      </c>
      <c r="H491" s="18" t="s">
        <v>32</v>
      </c>
      <c r="I491" s="6"/>
      <c r="J491" s="19"/>
    </row>
    <row r="492" spans="1:10" ht="12.75" customHeight="1">
      <c r="A492" s="17" t="s">
        <v>34</v>
      </c>
      <c r="B492" s="1"/>
      <c r="C492" s="1"/>
      <c r="D492" s="2" t="s">
        <v>25</v>
      </c>
      <c r="E492" s="17" t="s">
        <v>35</v>
      </c>
      <c r="F492" s="1"/>
      <c r="G492" s="2" t="s">
        <v>25</v>
      </c>
      <c r="H492" s="18"/>
      <c r="I492" s="6"/>
      <c r="J492" s="19"/>
    </row>
    <row r="493" spans="1:10" ht="12.75" customHeight="1">
      <c r="A493" s="17" t="s">
        <v>1003</v>
      </c>
      <c r="B493" s="1"/>
      <c r="C493" s="1"/>
      <c r="D493" s="2">
        <v>5000</v>
      </c>
      <c r="E493" s="17" t="s">
        <v>61</v>
      </c>
      <c r="F493" s="1"/>
      <c r="G493" s="2" t="s">
        <v>25</v>
      </c>
      <c r="H493" s="18"/>
      <c r="I493" s="6"/>
      <c r="J493" s="19"/>
    </row>
    <row r="494" spans="1:10" ht="12.75" customHeight="1">
      <c r="A494" s="17" t="s">
        <v>1004</v>
      </c>
      <c r="B494" s="1"/>
      <c r="C494" s="1"/>
      <c r="D494" s="2" t="s">
        <v>25</v>
      </c>
      <c r="E494" s="17" t="s">
        <v>39</v>
      </c>
      <c r="F494" s="1"/>
      <c r="G494" s="2">
        <v>100</v>
      </c>
      <c r="H494" s="18"/>
      <c r="I494" s="6"/>
      <c r="J494" s="19"/>
    </row>
    <row r="495" spans="1:10" ht="12.75" customHeight="1">
      <c r="A495" s="18" t="s">
        <v>40</v>
      </c>
      <c r="B495" s="6"/>
      <c r="C495" s="6"/>
      <c r="D495" s="2" t="s">
        <v>25</v>
      </c>
      <c r="E495" s="17" t="s">
        <v>78</v>
      </c>
      <c r="F495" s="1"/>
      <c r="G495" s="2" t="s">
        <v>25</v>
      </c>
      <c r="H495" s="18"/>
      <c r="I495" s="6"/>
      <c r="J495" s="19"/>
    </row>
    <row r="496" spans="1:10" ht="12.75" customHeight="1">
      <c r="A496" s="204" t="s">
        <v>42</v>
      </c>
      <c r="B496" s="205"/>
      <c r="C496" s="206"/>
      <c r="D496" s="229">
        <f>SUM(D489:D495)</f>
        <v>65000</v>
      </c>
      <c r="E496" s="1" t="s">
        <v>283</v>
      </c>
      <c r="F496" s="1"/>
      <c r="G496" s="2" t="s">
        <v>25</v>
      </c>
      <c r="H496" s="18"/>
      <c r="I496" s="6"/>
      <c r="J496" s="19"/>
    </row>
    <row r="497" spans="1:10" ht="12.75" customHeight="1">
      <c r="A497" s="207"/>
      <c r="B497" s="197"/>
      <c r="C497" s="208"/>
      <c r="D497" s="230"/>
      <c r="E497" s="21" t="s">
        <v>21</v>
      </c>
      <c r="F497" s="22"/>
      <c r="G497" s="13">
        <f>SUM(G489:G496)</f>
        <v>100</v>
      </c>
      <c r="H497" s="21" t="s">
        <v>44</v>
      </c>
      <c r="I497" s="22"/>
      <c r="J497" s="13">
        <f>D496-G497</f>
        <v>64900</v>
      </c>
    </row>
    <row r="498" spans="1:10" ht="12.75" customHeight="1">
      <c r="A498" s="3" t="s">
        <v>45</v>
      </c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2.75" customHeight="1">
      <c r="A500" s="3"/>
      <c r="B500" s="3" t="s">
        <v>47</v>
      </c>
      <c r="C500" s="3"/>
      <c r="D500" s="3"/>
      <c r="E500" s="3" t="s">
        <v>48</v>
      </c>
      <c r="F500" s="3"/>
      <c r="G500" s="3"/>
      <c r="H500" s="3" t="s">
        <v>49</v>
      </c>
      <c r="I500" s="3"/>
      <c r="J500" s="3"/>
    </row>
    <row r="501" spans="1:10" ht="12.75" customHeight="1">
      <c r="A501" s="184" t="s">
        <v>0</v>
      </c>
      <c r="B501" s="185"/>
      <c r="C501" s="185"/>
      <c r="D501" s="185"/>
      <c r="E501" s="185"/>
      <c r="F501" s="185"/>
      <c r="G501" s="185"/>
      <c r="H501" s="185"/>
      <c r="I501" s="185"/>
      <c r="J501" s="186"/>
    </row>
    <row r="502" spans="1:10" ht="12.75" customHeight="1">
      <c r="A502" s="187" t="s">
        <v>1</v>
      </c>
      <c r="B502" s="188"/>
      <c r="C502" s="188"/>
      <c r="D502" s="188"/>
      <c r="E502" s="188"/>
      <c r="F502" s="188"/>
      <c r="G502" s="188"/>
      <c r="H502" s="188"/>
      <c r="I502" s="188"/>
      <c r="J502" s="189"/>
    </row>
    <row r="503" spans="1:10" ht="12.75" customHeight="1">
      <c r="A503" s="1" t="s">
        <v>2</v>
      </c>
      <c r="B503" s="1"/>
      <c r="C503" s="209" t="s">
        <v>1005</v>
      </c>
      <c r="D503" s="209"/>
      <c r="E503" s="2"/>
      <c r="F503" s="3"/>
      <c r="G503" s="1" t="s">
        <v>4</v>
      </c>
      <c r="H503" s="1"/>
      <c r="I503" s="2" t="s">
        <v>922</v>
      </c>
      <c r="J503" s="2"/>
    </row>
    <row r="504" spans="1:10" ht="12.75" customHeight="1">
      <c r="A504" s="1" t="s">
        <v>6</v>
      </c>
      <c r="B504" s="1"/>
      <c r="C504" s="196" t="s">
        <v>1006</v>
      </c>
      <c r="D504" s="196"/>
      <c r="E504" s="2"/>
      <c r="F504" s="3"/>
      <c r="G504" s="1" t="s">
        <v>8</v>
      </c>
      <c r="H504" s="193" t="s">
        <v>9</v>
      </c>
      <c r="I504" s="193"/>
      <c r="J504" s="193"/>
    </row>
    <row r="505" spans="1:10" ht="12.75" customHeight="1">
      <c r="A505" s="6" t="s">
        <v>10</v>
      </c>
      <c r="B505" s="6"/>
      <c r="C505" s="209" t="s">
        <v>1007</v>
      </c>
      <c r="D505" s="209"/>
      <c r="E505" s="2"/>
      <c r="F505" s="3"/>
      <c r="G505" s="1" t="s">
        <v>12</v>
      </c>
      <c r="H505" s="195" t="s">
        <v>13</v>
      </c>
      <c r="I505" s="195"/>
      <c r="J505" s="195"/>
    </row>
    <row r="506" spans="1:10" ht="12.75" customHeight="1">
      <c r="A506" s="2" t="s">
        <v>14</v>
      </c>
      <c r="B506" s="2"/>
      <c r="C506" s="2" t="s">
        <v>15</v>
      </c>
      <c r="D506" s="2"/>
      <c r="E506" s="2"/>
      <c r="F506" s="3"/>
      <c r="G506" s="1" t="s">
        <v>16</v>
      </c>
      <c r="H506" s="209" t="s">
        <v>1008</v>
      </c>
      <c r="I506" s="209"/>
      <c r="J506" s="209"/>
    </row>
    <row r="507" spans="1:10" ht="12.75" customHeight="1">
      <c r="A507" s="2">
        <v>30</v>
      </c>
      <c r="B507" s="2"/>
      <c r="C507" s="2">
        <f>A507-H507</f>
        <v>0</v>
      </c>
      <c r="D507" s="2"/>
      <c r="E507" s="2"/>
      <c r="F507" s="3"/>
      <c r="G507" s="8" t="s">
        <v>18</v>
      </c>
      <c r="H507" s="197">
        <v>30</v>
      </c>
      <c r="I507" s="197"/>
      <c r="J507" s="197"/>
    </row>
    <row r="508" spans="1:10" ht="12.75" customHeight="1">
      <c r="A508" s="198" t="s">
        <v>19</v>
      </c>
      <c r="B508" s="199"/>
      <c r="C508" s="200"/>
      <c r="D508" s="13" t="s">
        <v>20</v>
      </c>
      <c r="E508" s="14" t="s">
        <v>21</v>
      </c>
      <c r="F508" s="15"/>
      <c r="G508" s="16" t="s">
        <v>20</v>
      </c>
      <c r="H508" s="201" t="s">
        <v>22</v>
      </c>
      <c r="I508" s="202"/>
      <c r="J508" s="203"/>
    </row>
    <row r="509" spans="1:10" ht="12.75" customHeight="1">
      <c r="A509" s="17" t="s">
        <v>23</v>
      </c>
      <c r="B509" s="1"/>
      <c r="C509" s="1"/>
      <c r="D509" s="2">
        <v>40000</v>
      </c>
      <c r="E509" s="17" t="s">
        <v>24</v>
      </c>
      <c r="F509" s="1"/>
      <c r="G509" s="2" t="s">
        <v>25</v>
      </c>
      <c r="H509" s="18" t="s">
        <v>502</v>
      </c>
      <c r="I509" s="6"/>
      <c r="J509" s="19"/>
    </row>
    <row r="510" spans="1:10" ht="12.75" customHeight="1">
      <c r="A510" s="17" t="s">
        <v>77</v>
      </c>
      <c r="B510" s="209"/>
      <c r="C510" s="209"/>
      <c r="D510" s="2" t="s">
        <v>25</v>
      </c>
      <c r="E510" s="17" t="s">
        <v>28</v>
      </c>
      <c r="F510" s="1"/>
      <c r="G510" s="2" t="s">
        <v>25</v>
      </c>
      <c r="H510" s="18" t="s">
        <v>504</v>
      </c>
      <c r="I510" s="6"/>
      <c r="J510" s="19"/>
    </row>
    <row r="511" spans="1:10" ht="12.75" customHeight="1">
      <c r="A511" s="17" t="s">
        <v>663</v>
      </c>
      <c r="B511" s="1"/>
      <c r="C511" s="1"/>
      <c r="D511" s="2" t="s">
        <v>25</v>
      </c>
      <c r="E511" s="17" t="s">
        <v>24</v>
      </c>
      <c r="F511" s="1"/>
      <c r="G511" s="2" t="s">
        <v>25</v>
      </c>
      <c r="H511" s="18" t="s">
        <v>32</v>
      </c>
      <c r="I511" s="6"/>
      <c r="J511" s="19"/>
    </row>
    <row r="512" spans="1:10" ht="12.75" customHeight="1">
      <c r="A512" s="17" t="s">
        <v>34</v>
      </c>
      <c r="B512" s="1"/>
      <c r="C512" s="1"/>
      <c r="D512" s="2" t="s">
        <v>25</v>
      </c>
      <c r="E512" s="17" t="s">
        <v>35</v>
      </c>
      <c r="F512" s="1"/>
      <c r="G512" s="2" t="s">
        <v>25</v>
      </c>
      <c r="H512" s="18"/>
      <c r="I512" s="6"/>
      <c r="J512" s="19"/>
    </row>
    <row r="513" spans="1:10" ht="12.75" customHeight="1">
      <c r="A513" s="176" t="s">
        <v>30</v>
      </c>
      <c r="B513" s="1"/>
      <c r="C513" s="1"/>
      <c r="D513" s="2">
        <v>5100</v>
      </c>
      <c r="E513" s="17" t="s">
        <v>61</v>
      </c>
      <c r="F513" s="1"/>
      <c r="G513" s="2" t="s">
        <v>25</v>
      </c>
      <c r="H513" s="18"/>
      <c r="I513" s="6"/>
      <c r="J513" s="19"/>
    </row>
    <row r="514" spans="1:10" ht="12.75" customHeight="1">
      <c r="A514" s="17" t="s">
        <v>1004</v>
      </c>
      <c r="B514" s="1"/>
      <c r="C514" s="1"/>
      <c r="D514" s="2">
        <v>2000</v>
      </c>
      <c r="E514" s="17" t="s">
        <v>39</v>
      </c>
      <c r="F514" s="1"/>
      <c r="G514" s="2">
        <v>100</v>
      </c>
      <c r="H514" s="18"/>
      <c r="I514" s="6"/>
      <c r="J514" s="19"/>
    </row>
    <row r="515" spans="1:10" ht="12.75" customHeight="1">
      <c r="A515" s="18" t="s">
        <v>1010</v>
      </c>
      <c r="B515" s="6"/>
      <c r="C515" s="6"/>
      <c r="D515" s="2">
        <v>3000</v>
      </c>
      <c r="E515" s="17" t="s">
        <v>78</v>
      </c>
      <c r="F515" s="1"/>
      <c r="G515" s="2" t="s">
        <v>25</v>
      </c>
      <c r="H515" s="18"/>
      <c r="I515" s="6"/>
      <c r="J515" s="19"/>
    </row>
    <row r="516" spans="1:10" ht="12.75" customHeight="1">
      <c r="A516" s="204" t="s">
        <v>42</v>
      </c>
      <c r="B516" s="205"/>
      <c r="C516" s="206"/>
      <c r="D516" s="229">
        <f>SUM(D509:D515)</f>
        <v>50100</v>
      </c>
      <c r="E516" s="1" t="s">
        <v>283</v>
      </c>
      <c r="F516" s="1"/>
      <c r="G516" s="2" t="s">
        <v>25</v>
      </c>
      <c r="H516" s="18"/>
      <c r="I516" s="6"/>
      <c r="J516" s="19"/>
    </row>
    <row r="517" spans="1:10" ht="12.75" customHeight="1">
      <c r="A517" s="207"/>
      <c r="B517" s="197"/>
      <c r="C517" s="208"/>
      <c r="D517" s="230"/>
      <c r="E517" s="21" t="s">
        <v>21</v>
      </c>
      <c r="F517" s="22"/>
      <c r="G517" s="13">
        <f>SUM(G509:G516)</f>
        <v>100</v>
      </c>
      <c r="H517" s="21" t="s">
        <v>44</v>
      </c>
      <c r="I517" s="22"/>
      <c r="J517" s="13">
        <f>D516-G517</f>
        <v>50000</v>
      </c>
    </row>
    <row r="518" spans="1:10" ht="12.75" customHeight="1">
      <c r="A518" s="3" t="s">
        <v>45</v>
      </c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2.75" customHeight="1">
      <c r="A520" s="3"/>
      <c r="B520" s="3" t="s">
        <v>47</v>
      </c>
      <c r="C520" s="3"/>
      <c r="D520" s="3"/>
      <c r="E520" s="3" t="s">
        <v>48</v>
      </c>
      <c r="F520" s="3"/>
      <c r="G520" s="3"/>
      <c r="H520" s="3" t="s">
        <v>49</v>
      </c>
      <c r="I520" s="3"/>
      <c r="J520" s="3"/>
    </row>
    <row r="521" spans="1:10" ht="12.75" customHeight="1">
      <c r="A521" s="184" t="s">
        <v>0</v>
      </c>
      <c r="B521" s="185"/>
      <c r="C521" s="185"/>
      <c r="D521" s="185"/>
      <c r="E521" s="185"/>
      <c r="F521" s="185"/>
      <c r="G521" s="185"/>
      <c r="H521" s="185"/>
      <c r="I521" s="185"/>
      <c r="J521" s="186"/>
    </row>
    <row r="522" spans="1:10" ht="12.75" customHeight="1">
      <c r="A522" s="187" t="s">
        <v>1</v>
      </c>
      <c r="B522" s="188"/>
      <c r="C522" s="188"/>
      <c r="D522" s="188"/>
      <c r="E522" s="188"/>
      <c r="F522" s="188"/>
      <c r="G522" s="188"/>
      <c r="H522" s="188"/>
      <c r="I522" s="188"/>
      <c r="J522" s="189"/>
    </row>
    <row r="523" spans="1:10" ht="12.75" customHeight="1">
      <c r="A523" s="1" t="s">
        <v>2</v>
      </c>
      <c r="B523" s="1"/>
      <c r="C523" s="209" t="s">
        <v>1011</v>
      </c>
      <c r="D523" s="209"/>
      <c r="E523" s="2"/>
      <c r="F523" s="3"/>
      <c r="G523" s="1" t="s">
        <v>4</v>
      </c>
      <c r="H523" s="1"/>
      <c r="I523" s="2" t="s">
        <v>922</v>
      </c>
      <c r="J523" s="2"/>
    </row>
    <row r="524" spans="1:10" ht="12.75" customHeight="1">
      <c r="A524" s="1" t="s">
        <v>6</v>
      </c>
      <c r="B524" s="1"/>
      <c r="C524" s="196" t="s">
        <v>1012</v>
      </c>
      <c r="D524" s="196"/>
      <c r="E524" s="2"/>
      <c r="F524" s="3"/>
      <c r="G524" s="1" t="s">
        <v>8</v>
      </c>
      <c r="H524" s="193" t="s">
        <v>9</v>
      </c>
      <c r="I524" s="193"/>
      <c r="J524" s="193"/>
    </row>
    <row r="525" spans="1:10" ht="12.75" customHeight="1">
      <c r="A525" s="6" t="s">
        <v>10</v>
      </c>
      <c r="B525" s="6"/>
      <c r="C525" s="209" t="s">
        <v>1013</v>
      </c>
      <c r="D525" s="209"/>
      <c r="E525" s="2"/>
      <c r="F525" s="3"/>
      <c r="G525" s="1" t="s">
        <v>12</v>
      </c>
      <c r="H525" s="195" t="s">
        <v>13</v>
      </c>
      <c r="I525" s="195"/>
      <c r="J525" s="195"/>
    </row>
    <row r="526" spans="1:10" ht="12.75" customHeight="1">
      <c r="A526" s="2" t="s">
        <v>14</v>
      </c>
      <c r="B526" s="2"/>
      <c r="C526" s="2" t="s">
        <v>15</v>
      </c>
      <c r="D526" s="2"/>
      <c r="E526" s="2"/>
      <c r="F526" s="3"/>
      <c r="G526" s="1" t="s">
        <v>16</v>
      </c>
      <c r="H526" s="209" t="s">
        <v>1014</v>
      </c>
      <c r="I526" s="209"/>
      <c r="J526" s="209"/>
    </row>
    <row r="527" spans="1:10" ht="12.75" customHeight="1">
      <c r="A527" s="2">
        <v>30</v>
      </c>
      <c r="B527" s="2"/>
      <c r="C527" s="2">
        <f>A527-H527</f>
        <v>1</v>
      </c>
      <c r="D527" s="2"/>
      <c r="E527" s="2"/>
      <c r="F527" s="3"/>
      <c r="G527" s="8" t="s">
        <v>18</v>
      </c>
      <c r="H527" s="197">
        <v>29</v>
      </c>
      <c r="I527" s="197"/>
      <c r="J527" s="197"/>
    </row>
    <row r="528" spans="1:10" ht="12.75" customHeight="1">
      <c r="A528" s="198" t="s">
        <v>19</v>
      </c>
      <c r="B528" s="199"/>
      <c r="C528" s="200"/>
      <c r="D528" s="13" t="s">
        <v>20</v>
      </c>
      <c r="E528" s="14" t="s">
        <v>21</v>
      </c>
      <c r="F528" s="15"/>
      <c r="G528" s="16" t="s">
        <v>20</v>
      </c>
      <c r="H528" s="201" t="s">
        <v>22</v>
      </c>
      <c r="I528" s="202"/>
      <c r="J528" s="203"/>
    </row>
    <row r="529" spans="1:10" ht="12.75" customHeight="1">
      <c r="A529" s="17" t="s">
        <v>23</v>
      </c>
      <c r="B529" s="1"/>
      <c r="C529" s="1"/>
      <c r="D529" s="2">
        <v>35000</v>
      </c>
      <c r="E529" s="17" t="s">
        <v>58</v>
      </c>
      <c r="F529" s="1"/>
      <c r="G529" s="2" t="s">
        <v>25</v>
      </c>
      <c r="H529" s="18" t="s">
        <v>502</v>
      </c>
      <c r="I529" s="6"/>
      <c r="J529" s="19"/>
    </row>
    <row r="530" spans="1:10" ht="12.75" customHeight="1">
      <c r="A530" s="17" t="s">
        <v>77</v>
      </c>
      <c r="B530" s="209"/>
      <c r="C530" s="209"/>
      <c r="D530" s="2" t="s">
        <v>25</v>
      </c>
      <c r="E530" s="17" t="s">
        <v>1015</v>
      </c>
      <c r="F530" s="1"/>
      <c r="G530" s="2" t="s">
        <v>25</v>
      </c>
      <c r="H530" s="18" t="s">
        <v>504</v>
      </c>
      <c r="I530" s="6"/>
      <c r="J530" s="19"/>
    </row>
    <row r="531" spans="1:10" ht="12.75" customHeight="1">
      <c r="A531" s="17" t="s">
        <v>852</v>
      </c>
      <c r="B531" s="1"/>
      <c r="C531" s="1"/>
      <c r="D531" s="2" t="s">
        <v>25</v>
      </c>
      <c r="E531" s="17" t="s">
        <v>28</v>
      </c>
      <c r="F531" s="1"/>
      <c r="G531" s="2">
        <v>5000</v>
      </c>
      <c r="H531" s="18" t="s">
        <v>32</v>
      </c>
      <c r="I531" s="6"/>
      <c r="J531" s="19"/>
    </row>
    <row r="532" spans="1:10" ht="12.75" customHeight="1">
      <c r="A532" s="17" t="s">
        <v>34</v>
      </c>
      <c r="B532" s="1"/>
      <c r="C532" s="1"/>
      <c r="D532" s="2" t="s">
        <v>25</v>
      </c>
      <c r="E532" s="17" t="s">
        <v>35</v>
      </c>
      <c r="F532" s="1"/>
      <c r="G532" s="2">
        <v>1167</v>
      </c>
      <c r="H532" s="18"/>
      <c r="I532" s="6"/>
      <c r="J532" s="19"/>
    </row>
    <row r="533" spans="1:10" ht="12.75" customHeight="1">
      <c r="A533" s="176" t="s">
        <v>30</v>
      </c>
      <c r="B533" s="1"/>
      <c r="C533" s="1"/>
      <c r="D533" s="2">
        <v>1267</v>
      </c>
      <c r="E533" s="17" t="s">
        <v>61</v>
      </c>
      <c r="F533" s="1"/>
      <c r="G533" s="2" t="s">
        <v>25</v>
      </c>
      <c r="H533" s="18"/>
      <c r="I533" s="6"/>
      <c r="J533" s="19"/>
    </row>
    <row r="534" spans="1:10" ht="12.75" customHeight="1">
      <c r="A534" s="17" t="s">
        <v>1004</v>
      </c>
      <c r="B534" s="1"/>
      <c r="C534" s="1"/>
      <c r="D534" s="2" t="s">
        <v>25</v>
      </c>
      <c r="E534" s="17" t="s">
        <v>39</v>
      </c>
      <c r="F534" s="1"/>
      <c r="G534" s="2">
        <v>100</v>
      </c>
      <c r="H534" s="18"/>
      <c r="I534" s="6"/>
      <c r="J534" s="19"/>
    </row>
    <row r="535" spans="1:10" ht="12.75" customHeight="1">
      <c r="A535" s="18" t="s">
        <v>40</v>
      </c>
      <c r="B535" s="6"/>
      <c r="C535" s="6"/>
      <c r="D535" s="2" t="s">
        <v>25</v>
      </c>
      <c r="E535" s="17" t="s">
        <v>78</v>
      </c>
      <c r="F535" s="1"/>
      <c r="G535" s="2" t="s">
        <v>25</v>
      </c>
      <c r="H535" s="18"/>
      <c r="I535" s="6"/>
      <c r="J535" s="19"/>
    </row>
    <row r="536" spans="1:10" ht="12.75" customHeight="1">
      <c r="A536" s="204" t="s">
        <v>42</v>
      </c>
      <c r="B536" s="205"/>
      <c r="C536" s="206"/>
      <c r="D536" s="229">
        <f>SUM(D529:D535)</f>
        <v>36267</v>
      </c>
      <c r="E536" s="1" t="s">
        <v>283</v>
      </c>
      <c r="F536" s="1"/>
      <c r="G536" s="2" t="s">
        <v>25</v>
      </c>
      <c r="H536" s="18"/>
      <c r="I536" s="6"/>
      <c r="J536" s="19"/>
    </row>
    <row r="537" spans="1:10" ht="12.75" customHeight="1">
      <c r="A537" s="207"/>
      <c r="B537" s="197"/>
      <c r="C537" s="208"/>
      <c r="D537" s="230"/>
      <c r="E537" s="21" t="s">
        <v>21</v>
      </c>
      <c r="F537" s="22"/>
      <c r="G537" s="13">
        <f>SUM(G529:G536)</f>
        <v>6267</v>
      </c>
      <c r="H537" s="21" t="s">
        <v>44</v>
      </c>
      <c r="I537" s="22"/>
      <c r="J537" s="13">
        <f>D536-G537</f>
        <v>30000</v>
      </c>
    </row>
    <row r="538" spans="1:10" ht="12.75" customHeight="1">
      <c r="A538" s="3" t="s">
        <v>45</v>
      </c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2.75" customHeight="1">
      <c r="A540" s="3"/>
      <c r="B540" s="3" t="s">
        <v>47</v>
      </c>
      <c r="C540" s="3"/>
      <c r="D540" s="3"/>
      <c r="E540" s="3" t="s">
        <v>48</v>
      </c>
      <c r="F540" s="3"/>
      <c r="G540" s="3"/>
      <c r="H540" s="3" t="s">
        <v>49</v>
      </c>
      <c r="I540" s="3"/>
      <c r="J540" s="3"/>
    </row>
    <row r="541" spans="1:10" ht="12.75" customHeight="1">
      <c r="A541" s="184" t="s">
        <v>0</v>
      </c>
      <c r="B541" s="185"/>
      <c r="C541" s="185"/>
      <c r="D541" s="185"/>
      <c r="E541" s="185"/>
      <c r="F541" s="185"/>
      <c r="G541" s="185"/>
      <c r="H541" s="185"/>
      <c r="I541" s="185"/>
      <c r="J541" s="186"/>
    </row>
    <row r="542" spans="1:10" ht="12.75" customHeight="1">
      <c r="A542" s="187" t="s">
        <v>1</v>
      </c>
      <c r="B542" s="188"/>
      <c r="C542" s="188"/>
      <c r="D542" s="188"/>
      <c r="E542" s="188"/>
      <c r="F542" s="188"/>
      <c r="G542" s="188"/>
      <c r="H542" s="188"/>
      <c r="I542" s="188"/>
      <c r="J542" s="189"/>
    </row>
    <row r="543" spans="1:10" ht="12.75" customHeight="1">
      <c r="A543" s="1" t="s">
        <v>2</v>
      </c>
      <c r="B543" s="1"/>
      <c r="C543" s="209" t="s">
        <v>1016</v>
      </c>
      <c r="D543" s="209"/>
      <c r="E543" s="2"/>
      <c r="F543" s="3"/>
      <c r="G543" s="1" t="s">
        <v>4</v>
      </c>
      <c r="H543" s="1"/>
      <c r="I543" s="2" t="s">
        <v>922</v>
      </c>
      <c r="J543" s="2"/>
    </row>
    <row r="544" spans="1:10" ht="12.75" customHeight="1">
      <c r="A544" s="1" t="s">
        <v>6</v>
      </c>
      <c r="B544" s="1"/>
      <c r="C544" s="196" t="s">
        <v>1017</v>
      </c>
      <c r="D544" s="196"/>
      <c r="E544" s="2"/>
      <c r="F544" s="3"/>
      <c r="G544" s="1" t="s">
        <v>8</v>
      </c>
      <c r="H544" s="193" t="s">
        <v>9</v>
      </c>
      <c r="I544" s="193"/>
      <c r="J544" s="193"/>
    </row>
    <row r="545" spans="1:10" ht="12.75" customHeight="1">
      <c r="A545" s="6" t="s">
        <v>10</v>
      </c>
      <c r="B545" s="6"/>
      <c r="C545" s="209" t="s">
        <v>1013</v>
      </c>
      <c r="D545" s="209"/>
      <c r="E545" s="2"/>
      <c r="F545" s="3"/>
      <c r="G545" s="1" t="s">
        <v>12</v>
      </c>
      <c r="H545" s="195" t="s">
        <v>13</v>
      </c>
      <c r="I545" s="195"/>
      <c r="J545" s="195"/>
    </row>
    <row r="546" spans="1:10" ht="12.75" customHeight="1">
      <c r="A546" s="2" t="s">
        <v>14</v>
      </c>
      <c r="B546" s="2"/>
      <c r="C546" s="2" t="s">
        <v>15</v>
      </c>
      <c r="D546" s="2"/>
      <c r="E546" s="2"/>
      <c r="F546" s="3"/>
      <c r="G546" s="1" t="s">
        <v>16</v>
      </c>
      <c r="H546" s="209" t="s">
        <v>55</v>
      </c>
      <c r="I546" s="209"/>
      <c r="J546" s="209"/>
    </row>
    <row r="547" spans="1:10" ht="12.75" customHeight="1">
      <c r="A547" s="2">
        <v>30</v>
      </c>
      <c r="B547" s="2"/>
      <c r="C547" s="2">
        <f>A547-H547</f>
        <v>0</v>
      </c>
      <c r="D547" s="2"/>
      <c r="E547" s="2"/>
      <c r="F547" s="3"/>
      <c r="G547" s="8" t="s">
        <v>18</v>
      </c>
      <c r="H547" s="197">
        <v>30</v>
      </c>
      <c r="I547" s="197"/>
      <c r="J547" s="197"/>
    </row>
    <row r="548" spans="1:10" ht="12.75" customHeight="1">
      <c r="A548" s="198" t="s">
        <v>19</v>
      </c>
      <c r="B548" s="199"/>
      <c r="C548" s="200"/>
      <c r="D548" s="13" t="s">
        <v>20</v>
      </c>
      <c r="E548" s="14" t="s">
        <v>21</v>
      </c>
      <c r="F548" s="15"/>
      <c r="G548" s="16" t="s">
        <v>20</v>
      </c>
      <c r="H548" s="201" t="s">
        <v>22</v>
      </c>
      <c r="I548" s="202"/>
      <c r="J548" s="203"/>
    </row>
    <row r="549" spans="1:10" ht="12.75" customHeight="1">
      <c r="A549" s="17" t="s">
        <v>23</v>
      </c>
      <c r="B549" s="1"/>
      <c r="C549" s="1"/>
      <c r="D549" s="2">
        <v>32500</v>
      </c>
      <c r="E549" s="17" t="s">
        <v>24</v>
      </c>
      <c r="F549" s="1"/>
      <c r="G549" s="2" t="s">
        <v>25</v>
      </c>
      <c r="H549" s="18" t="s">
        <v>502</v>
      </c>
      <c r="I549" s="6"/>
      <c r="J549" s="19"/>
    </row>
    <row r="550" spans="1:10" ht="12.75" customHeight="1">
      <c r="A550" s="17" t="s">
        <v>77</v>
      </c>
      <c r="B550" s="209"/>
      <c r="C550" s="209"/>
      <c r="D550" s="2" t="s">
        <v>25</v>
      </c>
      <c r="E550" s="17" t="s">
        <v>28</v>
      </c>
      <c r="F550" s="1"/>
      <c r="G550" s="2" t="s">
        <v>25</v>
      </c>
      <c r="H550" s="18" t="s">
        <v>504</v>
      </c>
      <c r="I550" s="6"/>
      <c r="J550" s="19"/>
    </row>
    <row r="551" spans="1:10" ht="12.75" customHeight="1">
      <c r="A551" s="17" t="s">
        <v>852</v>
      </c>
      <c r="B551" s="1"/>
      <c r="C551" s="1"/>
      <c r="D551" s="2" t="s">
        <v>25</v>
      </c>
      <c r="E551" s="17" t="s">
        <v>52</v>
      </c>
      <c r="F551" s="1"/>
      <c r="G551" s="2">
        <v>70</v>
      </c>
      <c r="H551" s="18" t="s">
        <v>32</v>
      </c>
      <c r="I551" s="6"/>
      <c r="J551" s="19"/>
    </row>
    <row r="552" spans="1:10" ht="12.75" customHeight="1">
      <c r="A552" s="176" t="s">
        <v>30</v>
      </c>
      <c r="B552" s="1"/>
      <c r="C552" s="1"/>
      <c r="D552" s="2">
        <v>2670</v>
      </c>
      <c r="E552" s="17" t="s">
        <v>35</v>
      </c>
      <c r="F552" s="1"/>
      <c r="G552" s="2" t="s">
        <v>25</v>
      </c>
      <c r="H552" s="18"/>
      <c r="I552" s="6"/>
      <c r="J552" s="19"/>
    </row>
    <row r="553" spans="1:10" ht="12.75" customHeight="1">
      <c r="A553" s="17" t="s">
        <v>1009</v>
      </c>
      <c r="B553" s="1"/>
      <c r="C553" s="1"/>
      <c r="D553" s="2" t="s">
        <v>25</v>
      </c>
      <c r="E553" s="17" t="s">
        <v>61</v>
      </c>
      <c r="F553" s="1"/>
      <c r="G553" s="2" t="s">
        <v>25</v>
      </c>
      <c r="H553" s="18"/>
      <c r="I553" s="6"/>
      <c r="J553" s="19"/>
    </row>
    <row r="554" spans="1:10" ht="12.75" customHeight="1">
      <c r="A554" s="17" t="s">
        <v>1004</v>
      </c>
      <c r="B554" s="1"/>
      <c r="C554" s="1"/>
      <c r="D554" s="2">
        <v>5000</v>
      </c>
      <c r="E554" s="17" t="s">
        <v>39</v>
      </c>
      <c r="F554" s="1"/>
      <c r="G554" s="2">
        <v>100</v>
      </c>
      <c r="H554" s="18"/>
      <c r="I554" s="6"/>
      <c r="J554" s="19"/>
    </row>
    <row r="555" spans="1:10" ht="12.75" customHeight="1">
      <c r="A555" s="18" t="s">
        <v>40</v>
      </c>
      <c r="B555" s="6"/>
      <c r="C555" s="6"/>
      <c r="D555" s="2" t="s">
        <v>25</v>
      </c>
      <c r="E555" s="17" t="s">
        <v>78</v>
      </c>
      <c r="F555" s="1"/>
      <c r="G555" s="2" t="s">
        <v>25</v>
      </c>
      <c r="H555" s="18"/>
      <c r="I555" s="6"/>
      <c r="J555" s="19"/>
    </row>
    <row r="556" spans="1:10" ht="12.75" customHeight="1">
      <c r="A556" s="204" t="s">
        <v>42</v>
      </c>
      <c r="B556" s="205"/>
      <c r="C556" s="206"/>
      <c r="D556" s="229">
        <f>SUM(D549:D555)</f>
        <v>40170</v>
      </c>
      <c r="E556" s="1" t="s">
        <v>283</v>
      </c>
      <c r="F556" s="1"/>
      <c r="G556" s="2" t="s">
        <v>25</v>
      </c>
      <c r="H556" s="18"/>
      <c r="I556" s="6"/>
      <c r="J556" s="19"/>
    </row>
    <row r="557" spans="1:10" ht="12.75" customHeight="1">
      <c r="A557" s="207"/>
      <c r="B557" s="197"/>
      <c r="C557" s="208"/>
      <c r="D557" s="230"/>
      <c r="E557" s="21" t="s">
        <v>21</v>
      </c>
      <c r="F557" s="22"/>
      <c r="G557" s="13">
        <f>SUM(G549:G556)</f>
        <v>170</v>
      </c>
      <c r="H557" s="21" t="s">
        <v>44</v>
      </c>
      <c r="I557" s="22"/>
      <c r="J557" s="13">
        <f>D556-G557</f>
        <v>40000</v>
      </c>
    </row>
    <row r="558" spans="1:10" ht="12.75" customHeight="1">
      <c r="A558" s="3" t="s">
        <v>45</v>
      </c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2.75" customHeight="1">
      <c r="A560" s="3"/>
      <c r="B560" s="3" t="s">
        <v>47</v>
      </c>
      <c r="C560" s="3"/>
      <c r="D560" s="3"/>
      <c r="E560" s="3" t="s">
        <v>48</v>
      </c>
      <c r="F560" s="3"/>
      <c r="G560" s="3"/>
      <c r="H560" s="3" t="s">
        <v>49</v>
      </c>
      <c r="I560" s="3"/>
      <c r="J560" s="3"/>
    </row>
    <row r="561" spans="1:10" ht="12.75" customHeight="1">
      <c r="A561" s="184" t="s">
        <v>0</v>
      </c>
      <c r="B561" s="185"/>
      <c r="C561" s="185"/>
      <c r="D561" s="185"/>
      <c r="E561" s="185"/>
      <c r="F561" s="185"/>
      <c r="G561" s="185"/>
      <c r="H561" s="185"/>
      <c r="I561" s="185"/>
      <c r="J561" s="186"/>
    </row>
    <row r="562" spans="1:10" ht="12.75" customHeight="1">
      <c r="A562" s="187" t="s">
        <v>1</v>
      </c>
      <c r="B562" s="188"/>
      <c r="C562" s="188"/>
      <c r="D562" s="188"/>
      <c r="E562" s="188"/>
      <c r="F562" s="188"/>
      <c r="G562" s="188"/>
      <c r="H562" s="188"/>
      <c r="I562" s="188"/>
      <c r="J562" s="189"/>
    </row>
    <row r="563" spans="1:10" ht="12.75" customHeight="1">
      <c r="A563" s="1" t="s">
        <v>2</v>
      </c>
      <c r="B563" s="1"/>
      <c r="C563" s="209" t="s">
        <v>1005</v>
      </c>
      <c r="D563" s="209"/>
      <c r="E563" s="2"/>
      <c r="F563" s="3"/>
      <c r="G563" s="1" t="s">
        <v>4</v>
      </c>
      <c r="H563" s="1"/>
      <c r="I563" s="2" t="s">
        <v>922</v>
      </c>
      <c r="J563" s="2"/>
    </row>
    <row r="564" spans="1:10" ht="12.75" customHeight="1">
      <c r="A564" s="1" t="s">
        <v>6</v>
      </c>
      <c r="B564" s="1"/>
      <c r="C564" s="196" t="s">
        <v>1018</v>
      </c>
      <c r="D564" s="196"/>
      <c r="E564" s="2"/>
      <c r="F564" s="3"/>
      <c r="G564" s="1" t="s">
        <v>8</v>
      </c>
      <c r="H564" s="193" t="s">
        <v>9</v>
      </c>
      <c r="I564" s="193"/>
      <c r="J564" s="193"/>
    </row>
    <row r="565" spans="1:10" ht="12.75" customHeight="1">
      <c r="A565" s="6" t="s">
        <v>10</v>
      </c>
      <c r="B565" s="6"/>
      <c r="C565" s="209" t="s">
        <v>1019</v>
      </c>
      <c r="D565" s="209"/>
      <c r="E565" s="2"/>
      <c r="F565" s="3"/>
      <c r="G565" s="1" t="s">
        <v>12</v>
      </c>
      <c r="H565" s="195" t="s">
        <v>13</v>
      </c>
      <c r="I565" s="195"/>
      <c r="J565" s="195"/>
    </row>
    <row r="566" spans="1:10" ht="12.75" customHeight="1">
      <c r="A566" s="2" t="s">
        <v>14</v>
      </c>
      <c r="B566" s="2"/>
      <c r="C566" s="2" t="s">
        <v>15</v>
      </c>
      <c r="D566" s="2"/>
      <c r="E566" s="2"/>
      <c r="F566" s="3"/>
      <c r="G566" s="1" t="s">
        <v>16</v>
      </c>
      <c r="H566" s="209" t="s">
        <v>1008</v>
      </c>
      <c r="I566" s="209"/>
      <c r="J566" s="209"/>
    </row>
    <row r="567" spans="1:10" ht="12.75" customHeight="1">
      <c r="A567" s="2">
        <v>30</v>
      </c>
      <c r="B567" s="2"/>
      <c r="C567" s="2">
        <f>A567-H567</f>
        <v>0</v>
      </c>
      <c r="D567" s="2"/>
      <c r="E567" s="2"/>
      <c r="F567" s="3"/>
      <c r="G567" s="8" t="s">
        <v>18</v>
      </c>
      <c r="H567" s="197">
        <v>30</v>
      </c>
      <c r="I567" s="197"/>
      <c r="J567" s="197"/>
    </row>
    <row r="568" spans="1:10" ht="12.75" customHeight="1">
      <c r="A568" s="198" t="s">
        <v>19</v>
      </c>
      <c r="B568" s="199"/>
      <c r="C568" s="200"/>
      <c r="D568" s="13" t="s">
        <v>20</v>
      </c>
      <c r="E568" s="14" t="s">
        <v>21</v>
      </c>
      <c r="F568" s="15"/>
      <c r="G568" s="16" t="s">
        <v>20</v>
      </c>
      <c r="H568" s="201" t="s">
        <v>22</v>
      </c>
      <c r="I568" s="202"/>
      <c r="J568" s="203"/>
    </row>
    <row r="569" spans="1:10" ht="12.75" customHeight="1">
      <c r="A569" s="17" t="s">
        <v>23</v>
      </c>
      <c r="B569" s="1"/>
      <c r="C569" s="1"/>
      <c r="D569" s="2">
        <v>30000</v>
      </c>
      <c r="E569" s="17" t="s">
        <v>58</v>
      </c>
      <c r="F569" s="1"/>
      <c r="G569" s="2" t="s">
        <v>25</v>
      </c>
      <c r="H569" s="18" t="s">
        <v>502</v>
      </c>
      <c r="I569" s="6"/>
      <c r="J569" s="19"/>
    </row>
    <row r="570" spans="1:10" ht="12.75" customHeight="1">
      <c r="A570" s="17" t="s">
        <v>77</v>
      </c>
      <c r="B570" s="209"/>
      <c r="C570" s="209"/>
      <c r="D570" s="2" t="s">
        <v>25</v>
      </c>
      <c r="E570" s="17" t="s">
        <v>1020</v>
      </c>
      <c r="F570" s="1"/>
      <c r="G570" s="2" t="s">
        <v>25</v>
      </c>
      <c r="H570" s="18" t="s">
        <v>504</v>
      </c>
      <c r="I570" s="6"/>
      <c r="J570" s="19"/>
    </row>
    <row r="571" spans="1:10" ht="12.75" customHeight="1">
      <c r="A571" s="17" t="s">
        <v>147</v>
      </c>
      <c r="B571" s="1"/>
      <c r="C571" s="1"/>
      <c r="D571" s="2" t="s">
        <v>25</v>
      </c>
      <c r="E571" s="17" t="s">
        <v>52</v>
      </c>
      <c r="F571" s="1"/>
      <c r="G571" s="2" t="s">
        <v>25</v>
      </c>
      <c r="H571" s="18" t="s">
        <v>32</v>
      </c>
      <c r="I571" s="6"/>
      <c r="J571" s="19"/>
    </row>
    <row r="572" spans="1:10" ht="12.75" customHeight="1">
      <c r="A572" s="17" t="s">
        <v>981</v>
      </c>
      <c r="B572" s="1"/>
      <c r="C572" s="1"/>
      <c r="D572" s="2">
        <v>2500</v>
      </c>
      <c r="E572" s="17" t="s">
        <v>35</v>
      </c>
      <c r="F572" s="1"/>
      <c r="G572" s="2" t="s">
        <v>25</v>
      </c>
      <c r="H572" s="18"/>
      <c r="I572" s="6"/>
      <c r="J572" s="40"/>
    </row>
    <row r="573" spans="1:10" ht="12.75" customHeight="1">
      <c r="A573" s="17" t="s">
        <v>321</v>
      </c>
      <c r="B573" s="1"/>
      <c r="C573" s="1"/>
      <c r="D573" s="2" t="s">
        <v>25</v>
      </c>
      <c r="E573" s="17" t="s">
        <v>61</v>
      </c>
      <c r="F573" s="1"/>
      <c r="G573" s="2" t="s">
        <v>25</v>
      </c>
      <c r="H573" s="18"/>
      <c r="I573" s="6"/>
      <c r="J573" s="40"/>
    </row>
    <row r="574" spans="1:10" ht="12.75" customHeight="1">
      <c r="A574" s="17" t="s">
        <v>1004</v>
      </c>
      <c r="B574" s="1"/>
      <c r="C574" s="1"/>
      <c r="D574" s="2">
        <v>5000</v>
      </c>
      <c r="E574" s="17" t="s">
        <v>39</v>
      </c>
      <c r="F574" s="1"/>
      <c r="G574" s="2">
        <v>100</v>
      </c>
      <c r="H574" s="18"/>
      <c r="I574" s="6"/>
      <c r="J574" s="40"/>
    </row>
    <row r="575" spans="1:10" ht="12.75" customHeight="1">
      <c r="A575" s="18" t="s">
        <v>40</v>
      </c>
      <c r="B575" s="6"/>
      <c r="C575" s="6"/>
      <c r="D575" s="2" t="s">
        <v>25</v>
      </c>
      <c r="E575" s="17" t="s">
        <v>78</v>
      </c>
      <c r="F575" s="1"/>
      <c r="G575" s="2" t="s">
        <v>25</v>
      </c>
      <c r="H575" s="18"/>
      <c r="I575" s="6"/>
      <c r="J575" s="40"/>
    </row>
    <row r="576" spans="1:10" ht="12.75" customHeight="1">
      <c r="A576" s="204" t="s">
        <v>42</v>
      </c>
      <c r="B576" s="205"/>
      <c r="C576" s="206"/>
      <c r="D576" s="229">
        <f>SUM(D569:D575)</f>
        <v>37500</v>
      </c>
      <c r="E576" s="1" t="s">
        <v>283</v>
      </c>
      <c r="F576" s="1"/>
      <c r="G576" s="2" t="s">
        <v>25</v>
      </c>
      <c r="H576" s="50"/>
      <c r="I576" s="6"/>
      <c r="J576" s="19"/>
    </row>
    <row r="577" spans="1:10" ht="12.75" customHeight="1">
      <c r="A577" s="207"/>
      <c r="B577" s="197"/>
      <c r="C577" s="208"/>
      <c r="D577" s="230"/>
      <c r="E577" s="21" t="s">
        <v>21</v>
      </c>
      <c r="F577" s="22"/>
      <c r="G577" s="13">
        <f>SUM(G569:G576)</f>
        <v>100</v>
      </c>
      <c r="H577" s="21" t="s">
        <v>44</v>
      </c>
      <c r="I577" s="22"/>
      <c r="J577" s="13">
        <f>D576-G577</f>
        <v>37400</v>
      </c>
    </row>
    <row r="578" spans="1:10" ht="12.75" customHeight="1">
      <c r="A578" s="3" t="s">
        <v>45</v>
      </c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2.75" customHeight="1">
      <c r="A580" s="3"/>
      <c r="B580" s="3" t="s">
        <v>47</v>
      </c>
      <c r="C580" s="3"/>
      <c r="D580" s="3"/>
      <c r="E580" s="3" t="s">
        <v>48</v>
      </c>
      <c r="F580" s="3"/>
      <c r="G580" s="3"/>
      <c r="H580" s="3" t="s">
        <v>49</v>
      </c>
      <c r="I580" s="3"/>
      <c r="J580" s="3"/>
    </row>
    <row r="581" spans="1:10" ht="12.75" customHeight="1">
      <c r="A581" s="184" t="s">
        <v>0</v>
      </c>
      <c r="B581" s="185"/>
      <c r="C581" s="185"/>
      <c r="D581" s="185"/>
      <c r="E581" s="185"/>
      <c r="F581" s="185"/>
      <c r="G581" s="185"/>
      <c r="H581" s="185"/>
      <c r="I581" s="185"/>
      <c r="J581" s="186"/>
    </row>
    <row r="582" spans="1:10" ht="12.75" customHeight="1">
      <c r="A582" s="187" t="s">
        <v>1</v>
      </c>
      <c r="B582" s="188"/>
      <c r="C582" s="188"/>
      <c r="D582" s="188"/>
      <c r="E582" s="188"/>
      <c r="F582" s="188"/>
      <c r="G582" s="188"/>
      <c r="H582" s="188"/>
      <c r="I582" s="188"/>
      <c r="J582" s="189"/>
    </row>
    <row r="583" spans="1:10" ht="12.75" customHeight="1">
      <c r="A583" s="1" t="s">
        <v>2</v>
      </c>
      <c r="B583" s="55"/>
      <c r="C583" s="191" t="s">
        <v>1021</v>
      </c>
      <c r="D583" s="191"/>
      <c r="E583" s="191"/>
      <c r="F583" s="3"/>
      <c r="G583" s="1" t="s">
        <v>4</v>
      </c>
      <c r="H583" s="1"/>
      <c r="I583" s="2" t="s">
        <v>922</v>
      </c>
      <c r="J583" s="2"/>
    </row>
    <row r="584" spans="1:10" ht="12.75" customHeight="1">
      <c r="A584" s="1" t="s">
        <v>6</v>
      </c>
      <c r="B584" s="1"/>
      <c r="C584" s="196" t="s">
        <v>1022</v>
      </c>
      <c r="D584" s="196"/>
      <c r="E584" s="196"/>
      <c r="F584" s="3"/>
      <c r="G584" s="1" t="s">
        <v>8</v>
      </c>
      <c r="H584" s="193" t="s">
        <v>9</v>
      </c>
      <c r="I584" s="193"/>
      <c r="J584" s="193"/>
    </row>
    <row r="585" spans="1:10" ht="12.75" customHeight="1">
      <c r="A585" s="6" t="s">
        <v>10</v>
      </c>
      <c r="B585" s="6"/>
      <c r="C585" s="209" t="s">
        <v>1023</v>
      </c>
      <c r="D585" s="209"/>
      <c r="E585" s="209"/>
      <c r="F585" s="3"/>
      <c r="G585" s="1" t="s">
        <v>12</v>
      </c>
      <c r="H585" s="195" t="s">
        <v>13</v>
      </c>
      <c r="I585" s="195"/>
      <c r="J585" s="195"/>
    </row>
    <row r="586" spans="1:10" ht="12.75" customHeight="1">
      <c r="A586" s="2" t="s">
        <v>14</v>
      </c>
      <c r="B586" s="2"/>
      <c r="C586" s="2" t="s">
        <v>15</v>
      </c>
      <c r="D586" s="2"/>
      <c r="E586" s="2"/>
      <c r="F586" s="3"/>
      <c r="G586" s="1" t="s">
        <v>16</v>
      </c>
      <c r="H586" s="209" t="s">
        <v>973</v>
      </c>
      <c r="I586" s="209"/>
      <c r="J586" s="209"/>
    </row>
    <row r="587" spans="1:10" ht="12.75" customHeight="1">
      <c r="A587" s="2">
        <v>30</v>
      </c>
      <c r="B587" s="2"/>
      <c r="C587" s="2">
        <f>A587-H587</f>
        <v>0</v>
      </c>
      <c r="D587" s="2"/>
      <c r="E587" s="2"/>
      <c r="F587" s="3"/>
      <c r="G587" s="8" t="s">
        <v>18</v>
      </c>
      <c r="H587" s="197">
        <v>30</v>
      </c>
      <c r="I587" s="197"/>
      <c r="J587" s="197"/>
    </row>
    <row r="588" spans="1:10" ht="12.75" customHeight="1">
      <c r="A588" s="198" t="s">
        <v>19</v>
      </c>
      <c r="B588" s="199"/>
      <c r="C588" s="200"/>
      <c r="D588" s="13" t="s">
        <v>20</v>
      </c>
      <c r="E588" s="14" t="s">
        <v>21</v>
      </c>
      <c r="F588" s="15"/>
      <c r="G588" s="16" t="s">
        <v>20</v>
      </c>
      <c r="H588" s="201" t="s">
        <v>22</v>
      </c>
      <c r="I588" s="202"/>
      <c r="J588" s="203"/>
    </row>
    <row r="589" spans="1:10" ht="12.75" customHeight="1">
      <c r="A589" s="17" t="s">
        <v>23</v>
      </c>
      <c r="B589" s="1"/>
      <c r="C589" s="1"/>
      <c r="D589" s="2">
        <v>19000</v>
      </c>
      <c r="E589" s="17" t="s">
        <v>28</v>
      </c>
      <c r="F589" s="1"/>
      <c r="G589" s="2">
        <v>5000</v>
      </c>
      <c r="H589" s="18" t="s">
        <v>502</v>
      </c>
      <c r="I589" s="6"/>
      <c r="J589" s="19"/>
    </row>
    <row r="590" spans="1:10" ht="12.75" customHeight="1">
      <c r="A590" s="17" t="s">
        <v>1024</v>
      </c>
      <c r="B590" s="1"/>
      <c r="C590" s="1"/>
      <c r="D590" s="2">
        <v>17500</v>
      </c>
      <c r="E590" s="17" t="s">
        <v>1025</v>
      </c>
      <c r="F590" s="1"/>
      <c r="G590" s="2">
        <v>180</v>
      </c>
      <c r="H590" s="18" t="s">
        <v>504</v>
      </c>
      <c r="I590" s="6"/>
      <c r="J590" s="19"/>
    </row>
    <row r="591" spans="1:10" ht="12.75" customHeight="1">
      <c r="A591" s="17" t="s">
        <v>147</v>
      </c>
      <c r="B591" s="209"/>
      <c r="C591" s="209"/>
      <c r="D591" s="2" t="s">
        <v>25</v>
      </c>
      <c r="E591" s="17" t="s">
        <v>89</v>
      </c>
      <c r="F591" s="1"/>
      <c r="G591" s="2" t="s">
        <v>25</v>
      </c>
      <c r="H591" s="18" t="s">
        <v>32</v>
      </c>
      <c r="I591" s="6"/>
      <c r="J591" s="19"/>
    </row>
    <row r="592" spans="1:10" ht="12.75" customHeight="1">
      <c r="A592" s="17" t="s">
        <v>981</v>
      </c>
      <c r="B592" s="1"/>
      <c r="C592" s="1"/>
      <c r="D592" s="2">
        <v>2500</v>
      </c>
      <c r="E592" s="17" t="s">
        <v>35</v>
      </c>
      <c r="F592" s="1"/>
      <c r="G592" s="2" t="s">
        <v>25</v>
      </c>
      <c r="H592" s="18"/>
      <c r="I592" s="6"/>
      <c r="J592" s="19"/>
    </row>
    <row r="593" spans="1:10" ht="12.75" customHeight="1">
      <c r="A593" s="17" t="s">
        <v>136</v>
      </c>
      <c r="B593" s="1"/>
      <c r="C593" s="1"/>
      <c r="D593" s="2">
        <v>4000</v>
      </c>
      <c r="E593" s="17" t="s">
        <v>286</v>
      </c>
      <c r="F593" s="1"/>
      <c r="G593" s="2" t="s">
        <v>25</v>
      </c>
      <c r="H593" s="18"/>
      <c r="I593" s="6"/>
      <c r="J593" s="40"/>
    </row>
    <row r="594" spans="1:10" ht="12.75" customHeight="1">
      <c r="A594" s="17" t="s">
        <v>78</v>
      </c>
      <c r="B594" s="1"/>
      <c r="C594" s="1"/>
      <c r="D594" s="2">
        <v>3000</v>
      </c>
      <c r="E594" s="17" t="s">
        <v>39</v>
      </c>
      <c r="F594" s="1"/>
      <c r="G594" s="2">
        <v>100</v>
      </c>
      <c r="H594" s="18"/>
      <c r="I594" s="6"/>
      <c r="J594" s="40"/>
    </row>
    <row r="595" spans="1:10" ht="12.75" customHeight="1">
      <c r="A595" s="18" t="s">
        <v>40</v>
      </c>
      <c r="B595" s="6"/>
      <c r="C595" s="6"/>
      <c r="D595" s="2" t="s">
        <v>25</v>
      </c>
      <c r="E595" s="17" t="s">
        <v>78</v>
      </c>
      <c r="F595" s="1"/>
      <c r="G595" s="2" t="s">
        <v>25</v>
      </c>
      <c r="H595" s="18"/>
      <c r="I595" s="6"/>
      <c r="J595" s="40"/>
    </row>
    <row r="596" spans="1:10" ht="12.75" customHeight="1">
      <c r="A596" s="204" t="s">
        <v>42</v>
      </c>
      <c r="B596" s="205"/>
      <c r="C596" s="206"/>
      <c r="D596" s="229">
        <f>SUM(D589:D595)</f>
        <v>46000</v>
      </c>
      <c r="E596" s="1" t="s">
        <v>43</v>
      </c>
      <c r="F596" s="1"/>
      <c r="G596" s="2" t="s">
        <v>25</v>
      </c>
      <c r="H596" s="18"/>
      <c r="I596" s="6"/>
      <c r="J596" s="19"/>
    </row>
    <row r="597" spans="1:10" ht="12.75" customHeight="1">
      <c r="A597" s="207"/>
      <c r="B597" s="197"/>
      <c r="C597" s="208"/>
      <c r="D597" s="230"/>
      <c r="E597" s="21" t="s">
        <v>21</v>
      </c>
      <c r="F597" s="22"/>
      <c r="G597" s="13">
        <f>SUM(G589:G596)</f>
        <v>5280</v>
      </c>
      <c r="H597" s="21" t="s">
        <v>44</v>
      </c>
      <c r="I597" s="22"/>
      <c r="J597" s="13">
        <f>D596-G597</f>
        <v>40720</v>
      </c>
    </row>
    <row r="598" spans="1:10" ht="12.75" customHeight="1">
      <c r="A598" s="3" t="s">
        <v>45</v>
      </c>
      <c r="B598" s="3"/>
      <c r="C598" s="3"/>
      <c r="D598" s="3"/>
      <c r="E598" s="3"/>
      <c r="F598" s="3"/>
      <c r="G598" s="3" t="s">
        <v>996</v>
      </c>
      <c r="H598" s="3"/>
      <c r="I598" s="3"/>
      <c r="J598" s="3"/>
    </row>
    <row r="599" spans="1:10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2.75" customHeight="1">
      <c r="A600" s="3"/>
      <c r="B600" s="3" t="s">
        <v>47</v>
      </c>
      <c r="C600" s="3"/>
      <c r="D600" s="3"/>
      <c r="E600" s="3" t="s">
        <v>48</v>
      </c>
      <c r="F600" s="3"/>
      <c r="G600" s="3"/>
      <c r="H600" s="3" t="s">
        <v>49</v>
      </c>
      <c r="I600" s="3"/>
      <c r="J600" s="3"/>
    </row>
    <row r="601" spans="1:10" ht="12.75" customHeight="1">
      <c r="A601" s="184" t="s">
        <v>0</v>
      </c>
      <c r="B601" s="185"/>
      <c r="C601" s="185"/>
      <c r="D601" s="185"/>
      <c r="E601" s="185"/>
      <c r="F601" s="185"/>
      <c r="G601" s="185"/>
      <c r="H601" s="185"/>
      <c r="I601" s="185"/>
      <c r="J601" s="186"/>
    </row>
    <row r="602" spans="1:10" ht="12.75" customHeight="1">
      <c r="A602" s="187" t="s">
        <v>1</v>
      </c>
      <c r="B602" s="188"/>
      <c r="C602" s="188"/>
      <c r="D602" s="188"/>
      <c r="E602" s="188"/>
      <c r="F602" s="188"/>
      <c r="G602" s="188"/>
      <c r="H602" s="188"/>
      <c r="I602" s="188"/>
      <c r="J602" s="189"/>
    </row>
    <row r="603" spans="1:10" ht="12.75" customHeight="1">
      <c r="A603" s="1" t="s">
        <v>2</v>
      </c>
      <c r="B603" s="191"/>
      <c r="C603" s="191"/>
      <c r="D603" s="191"/>
      <c r="E603" s="2"/>
      <c r="F603" s="3"/>
      <c r="G603" s="1" t="s">
        <v>4</v>
      </c>
      <c r="H603" s="1"/>
      <c r="I603" s="2" t="s">
        <v>922</v>
      </c>
      <c r="J603" s="2"/>
    </row>
    <row r="604" spans="1:10" ht="12.75" customHeight="1">
      <c r="A604" s="1" t="s">
        <v>6</v>
      </c>
      <c r="B604" s="1"/>
      <c r="C604" s="196" t="s">
        <v>1026</v>
      </c>
      <c r="D604" s="196"/>
      <c r="E604" s="196"/>
      <c r="F604" s="3"/>
      <c r="G604" s="1" t="s">
        <v>8</v>
      </c>
      <c r="H604" s="193" t="s">
        <v>9</v>
      </c>
      <c r="I604" s="193"/>
      <c r="J604" s="193"/>
    </row>
    <row r="605" spans="1:10" ht="12.75" customHeight="1">
      <c r="A605" s="6" t="s">
        <v>10</v>
      </c>
      <c r="B605" s="6"/>
      <c r="C605" s="209" t="s">
        <v>1027</v>
      </c>
      <c r="D605" s="209"/>
      <c r="E605" s="209"/>
      <c r="F605" s="3"/>
      <c r="G605" s="1" t="s">
        <v>12</v>
      </c>
      <c r="H605" s="195" t="s">
        <v>13</v>
      </c>
      <c r="I605" s="195"/>
      <c r="J605" s="195"/>
    </row>
    <row r="606" spans="1:10" ht="12.75" customHeight="1">
      <c r="A606" s="2" t="s">
        <v>14</v>
      </c>
      <c r="B606" s="2"/>
      <c r="C606" s="2" t="s">
        <v>15</v>
      </c>
      <c r="D606" s="2"/>
      <c r="E606" s="2"/>
      <c r="F606" s="3"/>
      <c r="G606" s="1" t="s">
        <v>16</v>
      </c>
      <c r="H606" s="209" t="s">
        <v>973</v>
      </c>
      <c r="I606" s="209"/>
      <c r="J606" s="209"/>
    </row>
    <row r="607" spans="1:10" ht="12.75" customHeight="1">
      <c r="A607" s="2">
        <v>30</v>
      </c>
      <c r="B607" s="2"/>
      <c r="C607" s="2">
        <f>A607-H607</f>
        <v>0</v>
      </c>
      <c r="D607" s="2"/>
      <c r="E607" s="2"/>
      <c r="F607" s="3"/>
      <c r="G607" s="8" t="s">
        <v>18</v>
      </c>
      <c r="H607" s="197">
        <v>30</v>
      </c>
      <c r="I607" s="197"/>
      <c r="J607" s="197"/>
    </row>
    <row r="608" spans="1:10" ht="12.75" customHeight="1">
      <c r="A608" s="198" t="s">
        <v>19</v>
      </c>
      <c r="B608" s="199"/>
      <c r="C608" s="200"/>
      <c r="D608" s="13" t="s">
        <v>20</v>
      </c>
      <c r="E608" s="14" t="s">
        <v>21</v>
      </c>
      <c r="F608" s="15"/>
      <c r="G608" s="16" t="s">
        <v>20</v>
      </c>
      <c r="H608" s="201" t="s">
        <v>22</v>
      </c>
      <c r="I608" s="202"/>
      <c r="J608" s="203"/>
    </row>
    <row r="609" spans="1:10" ht="12.75" customHeight="1">
      <c r="A609" s="17" t="s">
        <v>23</v>
      </c>
      <c r="B609" s="1"/>
      <c r="C609" s="1"/>
      <c r="D609" s="2">
        <v>50000</v>
      </c>
      <c r="E609" s="17" t="s">
        <v>24</v>
      </c>
      <c r="F609" s="1"/>
      <c r="G609" s="2" t="s">
        <v>25</v>
      </c>
      <c r="H609" s="18" t="s">
        <v>502</v>
      </c>
      <c r="I609" s="6"/>
      <c r="J609" s="19"/>
    </row>
    <row r="610" spans="1:10" ht="12.75" customHeight="1">
      <c r="A610" s="17" t="s">
        <v>77</v>
      </c>
      <c r="B610" s="1"/>
      <c r="C610" s="1"/>
      <c r="D610" s="2" t="s">
        <v>25</v>
      </c>
      <c r="E610" s="17" t="s">
        <v>89</v>
      </c>
      <c r="F610" s="1"/>
      <c r="G610" s="2" t="s">
        <v>25</v>
      </c>
      <c r="H610" s="18" t="s">
        <v>504</v>
      </c>
      <c r="I610" s="6"/>
      <c r="J610" s="19"/>
    </row>
    <row r="611" spans="1:10" ht="12.75" customHeight="1">
      <c r="A611" s="17" t="s">
        <v>852</v>
      </c>
      <c r="B611" s="1"/>
      <c r="C611" s="1"/>
      <c r="D611" s="2" t="s">
        <v>25</v>
      </c>
      <c r="E611" s="17" t="s">
        <v>58</v>
      </c>
      <c r="F611" s="1"/>
      <c r="G611" s="2" t="s">
        <v>25</v>
      </c>
      <c r="H611" s="18" t="s">
        <v>32</v>
      </c>
      <c r="I611" s="6"/>
      <c r="J611" s="19"/>
    </row>
    <row r="612" spans="1:10" ht="12.75" customHeight="1">
      <c r="A612" s="17" t="s">
        <v>970</v>
      </c>
      <c r="B612" s="1"/>
      <c r="C612" s="1"/>
      <c r="D612" s="2" t="s">
        <v>25</v>
      </c>
      <c r="E612" s="17" t="s">
        <v>35</v>
      </c>
      <c r="F612" s="1"/>
      <c r="G612" s="2" t="s">
        <v>25</v>
      </c>
      <c r="H612" s="18"/>
      <c r="I612" s="6"/>
      <c r="J612" s="19"/>
    </row>
    <row r="613" spans="1:10" ht="12.75" customHeight="1">
      <c r="A613" s="17" t="s">
        <v>136</v>
      </c>
      <c r="B613" s="1"/>
      <c r="C613" s="1"/>
      <c r="D613" s="2">
        <v>10000</v>
      </c>
      <c r="E613" s="17" t="s">
        <v>286</v>
      </c>
      <c r="F613" s="1"/>
      <c r="G613" s="2" t="s">
        <v>25</v>
      </c>
      <c r="H613" s="18"/>
      <c r="I613" s="6"/>
      <c r="J613" s="40"/>
    </row>
    <row r="614" spans="1:10" ht="12.75" customHeight="1">
      <c r="A614" s="17" t="s">
        <v>78</v>
      </c>
      <c r="B614" s="1"/>
      <c r="C614" s="1"/>
      <c r="D614" s="2" t="s">
        <v>25</v>
      </c>
      <c r="E614" s="17" t="s">
        <v>39</v>
      </c>
      <c r="F614" s="1"/>
      <c r="G614" s="2">
        <v>100</v>
      </c>
      <c r="H614" s="18"/>
      <c r="I614" s="6"/>
      <c r="J614" s="40"/>
    </row>
    <row r="615" spans="1:10" ht="12.75" customHeight="1">
      <c r="A615" s="18" t="s">
        <v>40</v>
      </c>
      <c r="B615" s="6"/>
      <c r="C615" s="6"/>
      <c r="D615" s="2" t="s">
        <v>25</v>
      </c>
      <c r="E615" s="17" t="s">
        <v>78</v>
      </c>
      <c r="F615" s="1"/>
      <c r="G615" s="2" t="s">
        <v>25</v>
      </c>
      <c r="H615" s="18"/>
      <c r="I615" s="6"/>
      <c r="J615" s="40"/>
    </row>
    <row r="616" spans="1:10" ht="12.75" customHeight="1">
      <c r="A616" s="204" t="s">
        <v>42</v>
      </c>
      <c r="B616" s="205"/>
      <c r="C616" s="206"/>
      <c r="D616" s="229">
        <f>SUM(D609:D615)</f>
        <v>60000</v>
      </c>
      <c r="E616" s="1" t="s">
        <v>43</v>
      </c>
      <c r="F616" s="1"/>
      <c r="G616" s="2" t="s">
        <v>25</v>
      </c>
      <c r="H616" s="18"/>
      <c r="I616" s="6"/>
      <c r="J616" s="19"/>
    </row>
    <row r="617" spans="1:10" ht="12.75" customHeight="1">
      <c r="A617" s="207"/>
      <c r="B617" s="197"/>
      <c r="C617" s="208"/>
      <c r="D617" s="230"/>
      <c r="E617" s="21" t="s">
        <v>21</v>
      </c>
      <c r="F617" s="22"/>
      <c r="G617" s="13">
        <f>SUM(G609:G616)</f>
        <v>100</v>
      </c>
      <c r="H617" s="21" t="s">
        <v>44</v>
      </c>
      <c r="I617" s="22"/>
      <c r="J617" s="13">
        <f>D616-G617</f>
        <v>59900</v>
      </c>
    </row>
    <row r="618" spans="1:10" ht="12.75" customHeight="1">
      <c r="A618" s="3" t="s">
        <v>45</v>
      </c>
      <c r="B618" s="3"/>
      <c r="C618" s="3"/>
      <c r="D618" s="3"/>
      <c r="E618" s="3"/>
      <c r="F618" s="3"/>
      <c r="G618" s="3" t="s">
        <v>996</v>
      </c>
      <c r="H618" s="3"/>
      <c r="I618" s="3"/>
      <c r="J618" s="3"/>
    </row>
    <row r="619" spans="1:10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2.75" customHeight="1">
      <c r="A620" s="3"/>
      <c r="B620" s="3" t="s">
        <v>47</v>
      </c>
      <c r="C620" s="3"/>
      <c r="D620" s="3"/>
      <c r="E620" s="3" t="s">
        <v>48</v>
      </c>
      <c r="F620" s="3"/>
      <c r="G620" s="3"/>
      <c r="H620" s="3" t="s">
        <v>49</v>
      </c>
      <c r="I620" s="3"/>
      <c r="J620" s="3"/>
    </row>
    <row r="621" spans="1:10" ht="12.75" customHeight="1">
      <c r="A621" s="184" t="s">
        <v>0</v>
      </c>
      <c r="B621" s="185"/>
      <c r="C621" s="185"/>
      <c r="D621" s="185"/>
      <c r="E621" s="185"/>
      <c r="F621" s="185"/>
      <c r="G621" s="185"/>
      <c r="H621" s="185"/>
      <c r="I621" s="185"/>
      <c r="J621" s="186"/>
    </row>
    <row r="622" spans="1:10" ht="12.75" customHeight="1">
      <c r="A622" s="187" t="s">
        <v>1</v>
      </c>
      <c r="B622" s="188"/>
      <c r="C622" s="188"/>
      <c r="D622" s="188"/>
      <c r="E622" s="188"/>
      <c r="F622" s="188"/>
      <c r="G622" s="188"/>
      <c r="H622" s="188"/>
      <c r="I622" s="188"/>
      <c r="J622" s="189"/>
    </row>
    <row r="623" spans="1:10" ht="12.75" customHeight="1">
      <c r="A623" s="1" t="s">
        <v>2</v>
      </c>
      <c r="B623" s="191"/>
      <c r="C623" s="191"/>
      <c r="D623" s="191"/>
      <c r="E623" s="2"/>
      <c r="F623" s="3"/>
      <c r="G623" s="1" t="s">
        <v>4</v>
      </c>
      <c r="H623" s="1"/>
      <c r="I623" s="2" t="s">
        <v>922</v>
      </c>
      <c r="J623" s="2"/>
    </row>
    <row r="624" spans="1:10" ht="12.75" customHeight="1">
      <c r="A624" s="1" t="s">
        <v>6</v>
      </c>
      <c r="B624" s="1"/>
      <c r="C624" s="196" t="s">
        <v>1028</v>
      </c>
      <c r="D624" s="196"/>
      <c r="E624" s="196"/>
      <c r="F624" s="3"/>
      <c r="G624" s="1" t="s">
        <v>8</v>
      </c>
      <c r="H624" s="193" t="s">
        <v>9</v>
      </c>
      <c r="I624" s="193"/>
      <c r="J624" s="193"/>
    </row>
    <row r="625" spans="1:10" ht="12.75" customHeight="1">
      <c r="A625" s="6" t="s">
        <v>10</v>
      </c>
      <c r="B625" s="6"/>
      <c r="C625" s="209" t="s">
        <v>1029</v>
      </c>
      <c r="D625" s="209"/>
      <c r="E625" s="209"/>
      <c r="F625" s="3"/>
      <c r="G625" s="1" t="s">
        <v>12</v>
      </c>
      <c r="H625" s="195" t="s">
        <v>13</v>
      </c>
      <c r="I625" s="195"/>
      <c r="J625" s="195"/>
    </row>
    <row r="626" spans="1:10" ht="12.75" customHeight="1">
      <c r="A626" s="2" t="s">
        <v>14</v>
      </c>
      <c r="B626" s="2"/>
      <c r="C626" s="2" t="s">
        <v>15</v>
      </c>
      <c r="D626" s="2"/>
      <c r="E626" s="2"/>
      <c r="F626" s="3"/>
      <c r="G626" s="1" t="s">
        <v>16</v>
      </c>
      <c r="H626" s="209" t="s">
        <v>973</v>
      </c>
      <c r="I626" s="209"/>
      <c r="J626" s="209"/>
    </row>
    <row r="627" spans="1:10" ht="12.75" customHeight="1">
      <c r="A627" s="2">
        <v>30</v>
      </c>
      <c r="B627" s="2"/>
      <c r="C627" s="2">
        <f>A627-H627</f>
        <v>0</v>
      </c>
      <c r="D627" s="2"/>
      <c r="E627" s="2"/>
      <c r="F627" s="3"/>
      <c r="G627" s="8" t="s">
        <v>18</v>
      </c>
      <c r="H627" s="197">
        <v>30</v>
      </c>
      <c r="I627" s="197"/>
      <c r="J627" s="197"/>
    </row>
    <row r="628" spans="1:10" ht="12.75" customHeight="1">
      <c r="A628" s="198" t="s">
        <v>19</v>
      </c>
      <c r="B628" s="199"/>
      <c r="C628" s="200"/>
      <c r="D628" s="13" t="s">
        <v>20</v>
      </c>
      <c r="E628" s="14" t="s">
        <v>21</v>
      </c>
      <c r="F628" s="15"/>
      <c r="G628" s="16" t="s">
        <v>20</v>
      </c>
      <c r="H628" s="201" t="s">
        <v>22</v>
      </c>
      <c r="I628" s="202"/>
      <c r="J628" s="203"/>
    </row>
    <row r="629" spans="1:10" ht="12.75" customHeight="1">
      <c r="A629" s="17" t="s">
        <v>23</v>
      </c>
      <c r="B629" s="1"/>
      <c r="C629" s="1"/>
      <c r="D629" s="2">
        <v>25000</v>
      </c>
      <c r="E629" s="17" t="s">
        <v>24</v>
      </c>
      <c r="F629" s="1"/>
      <c r="G629" s="2" t="s">
        <v>25</v>
      </c>
      <c r="H629" s="18" t="s">
        <v>502</v>
      </c>
      <c r="I629" s="6"/>
      <c r="J629" s="19"/>
    </row>
    <row r="630" spans="1:10" ht="12.75" customHeight="1">
      <c r="A630" s="17" t="s">
        <v>77</v>
      </c>
      <c r="B630" s="1"/>
      <c r="C630" s="1"/>
      <c r="D630" s="2" t="s">
        <v>25</v>
      </c>
      <c r="E630" s="17" t="s">
        <v>89</v>
      </c>
      <c r="F630" s="1"/>
      <c r="G630" s="2" t="s">
        <v>25</v>
      </c>
      <c r="H630" s="18" t="s">
        <v>504</v>
      </c>
      <c r="I630" s="6"/>
      <c r="J630" s="19"/>
    </row>
    <row r="631" spans="1:10" ht="12.75" customHeight="1">
      <c r="A631" s="17" t="s">
        <v>1030</v>
      </c>
      <c r="B631" s="1"/>
      <c r="C631" s="1"/>
      <c r="D631" s="2" t="s">
        <v>25</v>
      </c>
      <c r="E631" s="17" t="s">
        <v>58</v>
      </c>
      <c r="F631" s="1"/>
      <c r="G631" s="2">
        <v>1784</v>
      </c>
      <c r="H631" s="18" t="s">
        <v>32</v>
      </c>
      <c r="I631" s="6"/>
      <c r="J631" s="19"/>
    </row>
    <row r="632" spans="1:10" ht="12.75" customHeight="1">
      <c r="A632" s="17" t="s">
        <v>970</v>
      </c>
      <c r="B632" s="1"/>
      <c r="C632" s="1"/>
      <c r="D632" s="2">
        <v>6000</v>
      </c>
      <c r="E632" s="17" t="s">
        <v>52</v>
      </c>
      <c r="F632" s="1"/>
      <c r="G632" s="2">
        <v>5950</v>
      </c>
      <c r="H632" s="18"/>
      <c r="I632" s="6"/>
      <c r="J632" s="19"/>
    </row>
    <row r="633" spans="1:10" ht="12.75" customHeight="1">
      <c r="A633" s="17" t="s">
        <v>136</v>
      </c>
      <c r="B633" s="1"/>
      <c r="C633" s="1"/>
      <c r="D633" s="2">
        <v>5000</v>
      </c>
      <c r="E633" s="17" t="s">
        <v>286</v>
      </c>
      <c r="F633" s="1"/>
      <c r="G633" s="2" t="s">
        <v>25</v>
      </c>
      <c r="H633" s="18"/>
      <c r="I633" s="6"/>
      <c r="J633" s="40"/>
    </row>
    <row r="634" spans="1:10" ht="12.75" customHeight="1">
      <c r="A634" s="17" t="s">
        <v>78</v>
      </c>
      <c r="B634" s="1"/>
      <c r="C634" s="1"/>
      <c r="D634" s="2" t="s">
        <v>25</v>
      </c>
      <c r="E634" s="17" t="s">
        <v>39</v>
      </c>
      <c r="F634" s="1"/>
      <c r="G634" s="2">
        <v>100</v>
      </c>
      <c r="H634" s="18" t="s">
        <v>437</v>
      </c>
      <c r="I634" s="6"/>
      <c r="J634" s="40"/>
    </row>
    <row r="635" spans="1:10" ht="12.75" customHeight="1">
      <c r="A635" s="18" t="s">
        <v>40</v>
      </c>
      <c r="B635" s="6"/>
      <c r="C635" s="6"/>
      <c r="D635" s="2" t="s">
        <v>25</v>
      </c>
      <c r="E635" s="17" t="s">
        <v>78</v>
      </c>
      <c r="F635" s="1"/>
      <c r="G635" s="2" t="s">
        <v>25</v>
      </c>
      <c r="H635" s="18"/>
      <c r="I635" s="6"/>
      <c r="J635" s="40"/>
    </row>
    <row r="636" spans="1:10" ht="12.75" customHeight="1">
      <c r="A636" s="204" t="s">
        <v>42</v>
      </c>
      <c r="B636" s="205"/>
      <c r="C636" s="206"/>
      <c r="D636" s="229">
        <f>SUM(D629:D635)</f>
        <v>36000</v>
      </c>
      <c r="E636" s="1" t="s">
        <v>43</v>
      </c>
      <c r="F636" s="1"/>
      <c r="G636" s="2" t="s">
        <v>25</v>
      </c>
      <c r="H636" s="18"/>
      <c r="I636" s="6"/>
      <c r="J636" s="19"/>
    </row>
    <row r="637" spans="1:10" ht="12.75" customHeight="1">
      <c r="A637" s="207"/>
      <c r="B637" s="197"/>
      <c r="C637" s="208"/>
      <c r="D637" s="230"/>
      <c r="E637" s="21" t="s">
        <v>21</v>
      </c>
      <c r="F637" s="22"/>
      <c r="G637" s="13">
        <f>SUM(G629:G636)</f>
        <v>7834</v>
      </c>
      <c r="H637" s="21" t="s">
        <v>44</v>
      </c>
      <c r="I637" s="22"/>
      <c r="J637" s="13">
        <f>D636-G637</f>
        <v>28166</v>
      </c>
    </row>
    <row r="638" spans="1:10" ht="12.75" customHeight="1">
      <c r="A638" s="3" t="s">
        <v>45</v>
      </c>
      <c r="B638" s="3"/>
      <c r="C638" s="3"/>
      <c r="D638" s="3"/>
      <c r="E638" s="3"/>
      <c r="F638" s="3"/>
      <c r="G638" s="3" t="s">
        <v>996</v>
      </c>
      <c r="H638" s="3"/>
      <c r="I638" s="3"/>
      <c r="J638" s="3"/>
    </row>
    <row r="639" spans="1:10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2.75" customHeight="1">
      <c r="A640" s="3"/>
      <c r="B640" s="3" t="s">
        <v>47</v>
      </c>
      <c r="C640" s="3"/>
      <c r="D640" s="3"/>
      <c r="E640" s="3" t="s">
        <v>48</v>
      </c>
      <c r="F640" s="3"/>
      <c r="G640" s="3"/>
      <c r="H640" s="3" t="s">
        <v>49</v>
      </c>
      <c r="I640" s="3"/>
      <c r="J640" s="3"/>
    </row>
    <row r="641" spans="1:10" ht="12.75" customHeight="1">
      <c r="A641" s="184" t="s">
        <v>0</v>
      </c>
      <c r="B641" s="185"/>
      <c r="C641" s="185"/>
      <c r="D641" s="185"/>
      <c r="E641" s="185"/>
      <c r="F641" s="185"/>
      <c r="G641" s="185"/>
      <c r="H641" s="185"/>
      <c r="I641" s="185"/>
      <c r="J641" s="186"/>
    </row>
    <row r="642" spans="1:10" ht="12.75" customHeight="1">
      <c r="A642" s="187" t="s">
        <v>1</v>
      </c>
      <c r="B642" s="188"/>
      <c r="C642" s="188"/>
      <c r="D642" s="188"/>
      <c r="E642" s="188"/>
      <c r="F642" s="188"/>
      <c r="G642" s="188"/>
      <c r="H642" s="188"/>
      <c r="I642" s="188"/>
      <c r="J642" s="189"/>
    </row>
    <row r="643" spans="1:10" ht="12.75" customHeight="1">
      <c r="A643" s="1" t="s">
        <v>2</v>
      </c>
      <c r="B643" s="191"/>
      <c r="C643" s="191"/>
      <c r="D643" s="191"/>
      <c r="E643" s="2"/>
      <c r="F643" s="3"/>
      <c r="G643" s="1" t="s">
        <v>4</v>
      </c>
      <c r="H643" s="1"/>
      <c r="I643" s="2" t="s">
        <v>922</v>
      </c>
      <c r="J643" s="2"/>
    </row>
    <row r="644" spans="1:10" ht="12.75" customHeight="1">
      <c r="A644" s="1" t="s">
        <v>6</v>
      </c>
      <c r="B644" s="1"/>
      <c r="C644" s="196" t="s">
        <v>1031</v>
      </c>
      <c r="D644" s="196"/>
      <c r="E644" s="196"/>
      <c r="F644" s="3"/>
      <c r="G644" s="1" t="s">
        <v>8</v>
      </c>
      <c r="H644" s="193" t="s">
        <v>9</v>
      </c>
      <c r="I644" s="193"/>
      <c r="J644" s="193"/>
    </row>
    <row r="645" spans="1:10" ht="12.75" customHeight="1">
      <c r="A645" s="6" t="s">
        <v>10</v>
      </c>
      <c r="B645" s="6"/>
      <c r="C645" s="209" t="s">
        <v>1032</v>
      </c>
      <c r="D645" s="209"/>
      <c r="E645" s="209"/>
      <c r="F645" s="3"/>
      <c r="G645" s="1" t="s">
        <v>12</v>
      </c>
      <c r="H645" s="195" t="s">
        <v>13</v>
      </c>
      <c r="I645" s="195"/>
      <c r="J645" s="195"/>
    </row>
    <row r="646" spans="1:10" ht="12.75" customHeight="1">
      <c r="A646" s="2" t="s">
        <v>14</v>
      </c>
      <c r="B646" s="2"/>
      <c r="C646" s="2" t="s">
        <v>15</v>
      </c>
      <c r="D646" s="2"/>
      <c r="E646" s="2"/>
      <c r="F646" s="3"/>
      <c r="G646" s="1" t="s">
        <v>16</v>
      </c>
      <c r="H646" s="209" t="s">
        <v>973</v>
      </c>
      <c r="I646" s="209"/>
      <c r="J646" s="209"/>
    </row>
    <row r="647" spans="1:10" ht="12.75" customHeight="1">
      <c r="A647" s="2">
        <v>30</v>
      </c>
      <c r="B647" s="2"/>
      <c r="C647" s="2">
        <f>A647-H647</f>
        <v>0</v>
      </c>
      <c r="D647" s="2"/>
      <c r="E647" s="2"/>
      <c r="F647" s="3"/>
      <c r="G647" s="8" t="s">
        <v>18</v>
      </c>
      <c r="H647" s="197">
        <v>30</v>
      </c>
      <c r="I647" s="197"/>
      <c r="J647" s="197"/>
    </row>
    <row r="648" spans="1:10" ht="12.75" customHeight="1">
      <c r="A648" s="198" t="s">
        <v>19</v>
      </c>
      <c r="B648" s="199"/>
      <c r="C648" s="200"/>
      <c r="D648" s="13" t="s">
        <v>20</v>
      </c>
      <c r="E648" s="14" t="s">
        <v>21</v>
      </c>
      <c r="F648" s="15"/>
      <c r="G648" s="16" t="s">
        <v>20</v>
      </c>
      <c r="H648" s="201" t="s">
        <v>22</v>
      </c>
      <c r="I648" s="202"/>
      <c r="J648" s="203"/>
    </row>
    <row r="649" spans="1:10" ht="12.75" customHeight="1">
      <c r="A649" s="17" t="s">
        <v>23</v>
      </c>
      <c r="B649" s="1"/>
      <c r="C649" s="1"/>
      <c r="D649" s="2">
        <v>30500</v>
      </c>
      <c r="E649" s="17" t="s">
        <v>89</v>
      </c>
      <c r="F649" s="1"/>
      <c r="G649" s="2" t="s">
        <v>25</v>
      </c>
      <c r="H649" s="18" t="s">
        <v>502</v>
      </c>
      <c r="I649" s="6"/>
      <c r="J649" s="19"/>
    </row>
    <row r="650" spans="1:10" ht="12.75" customHeight="1">
      <c r="A650" s="17" t="s">
        <v>77</v>
      </c>
      <c r="B650" s="1"/>
      <c r="C650" s="1"/>
      <c r="D650" s="2" t="s">
        <v>25</v>
      </c>
      <c r="E650" s="17" t="s">
        <v>52</v>
      </c>
      <c r="F650" s="1"/>
      <c r="G650" s="2" t="s">
        <v>25</v>
      </c>
      <c r="H650" s="18" t="s">
        <v>504</v>
      </c>
      <c r="I650" s="6"/>
      <c r="J650" s="19"/>
    </row>
    <row r="651" spans="1:10" ht="12.75" customHeight="1">
      <c r="A651" s="17" t="s">
        <v>1033</v>
      </c>
      <c r="B651" s="1"/>
      <c r="C651" s="1"/>
      <c r="D651" s="2">
        <v>10000</v>
      </c>
      <c r="E651" s="17" t="s">
        <v>58</v>
      </c>
      <c r="F651" s="1"/>
      <c r="G651" s="2" t="s">
        <v>25</v>
      </c>
      <c r="H651" s="18" t="s">
        <v>32</v>
      </c>
      <c r="I651" s="6"/>
      <c r="J651" s="19"/>
    </row>
    <row r="652" spans="1:10" ht="12.75" customHeight="1">
      <c r="A652" s="17" t="s">
        <v>981</v>
      </c>
      <c r="B652" s="1"/>
      <c r="C652" s="1"/>
      <c r="D652" s="2">
        <v>2500</v>
      </c>
      <c r="E652" s="17" t="s">
        <v>35</v>
      </c>
      <c r="F652" s="1"/>
      <c r="G652" s="2" t="s">
        <v>25</v>
      </c>
      <c r="H652" s="18"/>
      <c r="I652" s="6"/>
      <c r="J652" s="19"/>
    </row>
    <row r="653" spans="1:10" ht="12.75" customHeight="1">
      <c r="A653" s="17" t="s">
        <v>136</v>
      </c>
      <c r="B653" s="1"/>
      <c r="C653" s="1"/>
      <c r="D653" s="2">
        <v>4000</v>
      </c>
      <c r="E653" s="17" t="s">
        <v>286</v>
      </c>
      <c r="F653" s="1"/>
      <c r="G653" s="2" t="s">
        <v>25</v>
      </c>
      <c r="H653" s="18"/>
      <c r="I653" s="6"/>
      <c r="J653" s="19"/>
    </row>
    <row r="654" spans="1:10" ht="12.75" customHeight="1">
      <c r="A654" s="17" t="s">
        <v>78</v>
      </c>
      <c r="B654" s="1"/>
      <c r="C654" s="1"/>
      <c r="D654" s="2">
        <v>3000</v>
      </c>
      <c r="E654" s="17" t="s">
        <v>39</v>
      </c>
      <c r="F654" s="1"/>
      <c r="G654" s="2">
        <v>100</v>
      </c>
      <c r="H654" s="18"/>
      <c r="I654" s="6"/>
      <c r="J654" s="19"/>
    </row>
    <row r="655" spans="1:10" ht="12.75" customHeight="1">
      <c r="A655" s="176" t="s">
        <v>30</v>
      </c>
      <c r="B655" s="6"/>
      <c r="C655" s="6"/>
      <c r="D655" s="2">
        <v>5100</v>
      </c>
      <c r="E655" s="17" t="s">
        <v>78</v>
      </c>
      <c r="F655" s="1"/>
      <c r="G655" s="2" t="s">
        <v>25</v>
      </c>
      <c r="H655" s="18"/>
      <c r="I655" s="6"/>
      <c r="J655" s="19"/>
    </row>
    <row r="656" spans="1:10" ht="12.75" customHeight="1">
      <c r="A656" s="204" t="s">
        <v>42</v>
      </c>
      <c r="B656" s="205"/>
      <c r="C656" s="206"/>
      <c r="D656" s="229">
        <f>SUM(D649:D655)</f>
        <v>55100</v>
      </c>
      <c r="E656" s="1" t="s">
        <v>43</v>
      </c>
      <c r="F656" s="1"/>
      <c r="G656" s="2" t="s">
        <v>25</v>
      </c>
      <c r="H656" s="18"/>
      <c r="I656" s="6"/>
      <c r="J656" s="19"/>
    </row>
    <row r="657" spans="1:10" ht="12.75" customHeight="1">
      <c r="A657" s="207"/>
      <c r="B657" s="197"/>
      <c r="C657" s="208"/>
      <c r="D657" s="230"/>
      <c r="E657" s="21" t="s">
        <v>21</v>
      </c>
      <c r="F657" s="22"/>
      <c r="G657" s="13">
        <f>SUM(G649:G656)</f>
        <v>100</v>
      </c>
      <c r="H657" s="21" t="s">
        <v>44</v>
      </c>
      <c r="I657" s="22"/>
      <c r="J657" s="13">
        <f>D656-G657</f>
        <v>55000</v>
      </c>
    </row>
    <row r="658" spans="1:10" ht="12.75" customHeight="1">
      <c r="A658" s="3" t="s">
        <v>45</v>
      </c>
      <c r="B658" s="3"/>
      <c r="C658" s="3"/>
      <c r="D658" s="3"/>
      <c r="E658" s="3"/>
      <c r="F658" s="3"/>
      <c r="G658" s="3" t="s">
        <v>996</v>
      </c>
      <c r="H658" s="3"/>
      <c r="I658" s="3"/>
      <c r="J658" s="3"/>
    </row>
    <row r="659" spans="1:10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2.75" customHeight="1">
      <c r="A660" s="3"/>
      <c r="B660" s="3" t="s">
        <v>47</v>
      </c>
      <c r="C660" s="3"/>
      <c r="D660" s="3"/>
      <c r="E660" s="3" t="s">
        <v>48</v>
      </c>
      <c r="F660" s="3"/>
      <c r="G660" s="3"/>
      <c r="H660" s="3" t="s">
        <v>49</v>
      </c>
      <c r="I660" s="3"/>
      <c r="J660" s="3"/>
    </row>
    <row r="661" spans="1:10" ht="12.75" customHeight="1">
      <c r="A661" s="184" t="s">
        <v>0</v>
      </c>
      <c r="B661" s="185"/>
      <c r="C661" s="185"/>
      <c r="D661" s="185"/>
      <c r="E661" s="185"/>
      <c r="F661" s="185"/>
      <c r="G661" s="185"/>
      <c r="H661" s="185"/>
      <c r="I661" s="185"/>
      <c r="J661" s="186"/>
    </row>
    <row r="662" spans="1:10" ht="12.75" customHeight="1">
      <c r="A662" s="187" t="s">
        <v>1</v>
      </c>
      <c r="B662" s="188"/>
      <c r="C662" s="188"/>
      <c r="D662" s="188"/>
      <c r="E662" s="188"/>
      <c r="F662" s="188"/>
      <c r="G662" s="188"/>
      <c r="H662" s="188"/>
      <c r="I662" s="188"/>
      <c r="J662" s="189"/>
    </row>
    <row r="663" spans="1:10" ht="12.75" customHeight="1">
      <c r="A663" s="1" t="s">
        <v>2</v>
      </c>
      <c r="B663" s="191"/>
      <c r="C663" s="191"/>
      <c r="D663" s="191"/>
      <c r="E663" s="2"/>
      <c r="F663" s="3"/>
      <c r="G663" s="1" t="s">
        <v>4</v>
      </c>
      <c r="H663" s="1"/>
      <c r="I663" s="2" t="s">
        <v>922</v>
      </c>
      <c r="J663" s="2"/>
    </row>
    <row r="664" spans="1:10" ht="12.75" customHeight="1">
      <c r="A664" s="1" t="s">
        <v>6</v>
      </c>
      <c r="B664" s="1"/>
      <c r="C664" s="192" t="s">
        <v>1034</v>
      </c>
      <c r="D664" s="192"/>
      <c r="E664" s="192"/>
      <c r="F664" s="3"/>
      <c r="G664" s="1" t="s">
        <v>8</v>
      </c>
      <c r="H664" s="193" t="s">
        <v>9</v>
      </c>
      <c r="I664" s="193"/>
      <c r="J664" s="193"/>
    </row>
    <row r="665" spans="1:10" ht="12.75" customHeight="1">
      <c r="A665" s="6" t="s">
        <v>10</v>
      </c>
      <c r="B665" s="6"/>
      <c r="C665" s="194" t="s">
        <v>1035</v>
      </c>
      <c r="D665" s="194"/>
      <c r="E665" s="194"/>
      <c r="F665" s="3"/>
      <c r="G665" s="1" t="s">
        <v>12</v>
      </c>
      <c r="H665" s="195" t="s">
        <v>13</v>
      </c>
      <c r="I665" s="195"/>
      <c r="J665" s="195"/>
    </row>
    <row r="666" spans="1:10" ht="12.75" customHeight="1">
      <c r="A666" s="2" t="s">
        <v>14</v>
      </c>
      <c r="B666" s="2"/>
      <c r="C666" s="2" t="s">
        <v>15</v>
      </c>
      <c r="D666" s="2"/>
      <c r="E666" s="2"/>
      <c r="F666" s="3"/>
      <c r="G666" s="1" t="s">
        <v>16</v>
      </c>
      <c r="H666" s="209" t="s">
        <v>973</v>
      </c>
      <c r="I666" s="209"/>
      <c r="J666" s="209"/>
    </row>
    <row r="667" spans="1:10" ht="12.75" customHeight="1">
      <c r="A667" s="2">
        <v>30</v>
      </c>
      <c r="B667" s="2"/>
      <c r="C667" s="2">
        <f>A667-H667</f>
        <v>2</v>
      </c>
      <c r="D667" s="2"/>
      <c r="E667" s="2"/>
      <c r="F667" s="3"/>
      <c r="G667" s="8" t="s">
        <v>18</v>
      </c>
      <c r="H667" s="197">
        <v>28</v>
      </c>
      <c r="I667" s="197"/>
      <c r="J667" s="197"/>
    </row>
    <row r="668" spans="1:10" ht="12.75" customHeight="1">
      <c r="A668" s="198" t="s">
        <v>19</v>
      </c>
      <c r="B668" s="199"/>
      <c r="C668" s="200"/>
      <c r="D668" s="13" t="s">
        <v>20</v>
      </c>
      <c r="E668" s="14" t="s">
        <v>21</v>
      </c>
      <c r="F668" s="15"/>
      <c r="G668" s="16" t="s">
        <v>20</v>
      </c>
      <c r="H668" s="201" t="s">
        <v>22</v>
      </c>
      <c r="I668" s="202"/>
      <c r="J668" s="203"/>
    </row>
    <row r="669" spans="1:10" ht="12.75" customHeight="1">
      <c r="A669" s="17" t="s">
        <v>23</v>
      </c>
      <c r="B669" s="1"/>
      <c r="C669" s="1"/>
      <c r="D669" s="2">
        <v>30000</v>
      </c>
      <c r="E669" s="17" t="s">
        <v>58</v>
      </c>
      <c r="F669" s="1"/>
      <c r="G669" s="2">
        <v>516</v>
      </c>
      <c r="H669" s="18" t="s">
        <v>502</v>
      </c>
      <c r="I669" s="6"/>
      <c r="J669" s="19"/>
    </row>
    <row r="670" spans="1:10" ht="12.75" customHeight="1">
      <c r="A670" s="17" t="s">
        <v>77</v>
      </c>
      <c r="B670" s="1"/>
      <c r="C670" s="1"/>
      <c r="D670" s="2" t="s">
        <v>25</v>
      </c>
      <c r="E670" s="17" t="s">
        <v>52</v>
      </c>
      <c r="F670" s="1"/>
      <c r="G670" s="2">
        <v>520</v>
      </c>
      <c r="H670" s="18" t="s">
        <v>504</v>
      </c>
      <c r="I670" s="6"/>
      <c r="J670" s="19"/>
    </row>
    <row r="671" spans="1:10" ht="12.75" customHeight="1">
      <c r="A671" s="176" t="s">
        <v>852</v>
      </c>
      <c r="B671" s="1"/>
      <c r="C671" s="1"/>
      <c r="D671" s="2">
        <v>8636</v>
      </c>
      <c r="E671" s="17" t="s">
        <v>28</v>
      </c>
      <c r="F671" s="1"/>
      <c r="G671" s="2" t="s">
        <v>25</v>
      </c>
      <c r="H671" s="18" t="s">
        <v>32</v>
      </c>
      <c r="I671" s="6"/>
      <c r="J671" s="19"/>
    </row>
    <row r="672" spans="1:10" ht="12.75" customHeight="1">
      <c r="A672" s="17" t="s">
        <v>970</v>
      </c>
      <c r="B672" s="1"/>
      <c r="C672" s="1"/>
      <c r="D672" s="2">
        <v>2500</v>
      </c>
      <c r="E672" s="17" t="s">
        <v>35</v>
      </c>
      <c r="F672" s="1"/>
      <c r="G672" s="2">
        <v>2000</v>
      </c>
      <c r="H672" s="18"/>
      <c r="I672" s="6"/>
      <c r="J672" s="19"/>
    </row>
    <row r="673" spans="1:10" ht="12.75" customHeight="1">
      <c r="A673" s="17" t="s">
        <v>136</v>
      </c>
      <c r="B673" s="1"/>
      <c r="C673" s="1"/>
      <c r="D673" s="2">
        <v>10000</v>
      </c>
      <c r="E673" s="17" t="s">
        <v>1111</v>
      </c>
      <c r="F673" s="1"/>
      <c r="G673" s="2">
        <v>4000</v>
      </c>
      <c r="H673" s="18"/>
      <c r="I673" s="6"/>
      <c r="J673" s="19"/>
    </row>
    <row r="674" spans="1:10" ht="12.75" customHeight="1">
      <c r="A674" s="17" t="s">
        <v>78</v>
      </c>
      <c r="B674" s="1"/>
      <c r="C674" s="1"/>
      <c r="D674" s="2" t="s">
        <v>25</v>
      </c>
      <c r="E674" s="17" t="s">
        <v>39</v>
      </c>
      <c r="F674" s="1"/>
      <c r="G674" s="2">
        <v>100</v>
      </c>
      <c r="H674" s="18"/>
      <c r="I674" s="6"/>
      <c r="J674" s="19"/>
    </row>
    <row r="675" spans="1:10" ht="12.75" customHeight="1">
      <c r="A675" s="18" t="s">
        <v>40</v>
      </c>
      <c r="B675" s="6"/>
      <c r="C675" s="6"/>
      <c r="D675" s="2" t="s">
        <v>25</v>
      </c>
      <c r="E675" s="17" t="s">
        <v>78</v>
      </c>
      <c r="F675" s="1"/>
      <c r="G675" s="2" t="s">
        <v>25</v>
      </c>
      <c r="H675" s="18"/>
      <c r="I675" s="6"/>
      <c r="J675" s="19"/>
    </row>
    <row r="676" spans="1:10" ht="12.75" customHeight="1">
      <c r="A676" s="204" t="s">
        <v>42</v>
      </c>
      <c r="B676" s="205"/>
      <c r="C676" s="206"/>
      <c r="D676" s="229">
        <f>SUM(D669:D675)</f>
        <v>51136</v>
      </c>
      <c r="E676" s="1" t="s">
        <v>43</v>
      </c>
      <c r="F676" s="1"/>
      <c r="G676" s="2" t="s">
        <v>25</v>
      </c>
      <c r="H676" s="18"/>
      <c r="I676" s="6"/>
      <c r="J676" s="19"/>
    </row>
    <row r="677" spans="1:10" ht="12.75" customHeight="1">
      <c r="A677" s="207"/>
      <c r="B677" s="197"/>
      <c r="C677" s="208"/>
      <c r="D677" s="230"/>
      <c r="E677" s="21" t="s">
        <v>21</v>
      </c>
      <c r="F677" s="22"/>
      <c r="G677" s="13">
        <f>SUM(G669:G676)</f>
        <v>7136</v>
      </c>
      <c r="H677" s="21" t="s">
        <v>44</v>
      </c>
      <c r="I677" s="22"/>
      <c r="J677" s="13">
        <f>D676-G677</f>
        <v>44000</v>
      </c>
    </row>
    <row r="678" spans="1:10" ht="12.75" customHeight="1">
      <c r="A678" s="3" t="s">
        <v>45</v>
      </c>
      <c r="B678" s="3"/>
      <c r="C678" s="3"/>
      <c r="D678" s="3"/>
      <c r="E678" s="3"/>
      <c r="F678" s="3"/>
      <c r="G678" s="3" t="s">
        <v>996</v>
      </c>
      <c r="H678" s="3"/>
      <c r="I678" s="3"/>
      <c r="J678" s="3"/>
    </row>
    <row r="679" spans="1:10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2.75" customHeight="1">
      <c r="A680" s="3"/>
      <c r="B680" s="3" t="s">
        <v>47</v>
      </c>
      <c r="C680" s="3"/>
      <c r="D680" s="3"/>
      <c r="E680" s="3" t="s">
        <v>48</v>
      </c>
      <c r="F680" s="3"/>
      <c r="G680" s="3"/>
      <c r="H680" s="3" t="s">
        <v>49</v>
      </c>
      <c r="I680" s="3"/>
      <c r="J680" s="3"/>
    </row>
    <row r="681" spans="1:10" ht="12.75" customHeight="1">
      <c r="A681" s="184" t="s">
        <v>0</v>
      </c>
      <c r="B681" s="185"/>
      <c r="C681" s="185"/>
      <c r="D681" s="185"/>
      <c r="E681" s="185"/>
      <c r="F681" s="185"/>
      <c r="G681" s="185"/>
      <c r="H681" s="185"/>
      <c r="I681" s="185"/>
      <c r="J681" s="186"/>
    </row>
    <row r="682" spans="1:10" ht="12.75" customHeight="1">
      <c r="A682" s="187" t="s">
        <v>1</v>
      </c>
      <c r="B682" s="188"/>
      <c r="C682" s="188"/>
      <c r="D682" s="188"/>
      <c r="E682" s="188"/>
      <c r="F682" s="188"/>
      <c r="G682" s="188"/>
      <c r="H682" s="188"/>
      <c r="I682" s="188"/>
      <c r="J682" s="189"/>
    </row>
    <row r="683" spans="1:10" ht="12.75" customHeight="1">
      <c r="A683" s="1" t="s">
        <v>2</v>
      </c>
      <c r="B683" s="191"/>
      <c r="C683" s="191"/>
      <c r="D683" s="191"/>
      <c r="E683" s="2"/>
      <c r="F683" s="3"/>
      <c r="G683" s="1" t="s">
        <v>4</v>
      </c>
      <c r="H683" s="1"/>
      <c r="I683" s="2" t="s">
        <v>922</v>
      </c>
      <c r="J683" s="2"/>
    </row>
    <row r="684" spans="1:10" ht="12.75" customHeight="1">
      <c r="A684" s="1" t="s">
        <v>6</v>
      </c>
      <c r="B684" s="1"/>
      <c r="C684" s="192" t="s">
        <v>1036</v>
      </c>
      <c r="D684" s="192"/>
      <c r="E684" s="192"/>
      <c r="F684" s="3"/>
      <c r="G684" s="1" t="s">
        <v>8</v>
      </c>
      <c r="H684" s="193" t="s">
        <v>9</v>
      </c>
      <c r="I684" s="193"/>
      <c r="J684" s="193"/>
    </row>
    <row r="685" spans="1:10" ht="12.75" customHeight="1">
      <c r="A685" s="6" t="s">
        <v>10</v>
      </c>
      <c r="B685" s="6"/>
      <c r="C685" s="194" t="s">
        <v>1035</v>
      </c>
      <c r="D685" s="194"/>
      <c r="E685" s="194"/>
      <c r="F685" s="3"/>
      <c r="G685" s="1" t="s">
        <v>12</v>
      </c>
      <c r="H685" s="195" t="s">
        <v>13</v>
      </c>
      <c r="I685" s="195"/>
      <c r="J685" s="195"/>
    </row>
    <row r="686" spans="1:10" ht="12.75" customHeight="1">
      <c r="A686" s="2" t="s">
        <v>14</v>
      </c>
      <c r="B686" s="2"/>
      <c r="C686" s="2" t="s">
        <v>15</v>
      </c>
      <c r="D686" s="2"/>
      <c r="E686" s="2"/>
      <c r="F686" s="3"/>
      <c r="G686" s="1" t="s">
        <v>16</v>
      </c>
      <c r="H686" s="209" t="s">
        <v>973</v>
      </c>
      <c r="I686" s="209"/>
      <c r="J686" s="209"/>
    </row>
    <row r="687" spans="1:10" ht="12.75" customHeight="1">
      <c r="A687" s="2">
        <v>30</v>
      </c>
      <c r="B687" s="2"/>
      <c r="C687" s="2">
        <f>A687-H687</f>
        <v>0</v>
      </c>
      <c r="D687" s="2"/>
      <c r="E687" s="2"/>
      <c r="F687" s="3"/>
      <c r="G687" s="8" t="s">
        <v>18</v>
      </c>
      <c r="H687" s="197">
        <v>30</v>
      </c>
      <c r="I687" s="197"/>
      <c r="J687" s="197"/>
    </row>
    <row r="688" spans="1:10" ht="12.75" customHeight="1">
      <c r="A688" s="198" t="s">
        <v>19</v>
      </c>
      <c r="B688" s="199"/>
      <c r="C688" s="200"/>
      <c r="D688" s="13" t="s">
        <v>20</v>
      </c>
      <c r="E688" s="14" t="s">
        <v>21</v>
      </c>
      <c r="F688" s="15"/>
      <c r="G688" s="16" t="s">
        <v>20</v>
      </c>
      <c r="H688" s="201" t="s">
        <v>22</v>
      </c>
      <c r="I688" s="202"/>
      <c r="J688" s="203"/>
    </row>
    <row r="689" spans="1:10" ht="12.75" customHeight="1">
      <c r="A689" s="17" t="s">
        <v>23</v>
      </c>
      <c r="B689" s="1"/>
      <c r="C689" s="1"/>
      <c r="D689" s="2">
        <v>30000</v>
      </c>
      <c r="E689" s="17" t="s">
        <v>24</v>
      </c>
      <c r="F689" s="1"/>
      <c r="G689" s="2">
        <v>7500</v>
      </c>
      <c r="H689" s="18" t="s">
        <v>502</v>
      </c>
      <c r="I689" s="6"/>
      <c r="J689" s="19"/>
    </row>
    <row r="690" spans="1:10" ht="12.75" customHeight="1">
      <c r="A690" s="17" t="s">
        <v>1037</v>
      </c>
      <c r="B690" s="1"/>
      <c r="C690" s="1" t="s">
        <v>1038</v>
      </c>
      <c r="D690" s="2">
        <v>6666</v>
      </c>
      <c r="E690" s="17" t="s">
        <v>52</v>
      </c>
      <c r="F690" s="1"/>
      <c r="G690" s="2" t="s">
        <v>25</v>
      </c>
      <c r="H690" s="18" t="s">
        <v>504</v>
      </c>
      <c r="I690" s="6"/>
      <c r="J690" s="19"/>
    </row>
    <row r="691" spans="1:10" ht="12.75" customHeight="1">
      <c r="A691" s="17" t="s">
        <v>852</v>
      </c>
      <c r="B691" s="1"/>
      <c r="C691" s="1"/>
      <c r="D691" s="2" t="s">
        <v>25</v>
      </c>
      <c r="E691" s="17" t="s">
        <v>58</v>
      </c>
      <c r="F691" s="1"/>
      <c r="G691" s="2" t="s">
        <v>25</v>
      </c>
      <c r="H691" s="18" t="s">
        <v>32</v>
      </c>
      <c r="I691" s="6"/>
      <c r="J691" s="19"/>
    </row>
    <row r="692" spans="1:10" ht="12.75" customHeight="1">
      <c r="A692" s="17" t="s">
        <v>970</v>
      </c>
      <c r="B692" s="1"/>
      <c r="C692" s="1"/>
      <c r="D692" s="2">
        <v>2500</v>
      </c>
      <c r="E692" s="17" t="s">
        <v>35</v>
      </c>
      <c r="F692" s="1"/>
      <c r="G692" s="2" t="s">
        <v>25</v>
      </c>
      <c r="H692" s="18"/>
      <c r="I692" s="6"/>
      <c r="J692" s="19"/>
    </row>
    <row r="693" spans="1:10" ht="12.75" customHeight="1">
      <c r="A693" s="17" t="s">
        <v>136</v>
      </c>
      <c r="B693" s="1"/>
      <c r="C693" s="1"/>
      <c r="D693" s="2">
        <v>10000</v>
      </c>
      <c r="E693" s="17" t="s">
        <v>286</v>
      </c>
      <c r="F693" s="1"/>
      <c r="G693" s="2" t="s">
        <v>25</v>
      </c>
      <c r="H693" s="18" t="s">
        <v>1039</v>
      </c>
      <c r="I693" s="6"/>
      <c r="J693" s="40">
        <v>15000</v>
      </c>
    </row>
    <row r="694" spans="1:10" ht="12.75" customHeight="1">
      <c r="A694" s="176" t="s">
        <v>852</v>
      </c>
      <c r="B694" s="1"/>
      <c r="C694" s="1"/>
      <c r="D694" s="2">
        <v>3434</v>
      </c>
      <c r="E694" s="17" t="s">
        <v>39</v>
      </c>
      <c r="F694" s="1"/>
      <c r="G694" s="2">
        <v>100</v>
      </c>
      <c r="H694" s="18" t="s">
        <v>1040</v>
      </c>
      <c r="I694" s="6"/>
      <c r="J694" s="40">
        <v>7500</v>
      </c>
    </row>
    <row r="695" spans="1:10" ht="12.75" customHeight="1">
      <c r="A695" s="18" t="s">
        <v>40</v>
      </c>
      <c r="B695" s="6"/>
      <c r="C695" s="6"/>
      <c r="D695" s="2" t="s">
        <v>25</v>
      </c>
      <c r="E695" s="17" t="s">
        <v>78</v>
      </c>
      <c r="F695" s="1"/>
      <c r="G695" s="2" t="s">
        <v>25</v>
      </c>
      <c r="H695" s="18" t="s">
        <v>1041</v>
      </c>
      <c r="I695" s="6"/>
      <c r="J695" s="40">
        <v>7500</v>
      </c>
    </row>
    <row r="696" spans="1:10" ht="12.75" customHeight="1">
      <c r="A696" s="204" t="s">
        <v>42</v>
      </c>
      <c r="B696" s="205"/>
      <c r="C696" s="206"/>
      <c r="D696" s="229">
        <f>SUM(D689:D695)</f>
        <v>52600</v>
      </c>
      <c r="E696" s="1" t="s">
        <v>43</v>
      </c>
      <c r="F696" s="1"/>
      <c r="G696" s="2" t="s">
        <v>25</v>
      </c>
      <c r="H696" s="18"/>
      <c r="I696" s="6"/>
      <c r="J696" s="19"/>
    </row>
    <row r="697" spans="1:10" ht="12.75" customHeight="1">
      <c r="A697" s="207"/>
      <c r="B697" s="197"/>
      <c r="C697" s="208"/>
      <c r="D697" s="230"/>
      <c r="E697" s="21" t="s">
        <v>21</v>
      </c>
      <c r="F697" s="22"/>
      <c r="G697" s="13">
        <f>SUM(G689:G696)</f>
        <v>7600</v>
      </c>
      <c r="H697" s="21" t="s">
        <v>44</v>
      </c>
      <c r="I697" s="22"/>
      <c r="J697" s="13">
        <f>D696-G697</f>
        <v>45000</v>
      </c>
    </row>
    <row r="698" spans="1:10" ht="12.75" customHeight="1">
      <c r="A698" s="3" t="s">
        <v>45</v>
      </c>
      <c r="B698" s="3"/>
      <c r="C698" s="3"/>
      <c r="D698" s="3"/>
      <c r="E698" s="3"/>
      <c r="F698" s="3"/>
      <c r="G698" s="3" t="s">
        <v>996</v>
      </c>
      <c r="H698" s="3"/>
      <c r="I698" s="3"/>
      <c r="J698" s="3"/>
    </row>
    <row r="699" spans="1:10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2.75" customHeight="1">
      <c r="A700" s="3"/>
      <c r="B700" s="3" t="s">
        <v>47</v>
      </c>
      <c r="C700" s="3"/>
      <c r="D700" s="3"/>
      <c r="E700" s="3" t="s">
        <v>48</v>
      </c>
      <c r="F700" s="3"/>
      <c r="G700" s="3"/>
      <c r="H700" s="3" t="s">
        <v>49</v>
      </c>
      <c r="I700" s="3"/>
      <c r="J700" s="3"/>
    </row>
    <row r="701" spans="1:10" ht="12.75" customHeight="1">
      <c r="A701" s="184" t="s">
        <v>0</v>
      </c>
      <c r="B701" s="185"/>
      <c r="C701" s="185"/>
      <c r="D701" s="185"/>
      <c r="E701" s="185"/>
      <c r="F701" s="185"/>
      <c r="G701" s="185"/>
      <c r="H701" s="185"/>
      <c r="I701" s="185"/>
      <c r="J701" s="186"/>
    </row>
    <row r="702" spans="1:10" ht="12.75" customHeight="1">
      <c r="A702" s="187" t="s">
        <v>1</v>
      </c>
      <c r="B702" s="188"/>
      <c r="C702" s="188"/>
      <c r="D702" s="188"/>
      <c r="E702" s="188"/>
      <c r="F702" s="188"/>
      <c r="G702" s="188"/>
      <c r="H702" s="188"/>
      <c r="I702" s="188"/>
      <c r="J702" s="189"/>
    </row>
    <row r="703" spans="1:10" ht="12.75" customHeight="1">
      <c r="A703" s="1" t="s">
        <v>2</v>
      </c>
      <c r="B703" s="191"/>
      <c r="C703" s="191"/>
      <c r="D703" s="191"/>
      <c r="E703" s="2"/>
      <c r="F703" s="3"/>
      <c r="G703" s="1" t="s">
        <v>4</v>
      </c>
      <c r="H703" s="1"/>
      <c r="I703" s="2" t="s">
        <v>922</v>
      </c>
      <c r="J703" s="2"/>
    </row>
    <row r="704" spans="1:10" ht="12.75" customHeight="1">
      <c r="A704" s="1" t="s">
        <v>6</v>
      </c>
      <c r="B704" s="1"/>
      <c r="C704" s="192" t="s">
        <v>1042</v>
      </c>
      <c r="D704" s="192"/>
      <c r="E704" s="192"/>
      <c r="F704" s="3"/>
      <c r="G704" s="1" t="s">
        <v>8</v>
      </c>
      <c r="H704" s="193" t="s">
        <v>9</v>
      </c>
      <c r="I704" s="193"/>
      <c r="J704" s="193"/>
    </row>
    <row r="705" spans="1:10" ht="12.75" customHeight="1">
      <c r="A705" s="6" t="s">
        <v>10</v>
      </c>
      <c r="B705" s="6"/>
      <c r="C705" s="194" t="s">
        <v>1043</v>
      </c>
      <c r="D705" s="194"/>
      <c r="E705" s="194"/>
      <c r="F705" s="3"/>
      <c r="G705" s="1" t="s">
        <v>12</v>
      </c>
      <c r="H705" s="195" t="s">
        <v>13</v>
      </c>
      <c r="I705" s="195"/>
      <c r="J705" s="195"/>
    </row>
    <row r="706" spans="1:10" ht="12.75" customHeight="1">
      <c r="A706" s="2" t="s">
        <v>14</v>
      </c>
      <c r="B706" s="2"/>
      <c r="C706" s="2" t="s">
        <v>15</v>
      </c>
      <c r="D706" s="2"/>
      <c r="E706" s="2"/>
      <c r="F706" s="3"/>
      <c r="G706" s="1" t="s">
        <v>16</v>
      </c>
      <c r="H706" s="209" t="s">
        <v>973</v>
      </c>
      <c r="I706" s="209"/>
      <c r="J706" s="209"/>
    </row>
    <row r="707" spans="1:10" ht="12.75" customHeight="1">
      <c r="A707" s="2">
        <v>30</v>
      </c>
      <c r="B707" s="2"/>
      <c r="C707" s="2">
        <f>A707-H707</f>
        <v>1</v>
      </c>
      <c r="D707" s="2"/>
      <c r="E707" s="2"/>
      <c r="F707" s="3"/>
      <c r="G707" s="8" t="s">
        <v>18</v>
      </c>
      <c r="H707" s="197">
        <v>29</v>
      </c>
      <c r="I707" s="197"/>
      <c r="J707" s="197"/>
    </row>
    <row r="708" spans="1:10" ht="12.75" customHeight="1">
      <c r="A708" s="198" t="s">
        <v>19</v>
      </c>
      <c r="B708" s="199"/>
      <c r="C708" s="200"/>
      <c r="D708" s="13" t="s">
        <v>20</v>
      </c>
      <c r="E708" s="14" t="s">
        <v>21</v>
      </c>
      <c r="F708" s="15"/>
      <c r="G708" s="16" t="s">
        <v>20</v>
      </c>
      <c r="H708" s="201" t="s">
        <v>22</v>
      </c>
      <c r="I708" s="202"/>
      <c r="J708" s="203"/>
    </row>
    <row r="709" spans="1:10" ht="12.75" customHeight="1">
      <c r="A709" s="17" t="s">
        <v>23</v>
      </c>
      <c r="B709" s="1"/>
      <c r="C709" s="1"/>
      <c r="D709" s="2">
        <v>22000</v>
      </c>
      <c r="E709" s="17" t="s">
        <v>1044</v>
      </c>
      <c r="F709" s="1"/>
      <c r="G709" s="2" t="s">
        <v>25</v>
      </c>
      <c r="H709" s="18" t="s">
        <v>502</v>
      </c>
      <c r="I709" s="6"/>
      <c r="J709" s="19"/>
    </row>
    <row r="710" spans="1:10" ht="12.75" customHeight="1">
      <c r="A710" s="17" t="s">
        <v>77</v>
      </c>
      <c r="B710" s="1"/>
      <c r="C710" s="1"/>
      <c r="D710" s="2" t="s">
        <v>25</v>
      </c>
      <c r="E710" s="17" t="s">
        <v>52</v>
      </c>
      <c r="F710" s="1"/>
      <c r="G710" s="2">
        <v>940</v>
      </c>
      <c r="H710" s="18" t="s">
        <v>504</v>
      </c>
      <c r="I710" s="6"/>
      <c r="J710" s="19"/>
    </row>
    <row r="711" spans="1:10" ht="12.75" customHeight="1">
      <c r="A711" s="17" t="s">
        <v>852</v>
      </c>
      <c r="B711" s="1"/>
      <c r="C711" s="1"/>
      <c r="D711" s="2" t="s">
        <v>25</v>
      </c>
      <c r="E711" s="17" t="s">
        <v>58</v>
      </c>
      <c r="F711" s="1"/>
      <c r="G711" s="2" t="s">
        <v>25</v>
      </c>
      <c r="H711" s="18" t="s">
        <v>32</v>
      </c>
      <c r="I711" s="6"/>
      <c r="J711" s="19"/>
    </row>
    <row r="712" spans="1:10" ht="12.75" customHeight="1">
      <c r="A712" s="17" t="s">
        <v>27</v>
      </c>
      <c r="B712" s="1"/>
      <c r="C712" s="1"/>
      <c r="D712" s="2" t="s">
        <v>25</v>
      </c>
      <c r="E712" s="17" t="s">
        <v>35</v>
      </c>
      <c r="F712" s="1"/>
      <c r="G712" s="2">
        <v>733</v>
      </c>
      <c r="H712" s="18"/>
      <c r="I712" s="6"/>
      <c r="J712" s="19"/>
    </row>
    <row r="713" spans="1:10" ht="12.75" customHeight="1">
      <c r="A713" s="17" t="s">
        <v>136</v>
      </c>
      <c r="B713" s="1"/>
      <c r="C713" s="1"/>
      <c r="D713" s="2">
        <v>5000</v>
      </c>
      <c r="E713" s="17" t="s">
        <v>286</v>
      </c>
      <c r="F713" s="1"/>
      <c r="G713" s="2" t="s">
        <v>25</v>
      </c>
      <c r="H713" s="18"/>
      <c r="I713" s="6"/>
      <c r="J713" s="19"/>
    </row>
    <row r="714" spans="1:10" ht="12.75" customHeight="1">
      <c r="A714" s="17" t="s">
        <v>78</v>
      </c>
      <c r="B714" s="1"/>
      <c r="C714" s="1"/>
      <c r="D714" s="2" t="s">
        <v>25</v>
      </c>
      <c r="E714" s="17" t="s">
        <v>39</v>
      </c>
      <c r="F714" s="1"/>
      <c r="G714" s="2">
        <v>100</v>
      </c>
      <c r="H714" s="18"/>
      <c r="I714" s="6"/>
      <c r="J714" s="19"/>
    </row>
    <row r="715" spans="1:10" ht="12.75" customHeight="1">
      <c r="A715" s="176" t="s">
        <v>852</v>
      </c>
      <c r="B715" s="6"/>
      <c r="C715" s="6"/>
      <c r="D715" s="2">
        <v>4773</v>
      </c>
      <c r="E715" s="17" t="s">
        <v>78</v>
      </c>
      <c r="F715" s="1"/>
      <c r="G715" s="2" t="s">
        <v>25</v>
      </c>
      <c r="H715" s="18"/>
      <c r="I715" s="6"/>
      <c r="J715" s="19"/>
    </row>
    <row r="716" spans="1:10" ht="12.75" customHeight="1">
      <c r="A716" s="204" t="s">
        <v>42</v>
      </c>
      <c r="B716" s="205"/>
      <c r="C716" s="206"/>
      <c r="D716" s="229">
        <f>SUM(D709:D715)</f>
        <v>31773</v>
      </c>
      <c r="E716" s="1" t="s">
        <v>43</v>
      </c>
      <c r="F716" s="1"/>
      <c r="G716" s="2" t="s">
        <v>25</v>
      </c>
      <c r="H716" s="18"/>
      <c r="I716" s="6"/>
      <c r="J716" s="19"/>
    </row>
    <row r="717" spans="1:10" ht="12.75" customHeight="1">
      <c r="A717" s="207"/>
      <c r="B717" s="197"/>
      <c r="C717" s="208"/>
      <c r="D717" s="230"/>
      <c r="E717" s="21" t="s">
        <v>21</v>
      </c>
      <c r="F717" s="22"/>
      <c r="G717" s="13">
        <f>SUM(G709:G716)</f>
        <v>1773</v>
      </c>
      <c r="H717" s="21" t="s">
        <v>44</v>
      </c>
      <c r="I717" s="22"/>
      <c r="J717" s="13">
        <f>D716-G717</f>
        <v>30000</v>
      </c>
    </row>
    <row r="718" spans="1:10" ht="12.75" customHeight="1">
      <c r="A718" s="3" t="s">
        <v>45</v>
      </c>
      <c r="B718" s="3"/>
      <c r="C718" s="3"/>
      <c r="D718" s="3"/>
      <c r="E718" s="3"/>
      <c r="F718" s="3"/>
      <c r="G718" s="3" t="s">
        <v>996</v>
      </c>
      <c r="H718" s="3"/>
      <c r="I718" s="3"/>
      <c r="J718" s="3"/>
    </row>
    <row r="719" spans="1:10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2.75" customHeight="1">
      <c r="A720" s="184" t="s">
        <v>0</v>
      </c>
      <c r="B720" s="185"/>
      <c r="C720" s="185"/>
      <c r="D720" s="185"/>
      <c r="E720" s="185"/>
      <c r="F720" s="185"/>
      <c r="G720" s="185"/>
      <c r="H720" s="185"/>
      <c r="I720" s="185"/>
      <c r="J720" s="186"/>
    </row>
    <row r="721" spans="1:10" ht="12.75" customHeight="1">
      <c r="A721" s="187" t="s">
        <v>1</v>
      </c>
      <c r="B721" s="188"/>
      <c r="C721" s="188"/>
      <c r="D721" s="188"/>
      <c r="E721" s="188"/>
      <c r="F721" s="188"/>
      <c r="G721" s="188"/>
      <c r="H721" s="188"/>
      <c r="I721" s="188"/>
      <c r="J721" s="189"/>
    </row>
    <row r="722" spans="1:10" ht="12.75" customHeight="1">
      <c r="A722" s="1" t="s">
        <v>2</v>
      </c>
      <c r="B722" s="191"/>
      <c r="C722" s="191"/>
      <c r="D722" s="191"/>
      <c r="E722" s="2"/>
      <c r="F722" s="3"/>
      <c r="G722" s="1" t="s">
        <v>4</v>
      </c>
      <c r="H722" s="1"/>
      <c r="I722" s="2" t="s">
        <v>922</v>
      </c>
      <c r="J722" s="2"/>
    </row>
    <row r="723" spans="1:10" ht="12.75" customHeight="1">
      <c r="A723" s="1" t="s">
        <v>6</v>
      </c>
      <c r="B723" s="1"/>
      <c r="C723" s="192" t="s">
        <v>1045</v>
      </c>
      <c r="D723" s="192"/>
      <c r="E723" s="192"/>
      <c r="F723" s="3"/>
      <c r="G723" s="1" t="s">
        <v>8</v>
      </c>
      <c r="H723" s="193" t="s">
        <v>9</v>
      </c>
      <c r="I723" s="193"/>
      <c r="J723" s="193"/>
    </row>
    <row r="724" spans="1:10" ht="12.75" customHeight="1">
      <c r="A724" s="6" t="s">
        <v>10</v>
      </c>
      <c r="B724" s="6"/>
      <c r="C724" s="194" t="s">
        <v>1046</v>
      </c>
      <c r="D724" s="194"/>
      <c r="E724" s="194"/>
      <c r="F724" s="3"/>
      <c r="G724" s="1" t="s">
        <v>12</v>
      </c>
      <c r="H724" s="195" t="s">
        <v>13</v>
      </c>
      <c r="I724" s="195"/>
      <c r="J724" s="195"/>
    </row>
    <row r="725" spans="1:10" ht="12.75" customHeight="1">
      <c r="A725" s="2" t="s">
        <v>14</v>
      </c>
      <c r="B725" s="2"/>
      <c r="C725" s="2" t="s">
        <v>15</v>
      </c>
      <c r="D725" s="2"/>
      <c r="E725" s="2"/>
      <c r="F725" s="3"/>
      <c r="G725" s="1" t="s">
        <v>16</v>
      </c>
      <c r="H725" s="209" t="s">
        <v>973</v>
      </c>
      <c r="I725" s="209"/>
      <c r="J725" s="209"/>
    </row>
    <row r="726" spans="1:10" ht="12.75" customHeight="1">
      <c r="A726" s="2">
        <v>30</v>
      </c>
      <c r="B726" s="2"/>
      <c r="C726" s="2">
        <f>A726-H726</f>
        <v>0</v>
      </c>
      <c r="D726" s="2"/>
      <c r="E726" s="2"/>
      <c r="F726" s="3"/>
      <c r="G726" s="8" t="s">
        <v>18</v>
      </c>
      <c r="H726" s="197">
        <v>30</v>
      </c>
      <c r="I726" s="197"/>
      <c r="J726" s="197"/>
    </row>
    <row r="727" spans="1:10" ht="12.75" customHeight="1">
      <c r="A727" s="198" t="s">
        <v>19</v>
      </c>
      <c r="B727" s="199"/>
      <c r="C727" s="200"/>
      <c r="D727" s="13" t="s">
        <v>20</v>
      </c>
      <c r="E727" s="14" t="s">
        <v>21</v>
      </c>
      <c r="F727" s="15"/>
      <c r="G727" s="16" t="s">
        <v>20</v>
      </c>
      <c r="H727" s="201" t="s">
        <v>22</v>
      </c>
      <c r="I727" s="202"/>
      <c r="J727" s="203"/>
    </row>
    <row r="728" spans="1:10" ht="12.75" customHeight="1">
      <c r="A728" s="17" t="s">
        <v>23</v>
      </c>
      <c r="B728" s="1"/>
      <c r="C728" s="1"/>
      <c r="D728" s="2">
        <v>10000</v>
      </c>
      <c r="E728" s="17" t="s">
        <v>89</v>
      </c>
      <c r="F728" s="1"/>
      <c r="G728" s="2" t="s">
        <v>25</v>
      </c>
      <c r="H728" s="18" t="s">
        <v>502</v>
      </c>
      <c r="I728" s="6"/>
      <c r="J728" s="19"/>
    </row>
    <row r="729" spans="1:10" ht="12.75" customHeight="1">
      <c r="A729" s="17" t="s">
        <v>77</v>
      </c>
      <c r="B729" s="1"/>
      <c r="C729" s="1"/>
      <c r="D729" s="2" t="s">
        <v>25</v>
      </c>
      <c r="E729" s="17" t="s">
        <v>52</v>
      </c>
      <c r="F729" s="1"/>
      <c r="G729" s="2" t="s">
        <v>25</v>
      </c>
      <c r="H729" s="18" t="s">
        <v>504</v>
      </c>
      <c r="I729" s="6"/>
      <c r="J729" s="19"/>
    </row>
    <row r="730" spans="1:10" ht="12.75" customHeight="1">
      <c r="A730" s="17" t="s">
        <v>72</v>
      </c>
      <c r="B730" s="1"/>
      <c r="C730" s="1"/>
      <c r="D730" s="2" t="s">
        <v>25</v>
      </c>
      <c r="E730" s="17" t="s">
        <v>1047</v>
      </c>
      <c r="F730" s="1"/>
      <c r="G730" s="2" t="s">
        <v>25</v>
      </c>
      <c r="H730" s="18" t="s">
        <v>32</v>
      </c>
      <c r="I730" s="6"/>
      <c r="J730" s="19"/>
    </row>
    <row r="731" spans="1:10" ht="12.75" customHeight="1">
      <c r="A731" s="17" t="s">
        <v>963</v>
      </c>
      <c r="B731" s="1"/>
      <c r="C731" s="1"/>
      <c r="D731" s="2" t="s">
        <v>25</v>
      </c>
      <c r="E731" s="17" t="s">
        <v>35</v>
      </c>
      <c r="F731" s="1"/>
      <c r="G731" s="2" t="s">
        <v>25</v>
      </c>
      <c r="H731" s="18"/>
      <c r="I731" s="6"/>
      <c r="J731" s="19"/>
    </row>
    <row r="732" spans="1:10" ht="12.75" customHeight="1">
      <c r="A732" s="17" t="s">
        <v>136</v>
      </c>
      <c r="B732" s="1"/>
      <c r="C732" s="1"/>
      <c r="D732" s="2" t="s">
        <v>25</v>
      </c>
      <c r="E732" s="17" t="s">
        <v>286</v>
      </c>
      <c r="F732" s="1"/>
      <c r="G732" s="2" t="s">
        <v>25</v>
      </c>
      <c r="H732" s="18"/>
      <c r="I732" s="6"/>
      <c r="J732" s="19"/>
    </row>
    <row r="733" spans="1:10" ht="12.75" customHeight="1">
      <c r="A733" s="17" t="s">
        <v>78</v>
      </c>
      <c r="B733" s="1"/>
      <c r="C733" s="1"/>
      <c r="D733" s="2" t="s">
        <v>25</v>
      </c>
      <c r="E733" s="17" t="s">
        <v>39</v>
      </c>
      <c r="F733" s="1"/>
      <c r="G733" s="2">
        <v>100</v>
      </c>
      <c r="H733" s="18"/>
      <c r="I733" s="6"/>
      <c r="J733" s="19"/>
    </row>
    <row r="734" spans="1:10" ht="12.75" customHeight="1">
      <c r="A734" s="18" t="s">
        <v>40</v>
      </c>
      <c r="B734" s="6"/>
      <c r="C734" s="6"/>
      <c r="D734" s="2" t="s">
        <v>25</v>
      </c>
      <c r="E734" s="17" t="s">
        <v>78</v>
      </c>
      <c r="F734" s="1"/>
      <c r="G734" s="2" t="s">
        <v>25</v>
      </c>
      <c r="H734" s="18"/>
      <c r="I734" s="6"/>
      <c r="J734" s="19"/>
    </row>
    <row r="735" spans="1:10" ht="12.75" customHeight="1">
      <c r="A735" s="204" t="s">
        <v>42</v>
      </c>
      <c r="B735" s="205"/>
      <c r="C735" s="206"/>
      <c r="D735" s="229">
        <f>SUM(D728:D734)</f>
        <v>10000</v>
      </c>
      <c r="E735" s="1" t="s">
        <v>43</v>
      </c>
      <c r="F735" s="1"/>
      <c r="G735" s="2" t="s">
        <v>25</v>
      </c>
      <c r="H735" s="18"/>
      <c r="I735" s="6"/>
      <c r="J735" s="19"/>
    </row>
    <row r="736" spans="1:10" ht="12.75" customHeight="1">
      <c r="A736" s="207"/>
      <c r="B736" s="197"/>
      <c r="C736" s="208"/>
      <c r="D736" s="230"/>
      <c r="E736" s="21" t="s">
        <v>21</v>
      </c>
      <c r="F736" s="22"/>
      <c r="G736" s="13">
        <f>SUM(G728:G735)</f>
        <v>100</v>
      </c>
      <c r="H736" s="21" t="s">
        <v>44</v>
      </c>
      <c r="I736" s="22"/>
      <c r="J736" s="13">
        <f>D735-G736</f>
        <v>9900</v>
      </c>
    </row>
    <row r="737" spans="1:10" ht="12.75" customHeight="1">
      <c r="A737" s="3" t="s">
        <v>45</v>
      </c>
      <c r="B737" s="3"/>
      <c r="C737" s="3"/>
      <c r="D737" s="3"/>
      <c r="E737" s="3"/>
      <c r="F737" s="3"/>
      <c r="G737" s="3" t="s">
        <v>996</v>
      </c>
      <c r="H737" s="3"/>
      <c r="I737" s="3"/>
      <c r="J737" s="3"/>
    </row>
    <row r="738" spans="1:10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2.75" customHeight="1">
      <c r="A739" s="3"/>
      <c r="B739" s="3" t="s">
        <v>47</v>
      </c>
      <c r="C739" s="3"/>
      <c r="D739" s="3"/>
      <c r="E739" s="3" t="s">
        <v>48</v>
      </c>
      <c r="F739" s="3"/>
      <c r="G739" s="3"/>
      <c r="H739" s="3" t="s">
        <v>49</v>
      </c>
      <c r="I739" s="3"/>
      <c r="J739" s="3"/>
    </row>
    <row r="740" spans="1:10" ht="29.25" customHeight="1">
      <c r="A740" s="249" t="s">
        <v>264</v>
      </c>
      <c r="B740" s="250"/>
      <c r="C740" s="250"/>
      <c r="D740" s="250"/>
      <c r="E740" s="251"/>
      <c r="F740" s="249">
        <f>J736+J717+J697+J677+J657+J637+J617+J597+J577+J557+J537+J517+J497+J477++J457+J437+J417+J397+J377+J357+J337+J317+J297+J277+J257+J237+J217+J197+J177+J157+J137+J117+J97+J77+J57+J37+J17</f>
        <v>1399942</v>
      </c>
      <c r="G740" s="250"/>
      <c r="H740" s="250"/>
      <c r="I740" s="250"/>
      <c r="J740" s="251"/>
    </row>
    <row r="743" spans="1:10">
      <c r="A743" s="29"/>
      <c r="B743" s="29"/>
      <c r="C743" s="29"/>
      <c r="D743" s="29"/>
      <c r="E743" s="29"/>
      <c r="F743" s="30"/>
      <c r="G743" s="30"/>
      <c r="H743" s="30"/>
      <c r="I743" s="30"/>
    </row>
    <row r="744" spans="1:10">
      <c r="A744" s="31"/>
      <c r="B744" s="252" t="s">
        <v>265</v>
      </c>
      <c r="C744" s="252"/>
      <c r="D744" s="252"/>
      <c r="E744" s="33"/>
      <c r="F744" s="253" t="s">
        <v>266</v>
      </c>
      <c r="G744" s="253"/>
      <c r="H744" s="253"/>
      <c r="I744" s="253"/>
    </row>
    <row r="745" spans="1:10">
      <c r="A745" s="31"/>
      <c r="B745" s="34"/>
      <c r="C745" s="34"/>
      <c r="D745" s="34"/>
      <c r="E745" s="33"/>
      <c r="F745" s="35"/>
      <c r="G745" s="35"/>
      <c r="H745" s="35"/>
      <c r="I745" s="35"/>
    </row>
    <row r="746" spans="1:10">
      <c r="A746" s="31"/>
      <c r="B746" s="34"/>
      <c r="C746" s="34"/>
      <c r="D746" s="34"/>
      <c r="E746" s="33"/>
      <c r="F746" s="35"/>
      <c r="G746" s="35"/>
      <c r="H746" s="35"/>
      <c r="I746" s="35"/>
    </row>
    <row r="747" spans="1:10">
      <c r="A747" s="31"/>
      <c r="B747" s="34"/>
      <c r="C747" s="34"/>
      <c r="D747" s="34"/>
      <c r="E747" s="33"/>
      <c r="F747" s="35"/>
      <c r="G747" s="35"/>
      <c r="H747" s="35"/>
      <c r="I747" s="35"/>
    </row>
    <row r="748" spans="1:10">
      <c r="A748" s="31"/>
      <c r="B748" s="34"/>
      <c r="C748" s="34"/>
      <c r="D748" s="34"/>
      <c r="E748" s="33"/>
      <c r="F748" s="35"/>
      <c r="G748" s="35"/>
      <c r="H748" s="35"/>
      <c r="I748" s="35"/>
    </row>
    <row r="749" spans="1:10">
      <c r="A749" s="31"/>
      <c r="B749" s="31"/>
      <c r="C749" s="31"/>
      <c r="D749" s="31"/>
      <c r="E749" s="31"/>
      <c r="F749" s="36"/>
      <c r="G749" s="36"/>
      <c r="H749" s="36"/>
      <c r="I749" s="36"/>
    </row>
    <row r="750" spans="1:10">
      <c r="A750" s="31"/>
      <c r="B750" s="37"/>
      <c r="C750" s="32" t="s">
        <v>267</v>
      </c>
      <c r="D750" s="32"/>
      <c r="E750" s="31"/>
      <c r="F750" s="253" t="s">
        <v>268</v>
      </c>
      <c r="G750" s="253"/>
      <c r="H750" s="253"/>
      <c r="I750" s="253"/>
    </row>
  </sheetData>
  <mergeCells count="493">
    <mergeCell ref="A96:C97"/>
    <mergeCell ref="A36:C37"/>
    <mergeCell ref="A76:C77"/>
    <mergeCell ref="A216:C217"/>
    <mergeCell ref="A456:C457"/>
    <mergeCell ref="A476:C477"/>
    <mergeCell ref="A436:C437"/>
    <mergeCell ref="A416:C417"/>
    <mergeCell ref="A396:C397"/>
    <mergeCell ref="A376:C377"/>
    <mergeCell ref="A356:C357"/>
    <mergeCell ref="A336:C337"/>
    <mergeCell ref="A316:C317"/>
    <mergeCell ref="A421:J421"/>
    <mergeCell ref="A422:J422"/>
    <mergeCell ref="C424:E424"/>
    <mergeCell ref="H424:J424"/>
    <mergeCell ref="C425:E425"/>
    <mergeCell ref="H425:J425"/>
    <mergeCell ref="H426:J426"/>
    <mergeCell ref="H427:J427"/>
    <mergeCell ref="A428:C428"/>
    <mergeCell ref="H428:J428"/>
    <mergeCell ref="A401:J401"/>
    <mergeCell ref="D616:D617"/>
    <mergeCell ref="D636:D637"/>
    <mergeCell ref="D656:D657"/>
    <mergeCell ref="D676:D677"/>
    <mergeCell ref="D696:D697"/>
    <mergeCell ref="D716:D717"/>
    <mergeCell ref="D735:D736"/>
    <mergeCell ref="A735:C736"/>
    <mergeCell ref="A716:C717"/>
    <mergeCell ref="A696:C697"/>
    <mergeCell ref="A676:C677"/>
    <mergeCell ref="A656:C657"/>
    <mergeCell ref="A636:C637"/>
    <mergeCell ref="A616:C617"/>
    <mergeCell ref="A727:C727"/>
    <mergeCell ref="A721:J721"/>
    <mergeCell ref="B722:D722"/>
    <mergeCell ref="C723:E723"/>
    <mergeCell ref="H723:J723"/>
    <mergeCell ref="C724:E724"/>
    <mergeCell ref="H724:J724"/>
    <mergeCell ref="H725:J725"/>
    <mergeCell ref="H726:J726"/>
    <mergeCell ref="A702:J702"/>
    <mergeCell ref="D396:D397"/>
    <mergeCell ref="D416:D417"/>
    <mergeCell ref="D436:D437"/>
    <mergeCell ref="D456:D457"/>
    <mergeCell ref="D476:D477"/>
    <mergeCell ref="D496:D497"/>
    <mergeCell ref="D516:D517"/>
    <mergeCell ref="D536:D537"/>
    <mergeCell ref="D556:D557"/>
    <mergeCell ref="C543:D543"/>
    <mergeCell ref="C544:D544"/>
    <mergeCell ref="A488:C488"/>
    <mergeCell ref="A481:J481"/>
    <mergeCell ref="A482:J482"/>
    <mergeCell ref="C483:D483"/>
    <mergeCell ref="C484:D484"/>
    <mergeCell ref="H484:J484"/>
    <mergeCell ref="C485:D485"/>
    <mergeCell ref="H485:J485"/>
    <mergeCell ref="H486:J486"/>
    <mergeCell ref="H487:J487"/>
    <mergeCell ref="A461:J461"/>
    <mergeCell ref="A462:J462"/>
    <mergeCell ref="C464:E464"/>
    <mergeCell ref="H727:J727"/>
    <mergeCell ref="A740:E740"/>
    <mergeCell ref="F740:J740"/>
    <mergeCell ref="B744:D744"/>
    <mergeCell ref="F744:I744"/>
    <mergeCell ref="F750:I750"/>
    <mergeCell ref="D16:D17"/>
    <mergeCell ref="D36:D37"/>
    <mergeCell ref="D56:D57"/>
    <mergeCell ref="D76:D77"/>
    <mergeCell ref="D96:D97"/>
    <mergeCell ref="D116:D117"/>
    <mergeCell ref="D136:D137"/>
    <mergeCell ref="D156:D157"/>
    <mergeCell ref="D176:D177"/>
    <mergeCell ref="D196:D197"/>
    <mergeCell ref="D216:D217"/>
    <mergeCell ref="D236:D237"/>
    <mergeCell ref="D256:D257"/>
    <mergeCell ref="D276:D277"/>
    <mergeCell ref="D296:D297"/>
    <mergeCell ref="D316:D317"/>
    <mergeCell ref="D336:D337"/>
    <mergeCell ref="A720:J720"/>
    <mergeCell ref="B703:D703"/>
    <mergeCell ref="C704:E704"/>
    <mergeCell ref="H704:J704"/>
    <mergeCell ref="C705:E705"/>
    <mergeCell ref="H705:J705"/>
    <mergeCell ref="H706:J706"/>
    <mergeCell ref="H707:J707"/>
    <mergeCell ref="A708:C708"/>
    <mergeCell ref="H708:J708"/>
    <mergeCell ref="C684:E684"/>
    <mergeCell ref="H684:J684"/>
    <mergeCell ref="C685:E685"/>
    <mergeCell ref="H685:J685"/>
    <mergeCell ref="H686:J686"/>
    <mergeCell ref="H687:J687"/>
    <mergeCell ref="A688:C688"/>
    <mergeCell ref="H688:J688"/>
    <mergeCell ref="A701:J701"/>
    <mergeCell ref="C665:E665"/>
    <mergeCell ref="H665:J665"/>
    <mergeCell ref="H666:J666"/>
    <mergeCell ref="H667:J667"/>
    <mergeCell ref="A668:C668"/>
    <mergeCell ref="H668:J668"/>
    <mergeCell ref="A681:J681"/>
    <mergeCell ref="A682:J682"/>
    <mergeCell ref="B683:D683"/>
    <mergeCell ref="H646:J646"/>
    <mergeCell ref="H647:J647"/>
    <mergeCell ref="A648:C648"/>
    <mergeCell ref="H648:J648"/>
    <mergeCell ref="A661:J661"/>
    <mergeCell ref="A662:J662"/>
    <mergeCell ref="B663:D663"/>
    <mergeCell ref="C664:E664"/>
    <mergeCell ref="H664:J664"/>
    <mergeCell ref="A628:C628"/>
    <mergeCell ref="H628:J628"/>
    <mergeCell ref="A641:J641"/>
    <mergeCell ref="A642:J642"/>
    <mergeCell ref="B643:D643"/>
    <mergeCell ref="C644:E644"/>
    <mergeCell ref="H644:J644"/>
    <mergeCell ref="C645:E645"/>
    <mergeCell ref="H645:J645"/>
    <mergeCell ref="A621:J621"/>
    <mergeCell ref="A622:J622"/>
    <mergeCell ref="B623:D623"/>
    <mergeCell ref="C624:E624"/>
    <mergeCell ref="H624:J624"/>
    <mergeCell ref="C625:E625"/>
    <mergeCell ref="H625:J625"/>
    <mergeCell ref="H626:J626"/>
    <mergeCell ref="H627:J627"/>
    <mergeCell ref="B603:D603"/>
    <mergeCell ref="C604:E604"/>
    <mergeCell ref="H604:J604"/>
    <mergeCell ref="C605:E605"/>
    <mergeCell ref="H605:J605"/>
    <mergeCell ref="H606:J606"/>
    <mergeCell ref="H607:J607"/>
    <mergeCell ref="A608:C608"/>
    <mergeCell ref="H608:J608"/>
    <mergeCell ref="C585:E585"/>
    <mergeCell ref="H585:J585"/>
    <mergeCell ref="H586:J586"/>
    <mergeCell ref="H587:J587"/>
    <mergeCell ref="A588:C588"/>
    <mergeCell ref="H588:J588"/>
    <mergeCell ref="B591:C591"/>
    <mergeCell ref="A601:J601"/>
    <mergeCell ref="A602:J602"/>
    <mergeCell ref="D596:D597"/>
    <mergeCell ref="A596:C597"/>
    <mergeCell ref="H567:J567"/>
    <mergeCell ref="A568:C568"/>
    <mergeCell ref="H568:J568"/>
    <mergeCell ref="B570:C570"/>
    <mergeCell ref="A581:J581"/>
    <mergeCell ref="A582:J582"/>
    <mergeCell ref="C583:E583"/>
    <mergeCell ref="C584:E584"/>
    <mergeCell ref="H584:J584"/>
    <mergeCell ref="D576:D577"/>
    <mergeCell ref="A576:C577"/>
    <mergeCell ref="B550:C550"/>
    <mergeCell ref="A561:J561"/>
    <mergeCell ref="A562:J562"/>
    <mergeCell ref="C563:D563"/>
    <mergeCell ref="C564:D564"/>
    <mergeCell ref="H564:J564"/>
    <mergeCell ref="C565:D565"/>
    <mergeCell ref="H565:J565"/>
    <mergeCell ref="H566:J566"/>
    <mergeCell ref="A556:C557"/>
    <mergeCell ref="H544:J544"/>
    <mergeCell ref="C545:D545"/>
    <mergeCell ref="H545:J545"/>
    <mergeCell ref="H546:J546"/>
    <mergeCell ref="H547:J547"/>
    <mergeCell ref="A548:C548"/>
    <mergeCell ref="H548:J548"/>
    <mergeCell ref="C525:D525"/>
    <mergeCell ref="H525:J525"/>
    <mergeCell ref="H526:J526"/>
    <mergeCell ref="H527:J527"/>
    <mergeCell ref="A528:C528"/>
    <mergeCell ref="H528:J528"/>
    <mergeCell ref="B530:C530"/>
    <mergeCell ref="A541:J541"/>
    <mergeCell ref="A542:J542"/>
    <mergeCell ref="A536:C537"/>
    <mergeCell ref="H506:J506"/>
    <mergeCell ref="H507:J507"/>
    <mergeCell ref="A508:C508"/>
    <mergeCell ref="H508:J508"/>
    <mergeCell ref="B510:C510"/>
    <mergeCell ref="A521:J521"/>
    <mergeCell ref="A522:J522"/>
    <mergeCell ref="C523:D523"/>
    <mergeCell ref="C524:D524"/>
    <mergeCell ref="H524:J524"/>
    <mergeCell ref="A516:C517"/>
    <mergeCell ref="H488:J488"/>
    <mergeCell ref="B490:C490"/>
    <mergeCell ref="A501:J501"/>
    <mergeCell ref="A502:J502"/>
    <mergeCell ref="C503:D503"/>
    <mergeCell ref="C504:D504"/>
    <mergeCell ref="H504:J504"/>
    <mergeCell ref="C505:D505"/>
    <mergeCell ref="H505:J505"/>
    <mergeCell ref="A496:C497"/>
    <mergeCell ref="H464:J464"/>
    <mergeCell ref="C465:E465"/>
    <mergeCell ref="H465:J465"/>
    <mergeCell ref="H466:J466"/>
    <mergeCell ref="H467:J467"/>
    <mergeCell ref="A468:C468"/>
    <mergeCell ref="H468:J468"/>
    <mergeCell ref="A441:J441"/>
    <mergeCell ref="A442:J442"/>
    <mergeCell ref="C444:E444"/>
    <mergeCell ref="H444:J444"/>
    <mergeCell ref="C445:E445"/>
    <mergeCell ref="H445:J445"/>
    <mergeCell ref="H446:J446"/>
    <mergeCell ref="H447:J447"/>
    <mergeCell ref="A448:C448"/>
    <mergeCell ref="H448:J448"/>
    <mergeCell ref="A402:J402"/>
    <mergeCell ref="C404:E404"/>
    <mergeCell ref="H404:J404"/>
    <mergeCell ref="C405:E405"/>
    <mergeCell ref="H405:J405"/>
    <mergeCell ref="H406:J406"/>
    <mergeCell ref="H407:J407"/>
    <mergeCell ref="A408:C408"/>
    <mergeCell ref="H408:J408"/>
    <mergeCell ref="A382:J382"/>
    <mergeCell ref="C384:E384"/>
    <mergeCell ref="H384:J384"/>
    <mergeCell ref="C385:E385"/>
    <mergeCell ref="H385:J385"/>
    <mergeCell ref="H386:J386"/>
    <mergeCell ref="H387:J387"/>
    <mergeCell ref="A388:C388"/>
    <mergeCell ref="H388:J388"/>
    <mergeCell ref="C364:D364"/>
    <mergeCell ref="H364:J364"/>
    <mergeCell ref="H365:J365"/>
    <mergeCell ref="H366:J366"/>
    <mergeCell ref="H367:J367"/>
    <mergeCell ref="A368:C368"/>
    <mergeCell ref="H368:J368"/>
    <mergeCell ref="B370:C370"/>
    <mergeCell ref="A381:J381"/>
    <mergeCell ref="D376:D377"/>
    <mergeCell ref="C345:E345"/>
    <mergeCell ref="H345:J345"/>
    <mergeCell ref="H346:J346"/>
    <mergeCell ref="H347:J347"/>
    <mergeCell ref="A348:C348"/>
    <mergeCell ref="H348:J348"/>
    <mergeCell ref="A361:J361"/>
    <mergeCell ref="A362:J362"/>
    <mergeCell ref="C363:D363"/>
    <mergeCell ref="D356:D357"/>
    <mergeCell ref="H326:J326"/>
    <mergeCell ref="H327:J327"/>
    <mergeCell ref="A328:C328"/>
    <mergeCell ref="H328:J328"/>
    <mergeCell ref="A341:J341"/>
    <mergeCell ref="A342:J342"/>
    <mergeCell ref="C343:D343"/>
    <mergeCell ref="C344:D344"/>
    <mergeCell ref="H344:J344"/>
    <mergeCell ref="H306:J306"/>
    <mergeCell ref="H307:J307"/>
    <mergeCell ref="A308:C308"/>
    <mergeCell ref="H308:J308"/>
    <mergeCell ref="A321:J321"/>
    <mergeCell ref="A322:J322"/>
    <mergeCell ref="C323:D323"/>
    <mergeCell ref="H324:J324"/>
    <mergeCell ref="C325:D325"/>
    <mergeCell ref="H325:J325"/>
    <mergeCell ref="A288:C288"/>
    <mergeCell ref="H288:J288"/>
    <mergeCell ref="B290:C290"/>
    <mergeCell ref="A301:J301"/>
    <mergeCell ref="A302:J302"/>
    <mergeCell ref="C303:D303"/>
    <mergeCell ref="H304:J304"/>
    <mergeCell ref="C305:D305"/>
    <mergeCell ref="H305:J305"/>
    <mergeCell ref="A296:C297"/>
    <mergeCell ref="B270:C270"/>
    <mergeCell ref="A281:J281"/>
    <mergeCell ref="A282:J282"/>
    <mergeCell ref="C283:D283"/>
    <mergeCell ref="C284:D284"/>
    <mergeCell ref="H284:J284"/>
    <mergeCell ref="H285:J285"/>
    <mergeCell ref="H286:J286"/>
    <mergeCell ref="H287:J287"/>
    <mergeCell ref="A276:C277"/>
    <mergeCell ref="A262:J262"/>
    <mergeCell ref="C263:D263"/>
    <mergeCell ref="C264:D264"/>
    <mergeCell ref="H264:J264"/>
    <mergeCell ref="C265:D265"/>
    <mergeCell ref="H265:J265"/>
    <mergeCell ref="H266:J266"/>
    <mergeCell ref="H267:J267"/>
    <mergeCell ref="A268:C268"/>
    <mergeCell ref="H268:J268"/>
    <mergeCell ref="C244:D244"/>
    <mergeCell ref="H244:J244"/>
    <mergeCell ref="H245:J245"/>
    <mergeCell ref="H246:J246"/>
    <mergeCell ref="H247:J247"/>
    <mergeCell ref="A248:C248"/>
    <mergeCell ref="H248:J248"/>
    <mergeCell ref="B250:C250"/>
    <mergeCell ref="A261:J261"/>
    <mergeCell ref="A256:C257"/>
    <mergeCell ref="H225:J225"/>
    <mergeCell ref="H226:J226"/>
    <mergeCell ref="H227:J227"/>
    <mergeCell ref="A228:C228"/>
    <mergeCell ref="H228:J228"/>
    <mergeCell ref="B230:C230"/>
    <mergeCell ref="A241:J241"/>
    <mergeCell ref="A242:J242"/>
    <mergeCell ref="C243:D243"/>
    <mergeCell ref="H243:J243"/>
    <mergeCell ref="A236:C237"/>
    <mergeCell ref="H207:J207"/>
    <mergeCell ref="A208:C208"/>
    <mergeCell ref="H208:J208"/>
    <mergeCell ref="B210:C210"/>
    <mergeCell ref="A221:J221"/>
    <mergeCell ref="A222:J222"/>
    <mergeCell ref="C223:D223"/>
    <mergeCell ref="H223:J223"/>
    <mergeCell ref="C224:D224"/>
    <mergeCell ref="H224:J224"/>
    <mergeCell ref="B190:C190"/>
    <mergeCell ref="A201:J201"/>
    <mergeCell ref="A202:J202"/>
    <mergeCell ref="C203:D203"/>
    <mergeCell ref="H203:J203"/>
    <mergeCell ref="C204:D204"/>
    <mergeCell ref="H204:J204"/>
    <mergeCell ref="H205:J205"/>
    <mergeCell ref="H206:J206"/>
    <mergeCell ref="A196:C197"/>
    <mergeCell ref="A182:J182"/>
    <mergeCell ref="C183:D183"/>
    <mergeCell ref="H183:J183"/>
    <mergeCell ref="C184:D184"/>
    <mergeCell ref="H184:J184"/>
    <mergeCell ref="H185:J185"/>
    <mergeCell ref="H186:J186"/>
    <mergeCell ref="H187:J187"/>
    <mergeCell ref="A188:C188"/>
    <mergeCell ref="H188:J188"/>
    <mergeCell ref="C164:D164"/>
    <mergeCell ref="H164:J164"/>
    <mergeCell ref="H165:J165"/>
    <mergeCell ref="H166:J166"/>
    <mergeCell ref="H167:J167"/>
    <mergeCell ref="A168:C168"/>
    <mergeCell ref="H168:J168"/>
    <mergeCell ref="B170:C170"/>
    <mergeCell ref="A181:J181"/>
    <mergeCell ref="A176:C177"/>
    <mergeCell ref="H145:J145"/>
    <mergeCell ref="H146:J146"/>
    <mergeCell ref="H147:J147"/>
    <mergeCell ref="A148:C148"/>
    <mergeCell ref="H148:J148"/>
    <mergeCell ref="B150:C150"/>
    <mergeCell ref="A161:J161"/>
    <mergeCell ref="A162:J162"/>
    <mergeCell ref="C163:D163"/>
    <mergeCell ref="H163:J163"/>
    <mergeCell ref="A156:C157"/>
    <mergeCell ref="H127:J127"/>
    <mergeCell ref="A128:C128"/>
    <mergeCell ref="H128:J128"/>
    <mergeCell ref="B130:C130"/>
    <mergeCell ref="A141:J141"/>
    <mergeCell ref="A142:J142"/>
    <mergeCell ref="C143:D143"/>
    <mergeCell ref="H143:J143"/>
    <mergeCell ref="C144:D144"/>
    <mergeCell ref="H144:J144"/>
    <mergeCell ref="A136:C137"/>
    <mergeCell ref="B110:C110"/>
    <mergeCell ref="A121:J121"/>
    <mergeCell ref="A122:J122"/>
    <mergeCell ref="C123:D123"/>
    <mergeCell ref="H123:J123"/>
    <mergeCell ref="C124:D124"/>
    <mergeCell ref="H124:J124"/>
    <mergeCell ref="H125:J125"/>
    <mergeCell ref="H126:J126"/>
    <mergeCell ref="A116:C117"/>
    <mergeCell ref="A101:J101"/>
    <mergeCell ref="A102:J102"/>
    <mergeCell ref="C103:D103"/>
    <mergeCell ref="H103:J103"/>
    <mergeCell ref="H104:J104"/>
    <mergeCell ref="H105:J105"/>
    <mergeCell ref="H106:J106"/>
    <mergeCell ref="H107:J107"/>
    <mergeCell ref="A108:C108"/>
    <mergeCell ref="H108:J108"/>
    <mergeCell ref="C83:D83"/>
    <mergeCell ref="H83:J83"/>
    <mergeCell ref="H84:J84"/>
    <mergeCell ref="H85:J85"/>
    <mergeCell ref="H86:J86"/>
    <mergeCell ref="H87:J87"/>
    <mergeCell ref="A88:C88"/>
    <mergeCell ref="H88:J88"/>
    <mergeCell ref="B90:C90"/>
    <mergeCell ref="C64:D64"/>
    <mergeCell ref="H64:J64"/>
    <mergeCell ref="H65:J65"/>
    <mergeCell ref="H66:J66"/>
    <mergeCell ref="A68:C68"/>
    <mergeCell ref="H68:J68"/>
    <mergeCell ref="B70:C70"/>
    <mergeCell ref="A81:J81"/>
    <mergeCell ref="A82:J82"/>
    <mergeCell ref="H45:J45"/>
    <mergeCell ref="H46:J46"/>
    <mergeCell ref="A48:C48"/>
    <mergeCell ref="H48:J48"/>
    <mergeCell ref="B50:C50"/>
    <mergeCell ref="A61:J61"/>
    <mergeCell ref="A62:J62"/>
    <mergeCell ref="C63:D63"/>
    <mergeCell ref="H63:J63"/>
    <mergeCell ref="A56:C57"/>
    <mergeCell ref="H26:J26"/>
    <mergeCell ref="H27:J27"/>
    <mergeCell ref="A28:C28"/>
    <mergeCell ref="H28:J28"/>
    <mergeCell ref="A41:J41"/>
    <mergeCell ref="A42:J42"/>
    <mergeCell ref="C43:D43"/>
    <mergeCell ref="H43:J43"/>
    <mergeCell ref="C44:D44"/>
    <mergeCell ref="H44:J44"/>
    <mergeCell ref="A8:C8"/>
    <mergeCell ref="H8:J8"/>
    <mergeCell ref="A21:J21"/>
    <mergeCell ref="A22:J22"/>
    <mergeCell ref="C23:D23"/>
    <mergeCell ref="C24:D24"/>
    <mergeCell ref="H24:J24"/>
    <mergeCell ref="C25:D25"/>
    <mergeCell ref="H25:J25"/>
    <mergeCell ref="A16:C17"/>
    <mergeCell ref="A1:J1"/>
    <mergeCell ref="A2:J2"/>
    <mergeCell ref="C3:D3"/>
    <mergeCell ref="C4:D4"/>
    <mergeCell ref="H4:J4"/>
    <mergeCell ref="C5:D5"/>
    <mergeCell ref="H5:J5"/>
    <mergeCell ref="H6:J6"/>
    <mergeCell ref="H7:J7"/>
  </mergeCells>
  <pageMargins left="0.7" right="0.7" top="0.75" bottom="0.75" header="0.3" footer="0.3"/>
  <pageSetup scale="90" orientation="portrait" r:id="rId1"/>
  <rowBreaks count="12" manualBreakCount="12">
    <brk id="60" max="16383" man="1"/>
    <brk id="120" max="16383" man="1"/>
    <brk id="180" max="16383" man="1"/>
    <brk id="240" max="16383" man="1"/>
    <brk id="300" max="16383" man="1"/>
    <brk id="360" max="16383" man="1"/>
    <brk id="420" max="16383" man="1"/>
    <brk id="480" max="16383" man="1"/>
    <brk id="540" max="16383" man="1"/>
    <brk id="600" max="16383" man="1"/>
    <brk id="660" max="16383" man="1"/>
    <brk id="719" max="16383" man="1"/>
  </rowBreaks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J70"/>
  <sheetViews>
    <sheetView topLeftCell="A50" workbookViewId="0">
      <selection sqref="A1:J70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4" t="s">
        <v>1048</v>
      </c>
      <c r="D3" s="194"/>
      <c r="E3" s="2"/>
      <c r="F3" s="3"/>
      <c r="G3" s="1" t="s">
        <v>4</v>
      </c>
      <c r="H3" s="209" t="s">
        <v>1049</v>
      </c>
      <c r="I3" s="209"/>
      <c r="J3" s="209"/>
    </row>
    <row r="4" spans="1:10" ht="13.5" customHeight="1">
      <c r="A4" s="1" t="s">
        <v>6</v>
      </c>
      <c r="B4" s="1"/>
      <c r="C4" s="192" t="s">
        <v>1050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6" t="s">
        <v>1051</v>
      </c>
      <c r="D5" s="6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2" t="s">
        <v>14</v>
      </c>
      <c r="B6" s="2"/>
      <c r="C6" s="2" t="s">
        <v>15</v>
      </c>
      <c r="D6" s="2"/>
      <c r="E6" s="2"/>
      <c r="F6" s="3"/>
      <c r="G6" s="1" t="s">
        <v>16</v>
      </c>
      <c r="H6" s="196" t="s">
        <v>945</v>
      </c>
      <c r="I6" s="196"/>
      <c r="J6" s="196"/>
    </row>
    <row r="7" spans="1:10" ht="13.5" customHeight="1">
      <c r="A7" s="2">
        <v>30</v>
      </c>
      <c r="B7" s="2"/>
      <c r="C7" s="2">
        <f>A7-H7</f>
        <v>2</v>
      </c>
      <c r="D7" s="2"/>
      <c r="E7" s="2"/>
      <c r="F7" s="3"/>
      <c r="G7" s="8" t="s">
        <v>18</v>
      </c>
      <c r="H7" s="197">
        <v>28</v>
      </c>
      <c r="I7" s="197"/>
      <c r="J7" s="197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23</v>
      </c>
      <c r="B9" s="1"/>
      <c r="C9" s="1"/>
      <c r="D9" s="2">
        <v>50000</v>
      </c>
      <c r="E9" s="17" t="s">
        <v>24</v>
      </c>
      <c r="F9" s="1"/>
      <c r="G9" s="2" t="s">
        <v>25</v>
      </c>
      <c r="H9" s="18" t="s">
        <v>502</v>
      </c>
      <c r="I9" s="6"/>
      <c r="J9" s="19"/>
    </row>
    <row r="10" spans="1:10" ht="13.5" customHeight="1">
      <c r="A10" s="17" t="s">
        <v>77</v>
      </c>
      <c r="B10" s="209"/>
      <c r="C10" s="209"/>
      <c r="D10" s="2" t="s">
        <v>25</v>
      </c>
      <c r="E10" s="17" t="s">
        <v>28</v>
      </c>
      <c r="F10" s="1"/>
      <c r="G10" s="2" t="s">
        <v>25</v>
      </c>
      <c r="H10" s="18" t="s">
        <v>504</v>
      </c>
      <c r="I10" s="6"/>
      <c r="J10" s="19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52</v>
      </c>
      <c r="F11" s="1"/>
      <c r="G11" s="2" t="s">
        <v>25</v>
      </c>
      <c r="H11" s="18" t="s">
        <v>32</v>
      </c>
      <c r="I11" s="6"/>
      <c r="J11" s="19"/>
    </row>
    <row r="12" spans="1:10" ht="13.5" customHeight="1">
      <c r="A12" s="17" t="s">
        <v>435</v>
      </c>
      <c r="B12" s="1"/>
      <c r="C12" s="1"/>
      <c r="D12" s="2" t="s">
        <v>25</v>
      </c>
      <c r="E12" s="17" t="s">
        <v>71</v>
      </c>
      <c r="F12" s="1"/>
      <c r="G12" s="2">
        <v>3333</v>
      </c>
      <c r="H12" s="18"/>
      <c r="I12" s="36"/>
      <c r="J12" s="19"/>
    </row>
    <row r="13" spans="1:10" ht="13.5" customHeight="1">
      <c r="A13" s="17" t="s">
        <v>72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18"/>
      <c r="I13" s="6"/>
      <c r="J13" s="19"/>
    </row>
    <row r="14" spans="1:10" ht="13.5" customHeight="1">
      <c r="A14" s="17" t="s">
        <v>78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19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41</v>
      </c>
      <c r="F15" s="1"/>
      <c r="G15" s="2" t="s">
        <v>25</v>
      </c>
      <c r="H15" s="18"/>
      <c r="I15" s="6"/>
      <c r="J15" s="19"/>
    </row>
    <row r="16" spans="1:10" ht="13.5" customHeight="1">
      <c r="A16" s="204" t="s">
        <v>42</v>
      </c>
      <c r="B16" s="205"/>
      <c r="C16" s="206"/>
      <c r="D16" s="229">
        <f>SUM(D9:D15)</f>
        <v>50000</v>
      </c>
      <c r="E16" s="1" t="s">
        <v>78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3433</v>
      </c>
      <c r="H17" s="21" t="s">
        <v>44</v>
      </c>
      <c r="I17" s="22"/>
      <c r="J17" s="13">
        <f>D16-G17</f>
        <v>46567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6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4" t="s">
        <v>500</v>
      </c>
      <c r="D23" s="194"/>
      <c r="E23" s="2"/>
      <c r="F23" s="3"/>
      <c r="G23" s="1" t="s">
        <v>4</v>
      </c>
      <c r="H23" s="209" t="s">
        <v>1049</v>
      </c>
      <c r="I23" s="209"/>
      <c r="J23" s="209"/>
    </row>
    <row r="24" spans="1:10" ht="13.5" customHeight="1">
      <c r="A24" s="1" t="s">
        <v>6</v>
      </c>
      <c r="B24" s="1"/>
      <c r="C24" s="192" t="s">
        <v>1052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6" t="s">
        <v>1053</v>
      </c>
      <c r="D25" s="6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196" t="s">
        <v>945</v>
      </c>
      <c r="I26" s="196"/>
      <c r="J26" s="196"/>
    </row>
    <row r="27" spans="1:10" ht="13.5" customHeight="1">
      <c r="A27" s="2">
        <v>30</v>
      </c>
      <c r="B27" s="2"/>
      <c r="C27" s="2">
        <f>A27-H27</f>
        <v>1</v>
      </c>
      <c r="D27" s="2"/>
      <c r="E27" s="2"/>
      <c r="F27" s="3"/>
      <c r="G27" s="8" t="s">
        <v>18</v>
      </c>
      <c r="H27" s="197">
        <v>29</v>
      </c>
      <c r="I27" s="197"/>
      <c r="J27" s="197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2">
        <v>35000</v>
      </c>
      <c r="E29" s="17" t="s">
        <v>24</v>
      </c>
      <c r="F29" s="1"/>
      <c r="G29" s="2">
        <v>8000</v>
      </c>
      <c r="H29" s="18" t="s">
        <v>502</v>
      </c>
      <c r="I29" s="6"/>
      <c r="J29" s="19"/>
    </row>
    <row r="30" spans="1:10" ht="13.5" customHeight="1">
      <c r="A30" s="17" t="s">
        <v>77</v>
      </c>
      <c r="B30" s="209"/>
      <c r="C30" s="209"/>
      <c r="D30" s="2" t="s">
        <v>25</v>
      </c>
      <c r="E30" s="17" t="s">
        <v>28</v>
      </c>
      <c r="F30" s="1"/>
      <c r="G30" s="2">
        <v>5000</v>
      </c>
      <c r="H30" s="18" t="s">
        <v>504</v>
      </c>
      <c r="I30" s="6"/>
      <c r="J30" s="19"/>
    </row>
    <row r="31" spans="1:10" ht="13.5" customHeight="1">
      <c r="A31" s="17" t="s">
        <v>30</v>
      </c>
      <c r="B31" s="1"/>
      <c r="C31" s="1"/>
      <c r="D31" s="2" t="s">
        <v>25</v>
      </c>
      <c r="E31" s="17" t="s">
        <v>52</v>
      </c>
      <c r="F31" s="1"/>
      <c r="G31" s="2" t="s">
        <v>25</v>
      </c>
      <c r="H31" s="18" t="s">
        <v>32</v>
      </c>
      <c r="I31" s="6"/>
      <c r="J31" s="19"/>
    </row>
    <row r="32" spans="1:10" ht="13.5" customHeight="1">
      <c r="A32" s="17" t="s">
        <v>435</v>
      </c>
      <c r="B32" s="1"/>
      <c r="C32" s="1"/>
      <c r="D32" s="2" t="s">
        <v>25</v>
      </c>
      <c r="E32" s="17" t="s">
        <v>71</v>
      </c>
      <c r="F32" s="1"/>
      <c r="G32" s="2">
        <v>1167</v>
      </c>
      <c r="H32" s="18"/>
      <c r="I32" s="36"/>
      <c r="J32" s="19"/>
    </row>
    <row r="33" spans="1:10" ht="13.5" customHeight="1">
      <c r="A33" s="17" t="s">
        <v>72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18"/>
      <c r="I33" s="6"/>
      <c r="J33" s="19"/>
    </row>
    <row r="34" spans="1:10" ht="13.5" customHeight="1">
      <c r="A34" s="17" t="s">
        <v>78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19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41</v>
      </c>
      <c r="F35" s="1"/>
      <c r="G35" s="2" t="s">
        <v>25</v>
      </c>
      <c r="H35" s="18"/>
      <c r="I35" s="6"/>
      <c r="J35" s="19"/>
    </row>
    <row r="36" spans="1:10" ht="13.5" customHeight="1">
      <c r="A36" s="204" t="s">
        <v>42</v>
      </c>
      <c r="B36" s="205"/>
      <c r="C36" s="206"/>
      <c r="D36" s="229">
        <f>SUM(D29:D35)</f>
        <v>35000</v>
      </c>
      <c r="E36" s="1" t="s">
        <v>78</v>
      </c>
      <c r="F36" s="1"/>
      <c r="G36" s="2" t="s">
        <v>25</v>
      </c>
      <c r="H36" s="18"/>
      <c r="I36" s="6"/>
      <c r="J36" s="1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14267</v>
      </c>
      <c r="H37" s="21" t="s">
        <v>44</v>
      </c>
      <c r="I37" s="22"/>
      <c r="J37" s="13">
        <f>D36-G37</f>
        <v>20733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6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B43" s="1"/>
      <c r="C43" s="194" t="s">
        <v>500</v>
      </c>
      <c r="D43" s="194"/>
      <c r="E43" s="2"/>
      <c r="F43" s="3"/>
      <c r="G43" s="1" t="s">
        <v>4</v>
      </c>
      <c r="H43" s="209" t="s">
        <v>1049</v>
      </c>
      <c r="I43" s="209"/>
      <c r="J43" s="209"/>
    </row>
    <row r="44" spans="1:10" ht="13.5" customHeight="1">
      <c r="A44" s="1" t="s">
        <v>6</v>
      </c>
      <c r="B44" s="1"/>
      <c r="C44" s="192" t="s">
        <v>1054</v>
      </c>
      <c r="D44" s="192"/>
      <c r="E44" s="2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6" t="s">
        <v>1055</v>
      </c>
      <c r="D45" s="6"/>
      <c r="E45" s="2"/>
      <c r="F45" s="3"/>
      <c r="G45" s="1" t="s">
        <v>12</v>
      </c>
      <c r="H45" s="195" t="s">
        <v>13</v>
      </c>
      <c r="I45" s="195"/>
      <c r="J45" s="195"/>
    </row>
    <row r="46" spans="1:10" ht="13.5" customHeight="1">
      <c r="A46" s="2" t="s">
        <v>14</v>
      </c>
      <c r="B46" s="2"/>
      <c r="C46" s="2" t="s">
        <v>15</v>
      </c>
      <c r="D46" s="2"/>
      <c r="E46" s="2"/>
      <c r="F46" s="3"/>
      <c r="G46" s="1" t="s">
        <v>16</v>
      </c>
      <c r="H46" s="196" t="s">
        <v>945</v>
      </c>
      <c r="I46" s="196"/>
      <c r="J46" s="196"/>
    </row>
    <row r="47" spans="1:10" ht="13.5" customHeight="1">
      <c r="A47" s="2">
        <v>30</v>
      </c>
      <c r="B47" s="2"/>
      <c r="C47" s="2">
        <f>A47-H47</f>
        <v>0</v>
      </c>
      <c r="D47" s="2"/>
      <c r="E47" s="2"/>
      <c r="F47" s="3"/>
      <c r="G47" s="8" t="s">
        <v>18</v>
      </c>
      <c r="H47" s="197">
        <v>30</v>
      </c>
      <c r="I47" s="197"/>
      <c r="J47" s="197"/>
    </row>
    <row r="48" spans="1:10" ht="13.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23</v>
      </c>
      <c r="B49" s="1"/>
      <c r="C49" s="1"/>
      <c r="D49" s="2">
        <v>30000</v>
      </c>
      <c r="E49" s="17" t="s">
        <v>24</v>
      </c>
      <c r="F49" s="1"/>
      <c r="G49" s="2">
        <v>15000</v>
      </c>
      <c r="H49" s="18" t="s">
        <v>502</v>
      </c>
      <c r="I49" s="6"/>
      <c r="J49" s="19"/>
    </row>
    <row r="50" spans="1:10" ht="13.5" customHeight="1">
      <c r="A50" s="17" t="s">
        <v>77</v>
      </c>
      <c r="B50" s="209"/>
      <c r="C50" s="209"/>
      <c r="D50" s="2" t="s">
        <v>25</v>
      </c>
      <c r="E50" s="17" t="s">
        <v>28</v>
      </c>
      <c r="F50" s="1"/>
      <c r="G50" s="2" t="s">
        <v>25</v>
      </c>
      <c r="H50" s="18" t="s">
        <v>504</v>
      </c>
      <c r="I50" s="6"/>
      <c r="J50" s="19"/>
    </row>
    <row r="51" spans="1:10" ht="13.5" customHeight="1">
      <c r="A51" s="17" t="s">
        <v>30</v>
      </c>
      <c r="B51" s="1"/>
      <c r="C51" s="1"/>
      <c r="D51" s="2" t="s">
        <v>25</v>
      </c>
      <c r="E51" s="17" t="s">
        <v>52</v>
      </c>
      <c r="F51" s="1"/>
      <c r="G51" s="2" t="s">
        <v>25</v>
      </c>
      <c r="H51" s="18" t="s">
        <v>32</v>
      </c>
      <c r="I51" s="6"/>
      <c r="J51" s="19"/>
    </row>
    <row r="52" spans="1:10" ht="13.5" customHeight="1">
      <c r="A52" s="17" t="s">
        <v>435</v>
      </c>
      <c r="B52" s="1"/>
      <c r="C52" s="1"/>
      <c r="D52" s="2" t="s">
        <v>25</v>
      </c>
      <c r="E52" s="17" t="s">
        <v>71</v>
      </c>
      <c r="F52" s="1"/>
      <c r="G52" s="2" t="s">
        <v>25</v>
      </c>
      <c r="H52" s="18"/>
      <c r="I52" s="36"/>
      <c r="J52" s="19"/>
    </row>
    <row r="53" spans="1:10" ht="13.5" customHeight="1">
      <c r="A53" s="17" t="s">
        <v>72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18"/>
      <c r="I53" s="6"/>
      <c r="J53" s="19"/>
    </row>
    <row r="54" spans="1:10" ht="13.5" customHeight="1">
      <c r="A54" s="17" t="s">
        <v>78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19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41</v>
      </c>
      <c r="F55" s="1"/>
      <c r="G55" s="2" t="s">
        <v>25</v>
      </c>
      <c r="H55" s="18"/>
      <c r="I55" s="6"/>
      <c r="J55" s="19"/>
    </row>
    <row r="56" spans="1:10" ht="13.5" customHeight="1">
      <c r="A56" s="204" t="s">
        <v>42</v>
      </c>
      <c r="B56" s="205"/>
      <c r="C56" s="206"/>
      <c r="D56" s="229">
        <f>SUM(D49:D55)</f>
        <v>30000</v>
      </c>
      <c r="E56" s="1" t="s">
        <v>78</v>
      </c>
      <c r="F56" s="1"/>
      <c r="G56" s="2" t="s">
        <v>25</v>
      </c>
      <c r="H56" s="18"/>
      <c r="I56" s="6"/>
      <c r="J56" s="19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15100</v>
      </c>
      <c r="H57" s="21" t="s">
        <v>44</v>
      </c>
      <c r="I57" s="22"/>
      <c r="J57" s="13">
        <f>D56-G57</f>
        <v>14900</v>
      </c>
    </row>
    <row r="58" spans="1:10" ht="13.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3.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28.5" customHeight="1">
      <c r="A61" s="249" t="s">
        <v>264</v>
      </c>
      <c r="B61" s="250"/>
      <c r="C61" s="250"/>
      <c r="D61" s="250"/>
      <c r="E61" s="251"/>
      <c r="F61" s="249">
        <f>J57+J37+J17</f>
        <v>82200</v>
      </c>
      <c r="G61" s="250"/>
      <c r="H61" s="250"/>
      <c r="I61" s="250"/>
      <c r="J61" s="251"/>
    </row>
    <row r="64" spans="1:10" ht="37.5" customHeight="1">
      <c r="A64" s="29"/>
      <c r="B64" s="29"/>
      <c r="C64" s="29"/>
      <c r="D64" s="29"/>
      <c r="E64" s="29"/>
      <c r="F64" s="30"/>
      <c r="G64" s="30"/>
      <c r="H64" s="30"/>
      <c r="I64" s="30"/>
    </row>
    <row r="65" spans="1:9">
      <c r="A65" s="31"/>
      <c r="B65" s="252" t="s">
        <v>265</v>
      </c>
      <c r="C65" s="252"/>
      <c r="D65" s="252"/>
      <c r="E65" s="33"/>
      <c r="F65" s="346" t="s">
        <v>266</v>
      </c>
      <c r="G65" s="346"/>
      <c r="H65" s="346"/>
      <c r="I65" s="346"/>
    </row>
    <row r="66" spans="1:9">
      <c r="A66" s="31"/>
      <c r="B66" s="34"/>
      <c r="C66" s="34"/>
      <c r="D66" s="34"/>
      <c r="E66" s="33"/>
      <c r="F66" s="46"/>
      <c r="G66" s="46"/>
      <c r="H66" s="46"/>
      <c r="I66" s="46"/>
    </row>
    <row r="67" spans="1:9">
      <c r="A67" s="31"/>
      <c r="B67" s="34"/>
      <c r="C67" s="34"/>
      <c r="D67" s="34"/>
      <c r="E67" s="33"/>
      <c r="F67" s="46"/>
      <c r="G67" s="46"/>
      <c r="H67" s="46"/>
      <c r="I67" s="46"/>
    </row>
    <row r="68" spans="1:9">
      <c r="A68" s="31"/>
      <c r="B68" s="34"/>
      <c r="C68" s="34"/>
      <c r="D68" s="34"/>
      <c r="E68" s="33"/>
      <c r="F68" s="35"/>
      <c r="G68" s="35"/>
      <c r="H68" s="35"/>
      <c r="I68" s="35"/>
    </row>
    <row r="69" spans="1:9">
      <c r="A69" s="31"/>
      <c r="B69" s="31"/>
      <c r="C69" s="31"/>
      <c r="D69" s="31"/>
      <c r="E69" s="31"/>
      <c r="F69" s="36"/>
      <c r="G69" s="36"/>
      <c r="H69" s="36"/>
      <c r="I69" s="36"/>
    </row>
    <row r="70" spans="1:9">
      <c r="A70" s="31"/>
      <c r="B70" s="37"/>
      <c r="C70" s="32" t="s">
        <v>267</v>
      </c>
      <c r="D70" s="32"/>
      <c r="E70" s="31"/>
      <c r="F70" s="346" t="s">
        <v>268</v>
      </c>
      <c r="G70" s="346"/>
      <c r="H70" s="346"/>
      <c r="I70" s="346"/>
    </row>
  </sheetData>
  <mergeCells count="47">
    <mergeCell ref="F61:J61"/>
    <mergeCell ref="B65:D65"/>
    <mergeCell ref="F65:I65"/>
    <mergeCell ref="F70:I70"/>
    <mergeCell ref="H46:J46"/>
    <mergeCell ref="H47:J47"/>
    <mergeCell ref="A48:C48"/>
    <mergeCell ref="H48:J48"/>
    <mergeCell ref="B50:C50"/>
    <mergeCell ref="D56:D57"/>
    <mergeCell ref="A56:C57"/>
    <mergeCell ref="A61:E61"/>
    <mergeCell ref="H43:J43"/>
    <mergeCell ref="C44:D44"/>
    <mergeCell ref="H44:J44"/>
    <mergeCell ref="H45:J45"/>
    <mergeCell ref="A28:C28"/>
    <mergeCell ref="H28:J28"/>
    <mergeCell ref="B30:C30"/>
    <mergeCell ref="A41:J41"/>
    <mergeCell ref="A42:J42"/>
    <mergeCell ref="D36:D37"/>
    <mergeCell ref="A36:C37"/>
    <mergeCell ref="C43:D43"/>
    <mergeCell ref="H24:J24"/>
    <mergeCell ref="H25:J25"/>
    <mergeCell ref="H26:J26"/>
    <mergeCell ref="H27:J27"/>
    <mergeCell ref="B10:C10"/>
    <mergeCell ref="A21:J21"/>
    <mergeCell ref="A22:J22"/>
    <mergeCell ref="C23:D23"/>
    <mergeCell ref="H23:J23"/>
    <mergeCell ref="D16:D17"/>
    <mergeCell ref="A16:C17"/>
    <mergeCell ref="C24:D24"/>
    <mergeCell ref="H5:J5"/>
    <mergeCell ref="H6:J6"/>
    <mergeCell ref="H7:J7"/>
    <mergeCell ref="A8:C8"/>
    <mergeCell ref="H8:J8"/>
    <mergeCell ref="A1:J1"/>
    <mergeCell ref="A2:J2"/>
    <mergeCell ref="C3:D3"/>
    <mergeCell ref="H3:J3"/>
    <mergeCell ref="C4:D4"/>
    <mergeCell ref="H4:J4"/>
  </mergeCells>
  <pageMargins left="0.7" right="0.7" top="0.71" bottom="0.54" header="0.3" footer="0.3"/>
  <pageSetup scale="87" orientation="portrait" r:id="rId1"/>
  <rowBreaks count="1" manualBreakCount="1">
    <brk id="6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29"/>
  <sheetViews>
    <sheetView topLeftCell="A203" zoomScaleNormal="100" workbookViewId="0">
      <selection activeCell="F222" sqref="F222"/>
    </sheetView>
  </sheetViews>
  <sheetFormatPr defaultColWidth="9" defaultRowHeight="15"/>
  <sheetData>
    <row r="1" spans="1:10" ht="12.7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2.7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2.75" customHeight="1">
      <c r="A3" s="1" t="s">
        <v>2</v>
      </c>
      <c r="B3" s="1"/>
      <c r="C3" s="194" t="s">
        <v>826</v>
      </c>
      <c r="D3" s="194"/>
      <c r="E3" s="2"/>
      <c r="F3" s="3"/>
      <c r="G3" s="1" t="s">
        <v>4</v>
      </c>
      <c r="H3" s="209" t="s">
        <v>1056</v>
      </c>
      <c r="I3" s="209"/>
      <c r="J3" s="209"/>
    </row>
    <row r="4" spans="1:10" ht="12.75" customHeight="1">
      <c r="A4" s="1" t="s">
        <v>6</v>
      </c>
      <c r="B4" s="1"/>
      <c r="C4" s="25" t="s">
        <v>1057</v>
      </c>
      <c r="D4" s="25"/>
      <c r="E4" s="2"/>
      <c r="F4" s="3"/>
      <c r="G4" s="1" t="s">
        <v>8</v>
      </c>
      <c r="H4" s="193" t="s">
        <v>9</v>
      </c>
      <c r="I4" s="193"/>
      <c r="J4" s="193"/>
    </row>
    <row r="5" spans="1:10" ht="12.75" customHeight="1">
      <c r="A5" s="6" t="s">
        <v>10</v>
      </c>
      <c r="B5" s="6"/>
      <c r="C5" s="194" t="s">
        <v>382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2.75" customHeight="1">
      <c r="A6" s="2" t="s">
        <v>14</v>
      </c>
      <c r="B6" s="2"/>
      <c r="C6" s="1" t="s">
        <v>15</v>
      </c>
      <c r="D6" s="1"/>
      <c r="E6" s="2"/>
      <c r="F6" s="3"/>
      <c r="G6" s="1" t="s">
        <v>16</v>
      </c>
      <c r="H6" s="209" t="s">
        <v>1058</v>
      </c>
      <c r="I6" s="209"/>
      <c r="J6" s="209"/>
    </row>
    <row r="7" spans="1:10" ht="12.75" customHeight="1">
      <c r="A7" s="2">
        <v>30</v>
      </c>
      <c r="B7" s="2"/>
      <c r="C7" s="2">
        <f>A7-H7</f>
        <v>0</v>
      </c>
      <c r="D7" s="2"/>
      <c r="E7" s="2"/>
      <c r="F7" s="3"/>
      <c r="G7" s="8" t="s">
        <v>18</v>
      </c>
      <c r="H7" s="197">
        <v>30</v>
      </c>
      <c r="I7" s="197"/>
      <c r="J7" s="197"/>
    </row>
    <row r="8" spans="1:10" ht="12.7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2.75" customHeight="1">
      <c r="A9" s="17" t="s">
        <v>23</v>
      </c>
      <c r="B9" s="1"/>
      <c r="C9" s="1"/>
      <c r="D9" s="2">
        <v>30000</v>
      </c>
      <c r="E9" s="17" t="s">
        <v>24</v>
      </c>
      <c r="F9" s="1"/>
      <c r="G9" s="2">
        <v>25000</v>
      </c>
      <c r="H9" s="18" t="s">
        <v>502</v>
      </c>
      <c r="I9" s="6"/>
      <c r="J9" s="19"/>
    </row>
    <row r="10" spans="1:10" ht="12.75" customHeight="1">
      <c r="A10" s="17" t="s">
        <v>34</v>
      </c>
      <c r="B10" s="209"/>
      <c r="C10" s="209"/>
      <c r="D10" s="2" t="s">
        <v>25</v>
      </c>
      <c r="E10" s="17" t="s">
        <v>156</v>
      </c>
      <c r="F10" s="1"/>
      <c r="G10" s="2">
        <v>710</v>
      </c>
      <c r="H10" s="18" t="s">
        <v>504</v>
      </c>
      <c r="I10" s="6"/>
      <c r="J10" s="19"/>
    </row>
    <row r="11" spans="1:10" ht="12.75" customHeight="1">
      <c r="A11" s="17" t="s">
        <v>30</v>
      </c>
      <c r="B11" s="1"/>
      <c r="C11" s="1"/>
      <c r="D11" s="2" t="s">
        <v>25</v>
      </c>
      <c r="E11" s="17" t="s">
        <v>58</v>
      </c>
      <c r="F11" s="1"/>
      <c r="G11" s="2" t="s">
        <v>25</v>
      </c>
      <c r="H11" s="18" t="s">
        <v>32</v>
      </c>
      <c r="I11" s="6"/>
      <c r="J11" s="19"/>
    </row>
    <row r="12" spans="1:10" ht="12.75" customHeight="1">
      <c r="A12" s="17" t="s">
        <v>34</v>
      </c>
      <c r="B12" s="1"/>
      <c r="C12" s="1"/>
      <c r="D12" s="2" t="s">
        <v>25</v>
      </c>
      <c r="E12" s="17" t="s">
        <v>35</v>
      </c>
      <c r="F12" s="1"/>
      <c r="G12" s="2" t="s">
        <v>25</v>
      </c>
      <c r="H12" s="18"/>
      <c r="I12" s="6"/>
      <c r="J12" s="19"/>
    </row>
    <row r="13" spans="1:10" ht="12.75" customHeight="1">
      <c r="A13" s="17" t="s">
        <v>136</v>
      </c>
      <c r="B13" s="1"/>
      <c r="C13" s="1"/>
      <c r="D13" s="2">
        <v>5000</v>
      </c>
      <c r="E13" s="17" t="s">
        <v>61</v>
      </c>
      <c r="F13" s="1"/>
      <c r="G13" s="2" t="s">
        <v>25</v>
      </c>
      <c r="H13" s="18" t="s">
        <v>1039</v>
      </c>
      <c r="I13" s="6"/>
      <c r="J13" s="40">
        <v>50000</v>
      </c>
    </row>
    <row r="14" spans="1:10" ht="12.75" customHeight="1">
      <c r="A14" s="17" t="s">
        <v>981</v>
      </c>
      <c r="B14" s="1"/>
      <c r="C14" s="1"/>
      <c r="D14" s="2">
        <v>5000</v>
      </c>
      <c r="E14" s="17" t="s">
        <v>39</v>
      </c>
      <c r="F14" s="1"/>
      <c r="G14" s="2">
        <v>100</v>
      </c>
      <c r="H14" s="18" t="s">
        <v>450</v>
      </c>
      <c r="I14" s="6"/>
      <c r="J14" s="40">
        <v>25000</v>
      </c>
    </row>
    <row r="15" spans="1:10" ht="12.75" customHeight="1">
      <c r="A15" s="18" t="s">
        <v>40</v>
      </c>
      <c r="B15" s="6"/>
      <c r="C15" s="6"/>
      <c r="D15" s="2" t="s">
        <v>25</v>
      </c>
      <c r="E15" s="17" t="s">
        <v>78</v>
      </c>
      <c r="F15" s="1"/>
      <c r="G15" s="2" t="s">
        <v>25</v>
      </c>
      <c r="H15" s="18" t="s">
        <v>451</v>
      </c>
      <c r="I15" s="6"/>
      <c r="J15" s="40">
        <v>25000</v>
      </c>
    </row>
    <row r="16" spans="1:10" ht="12.75" customHeight="1">
      <c r="A16" s="204" t="s">
        <v>63</v>
      </c>
      <c r="B16" s="205"/>
      <c r="C16" s="206"/>
      <c r="D16" s="229">
        <f>SUM(D9:D15)</f>
        <v>40000</v>
      </c>
      <c r="E16" s="1" t="s">
        <v>58</v>
      </c>
      <c r="F16" s="1"/>
      <c r="G16" s="2" t="s">
        <v>25</v>
      </c>
      <c r="H16" s="18"/>
      <c r="I16" s="6"/>
      <c r="J16" s="39"/>
    </row>
    <row r="17" spans="1:10" ht="12.75" customHeight="1">
      <c r="A17" s="207"/>
      <c r="B17" s="197"/>
      <c r="C17" s="208"/>
      <c r="D17" s="230"/>
      <c r="E17" s="21" t="s">
        <v>21</v>
      </c>
      <c r="F17" s="22"/>
      <c r="G17" s="13">
        <f>SUM(G9:G16)</f>
        <v>25810</v>
      </c>
      <c r="H17" s="21" t="s">
        <v>44</v>
      </c>
      <c r="I17" s="22"/>
      <c r="J17" s="13">
        <f>D16-G17</f>
        <v>14190</v>
      </c>
    </row>
    <row r="18" spans="1:10" ht="12.7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2.7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2.7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2.7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2.75" customHeight="1">
      <c r="A23" s="1" t="s">
        <v>2</v>
      </c>
      <c r="B23" s="1"/>
      <c r="C23" s="194"/>
      <c r="D23" s="194"/>
      <c r="E23" s="2"/>
      <c r="F23" s="3"/>
      <c r="G23" s="1" t="s">
        <v>4</v>
      </c>
      <c r="H23" s="209" t="s">
        <v>1056</v>
      </c>
      <c r="I23" s="209"/>
      <c r="J23" s="209"/>
    </row>
    <row r="24" spans="1:10" ht="12.75" customHeight="1">
      <c r="A24" s="1" t="s">
        <v>6</v>
      </c>
      <c r="B24" s="1"/>
      <c r="C24" s="25" t="s">
        <v>1059</v>
      </c>
      <c r="D24" s="25"/>
      <c r="E24" s="2"/>
      <c r="F24" s="3"/>
      <c r="G24" s="1" t="s">
        <v>8</v>
      </c>
      <c r="H24" s="193" t="s">
        <v>9</v>
      </c>
      <c r="I24" s="193"/>
      <c r="J24" s="193"/>
    </row>
    <row r="25" spans="1:10" ht="12.75" customHeight="1">
      <c r="A25" s="6" t="s">
        <v>10</v>
      </c>
      <c r="B25" s="6"/>
      <c r="C25" s="194" t="s">
        <v>1060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2.75" customHeight="1">
      <c r="A26" s="2" t="s">
        <v>14</v>
      </c>
      <c r="B26" s="2"/>
      <c r="C26" s="1" t="s">
        <v>15</v>
      </c>
      <c r="D26" s="1"/>
      <c r="E26" s="2"/>
      <c r="F26" s="3"/>
      <c r="G26" s="1" t="s">
        <v>16</v>
      </c>
      <c r="H26" s="209" t="s">
        <v>1058</v>
      </c>
      <c r="I26" s="209"/>
      <c r="J26" s="209"/>
    </row>
    <row r="27" spans="1:10" ht="12.75" customHeight="1">
      <c r="A27" s="2">
        <v>30</v>
      </c>
      <c r="B27" s="2"/>
      <c r="C27" s="2">
        <f>A27-H27</f>
        <v>0</v>
      </c>
      <c r="D27" s="2"/>
      <c r="E27" s="2"/>
      <c r="F27" s="3"/>
      <c r="G27" s="8" t="s">
        <v>18</v>
      </c>
      <c r="H27" s="197">
        <v>30</v>
      </c>
      <c r="I27" s="197"/>
      <c r="J27" s="197"/>
    </row>
    <row r="28" spans="1:10" ht="12.7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2.75" customHeight="1">
      <c r="A29" s="17" t="s">
        <v>23</v>
      </c>
      <c r="B29" s="1"/>
      <c r="C29" s="1"/>
      <c r="D29" s="2">
        <v>60000</v>
      </c>
      <c r="E29" s="17" t="s">
        <v>24</v>
      </c>
      <c r="F29" s="1"/>
      <c r="G29" s="177" t="s">
        <v>25</v>
      </c>
      <c r="H29" s="18" t="s">
        <v>502</v>
      </c>
      <c r="I29" s="6"/>
      <c r="J29" s="19"/>
    </row>
    <row r="30" spans="1:10" ht="12.75" customHeight="1">
      <c r="A30" s="17" t="s">
        <v>77</v>
      </c>
      <c r="B30" s="209"/>
      <c r="C30" s="209"/>
      <c r="D30" s="2" t="s">
        <v>25</v>
      </c>
      <c r="E30" s="17" t="s">
        <v>156</v>
      </c>
      <c r="F30" s="1"/>
      <c r="G30" s="2" t="s">
        <v>25</v>
      </c>
      <c r="H30" s="18" t="s">
        <v>504</v>
      </c>
      <c r="I30" s="6"/>
      <c r="J30" s="19"/>
    </row>
    <row r="31" spans="1:10" ht="12.75" customHeight="1">
      <c r="A31" s="17" t="s">
        <v>30</v>
      </c>
      <c r="B31" s="1"/>
      <c r="C31" s="1"/>
      <c r="D31" s="2" t="s">
        <v>25</v>
      </c>
      <c r="E31" s="17" t="s">
        <v>58</v>
      </c>
      <c r="F31" s="1"/>
      <c r="G31" s="2" t="s">
        <v>25</v>
      </c>
      <c r="H31" s="18" t="s">
        <v>32</v>
      </c>
      <c r="I31" s="6"/>
      <c r="J31" s="19"/>
    </row>
    <row r="32" spans="1:10" ht="12.75" customHeight="1">
      <c r="A32" s="17" t="s">
        <v>34</v>
      </c>
      <c r="B32" s="1"/>
      <c r="C32" s="1"/>
      <c r="D32" s="2" t="s">
        <v>25</v>
      </c>
      <c r="E32" s="17" t="s">
        <v>35</v>
      </c>
      <c r="F32" s="1"/>
      <c r="G32" s="2" t="s">
        <v>25</v>
      </c>
      <c r="H32" s="18"/>
      <c r="I32" s="6"/>
      <c r="J32" s="19"/>
    </row>
    <row r="33" spans="1:10" ht="12.75" customHeight="1">
      <c r="A33" s="17" t="s">
        <v>136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18"/>
      <c r="I33" s="6"/>
      <c r="J33" s="19"/>
    </row>
    <row r="34" spans="1:10" ht="12.75" customHeight="1">
      <c r="A34" s="17" t="s">
        <v>78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19"/>
    </row>
    <row r="35" spans="1:10" ht="12.75" customHeight="1">
      <c r="A35" s="18" t="s">
        <v>40</v>
      </c>
      <c r="B35" s="6"/>
      <c r="C35" s="6"/>
      <c r="D35" s="2" t="s">
        <v>25</v>
      </c>
      <c r="E35" s="17" t="s">
        <v>78</v>
      </c>
      <c r="F35" s="1"/>
      <c r="G35" s="2" t="s">
        <v>25</v>
      </c>
      <c r="H35" s="18"/>
      <c r="I35" s="6"/>
      <c r="J35" s="19"/>
    </row>
    <row r="36" spans="1:10" ht="12.75" customHeight="1">
      <c r="A36" s="204" t="s">
        <v>63</v>
      </c>
      <c r="B36" s="205"/>
      <c r="C36" s="206"/>
      <c r="D36" s="229">
        <f>SUM(D29:D35)</f>
        <v>60000</v>
      </c>
      <c r="E36" s="1" t="s">
        <v>58</v>
      </c>
      <c r="F36" s="1"/>
      <c r="G36" s="2" t="s">
        <v>25</v>
      </c>
      <c r="H36" s="18"/>
      <c r="I36" s="6"/>
      <c r="J36" s="19"/>
    </row>
    <row r="37" spans="1:10" ht="12.75" customHeight="1">
      <c r="A37" s="207"/>
      <c r="B37" s="197"/>
      <c r="C37" s="208"/>
      <c r="D37" s="230"/>
      <c r="E37" s="21" t="s">
        <v>21</v>
      </c>
      <c r="F37" s="22"/>
      <c r="G37" s="13">
        <f>SUM(G29:G36)</f>
        <v>100</v>
      </c>
      <c r="H37" s="21" t="s">
        <v>44</v>
      </c>
      <c r="I37" s="22"/>
      <c r="J37" s="13">
        <f>D36-G37</f>
        <v>59900</v>
      </c>
    </row>
    <row r="38" spans="1:10" ht="12.7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2.7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209"/>
      <c r="D43" s="209"/>
      <c r="E43" s="2"/>
      <c r="F43" s="3"/>
      <c r="G43" s="1" t="s">
        <v>4</v>
      </c>
      <c r="H43" s="193" t="s">
        <v>1056</v>
      </c>
      <c r="I43" s="193"/>
      <c r="J43" s="193"/>
    </row>
    <row r="44" spans="1:10" ht="12.75" customHeight="1">
      <c r="A44" s="1" t="s">
        <v>6</v>
      </c>
      <c r="B44" s="1"/>
      <c r="C44" s="196" t="s">
        <v>1061</v>
      </c>
      <c r="D44" s="196"/>
      <c r="E44" s="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209" t="s">
        <v>1062</v>
      </c>
      <c r="D45" s="209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6" t="s">
        <v>14</v>
      </c>
      <c r="B46" s="6"/>
      <c r="C46" s="2" t="s">
        <v>15</v>
      </c>
      <c r="D46" s="2"/>
      <c r="E46" s="36"/>
      <c r="F46" s="3"/>
      <c r="G46" s="1" t="s">
        <v>16</v>
      </c>
      <c r="H46" s="196" t="s">
        <v>55</v>
      </c>
      <c r="I46" s="196"/>
      <c r="J46" s="196"/>
    </row>
    <row r="47" spans="1:10" ht="12.75" customHeight="1">
      <c r="A47" s="6">
        <v>30</v>
      </c>
      <c r="B47" s="6"/>
      <c r="C47" s="2">
        <f>A47-I47</f>
        <v>0</v>
      </c>
      <c r="D47" s="2"/>
      <c r="E47" s="2"/>
      <c r="F47" s="3"/>
      <c r="G47" s="8" t="s">
        <v>18</v>
      </c>
      <c r="H47" s="8"/>
      <c r="I47" s="9">
        <v>30</v>
      </c>
      <c r="J47" s="9"/>
    </row>
    <row r="48" spans="1:10" ht="12.7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/>
      <c r="I48" s="202"/>
      <c r="J48" s="203"/>
    </row>
    <row r="49" spans="1:10" ht="12.75" customHeight="1">
      <c r="A49" s="17" t="s">
        <v>23</v>
      </c>
      <c r="B49" s="1"/>
      <c r="C49" s="1"/>
      <c r="D49" s="2">
        <v>23000</v>
      </c>
      <c r="E49" s="17" t="s">
        <v>24</v>
      </c>
      <c r="F49" s="1"/>
      <c r="G49" s="2" t="s">
        <v>25</v>
      </c>
      <c r="H49" s="18" t="s">
        <v>502</v>
      </c>
      <c r="I49" s="6"/>
      <c r="J49" s="19"/>
    </row>
    <row r="50" spans="1:10" ht="12.75" customHeight="1">
      <c r="A50" s="17" t="s">
        <v>77</v>
      </c>
      <c r="B50" s="209"/>
      <c r="C50" s="209"/>
      <c r="D50" s="2" t="s">
        <v>25</v>
      </c>
      <c r="E50" s="17" t="s">
        <v>28</v>
      </c>
      <c r="F50" s="1"/>
      <c r="G50" s="2" t="s">
        <v>25</v>
      </c>
      <c r="H50" s="18" t="s">
        <v>504</v>
      </c>
      <c r="I50" s="6"/>
      <c r="J50" s="19"/>
    </row>
    <row r="51" spans="1:10" ht="12.75" customHeight="1">
      <c r="A51" s="17" t="s">
        <v>30</v>
      </c>
      <c r="B51" s="1"/>
      <c r="C51" s="1"/>
      <c r="D51" s="2" t="s">
        <v>25</v>
      </c>
      <c r="E51" s="17" t="s">
        <v>52</v>
      </c>
      <c r="F51" s="1"/>
      <c r="G51" s="2" t="s">
        <v>25</v>
      </c>
      <c r="H51" s="18" t="s">
        <v>32</v>
      </c>
      <c r="I51" s="6"/>
      <c r="J51" s="19"/>
    </row>
    <row r="52" spans="1:10" ht="12.75" customHeight="1">
      <c r="A52" s="17" t="s">
        <v>34</v>
      </c>
      <c r="B52" s="1"/>
      <c r="C52" s="1"/>
      <c r="D52" s="2" t="s">
        <v>25</v>
      </c>
      <c r="E52" s="17" t="s">
        <v>35</v>
      </c>
      <c r="F52" s="1"/>
      <c r="G52" s="2" t="s">
        <v>25</v>
      </c>
      <c r="H52" s="18"/>
      <c r="I52" s="6"/>
      <c r="J52" s="19"/>
    </row>
    <row r="53" spans="1:10" ht="12.75" customHeight="1">
      <c r="A53" s="17" t="s">
        <v>1063</v>
      </c>
      <c r="B53" s="1"/>
      <c r="C53" s="1"/>
      <c r="D53" s="2">
        <v>2500</v>
      </c>
      <c r="E53" s="17" t="s">
        <v>61</v>
      </c>
      <c r="F53" s="1"/>
      <c r="G53" s="2" t="s">
        <v>25</v>
      </c>
      <c r="H53" s="18"/>
      <c r="I53" s="6"/>
      <c r="J53" s="26"/>
    </row>
    <row r="54" spans="1:10" ht="12.75" customHeight="1">
      <c r="A54" s="17" t="s">
        <v>78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26"/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333</v>
      </c>
      <c r="F55" s="1"/>
      <c r="G55" s="2" t="s">
        <v>25</v>
      </c>
      <c r="H55" s="18"/>
      <c r="I55" s="6"/>
      <c r="J55" s="19"/>
    </row>
    <row r="56" spans="1:10" ht="12.75" customHeight="1">
      <c r="A56" s="204" t="s">
        <v>63</v>
      </c>
      <c r="B56" s="205"/>
      <c r="C56" s="206"/>
      <c r="D56" s="229">
        <f>SUM(D49:D55)</f>
        <v>25500</v>
      </c>
      <c r="E56" s="1" t="s">
        <v>78</v>
      </c>
      <c r="F56" s="1"/>
      <c r="G56" s="2" t="s">
        <v>25</v>
      </c>
      <c r="H56" s="18"/>
      <c r="I56" s="6"/>
      <c r="J56" s="19"/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100</v>
      </c>
      <c r="H57" s="21" t="s">
        <v>44</v>
      </c>
      <c r="I57" s="22"/>
      <c r="J57" s="13">
        <f>D56-G57</f>
        <v>25400</v>
      </c>
    </row>
    <row r="58" spans="1:10" ht="12.7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2.75" customHeight="1"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2.7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2.7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2.75" customHeight="1">
      <c r="A63" s="1" t="s">
        <v>2</v>
      </c>
      <c r="B63" s="1"/>
      <c r="C63" s="209"/>
      <c r="D63" s="209"/>
      <c r="E63" s="2"/>
      <c r="F63" s="3"/>
      <c r="G63" s="1" t="s">
        <v>4</v>
      </c>
      <c r="H63" s="193" t="s">
        <v>1056</v>
      </c>
      <c r="I63" s="193"/>
      <c r="J63" s="193"/>
    </row>
    <row r="64" spans="1:10" ht="12.75" customHeight="1">
      <c r="A64" s="1" t="s">
        <v>6</v>
      </c>
      <c r="B64" s="1"/>
      <c r="C64" s="196" t="s">
        <v>1064</v>
      </c>
      <c r="D64" s="196"/>
      <c r="E64" s="2"/>
      <c r="F64" s="3"/>
      <c r="G64" s="1" t="s">
        <v>8</v>
      </c>
      <c r="H64" s="193" t="s">
        <v>9</v>
      </c>
      <c r="I64" s="193"/>
      <c r="J64" s="193"/>
    </row>
    <row r="65" spans="1:10" ht="12.75" customHeight="1">
      <c r="A65" s="6" t="s">
        <v>10</v>
      </c>
      <c r="B65" s="6"/>
      <c r="C65" s="209" t="s">
        <v>1065</v>
      </c>
      <c r="D65" s="209"/>
      <c r="E65" s="2"/>
      <c r="F65" s="3"/>
      <c r="G65" s="1" t="s">
        <v>12</v>
      </c>
      <c r="H65" s="195" t="s">
        <v>13</v>
      </c>
      <c r="I65" s="195"/>
      <c r="J65" s="195"/>
    </row>
    <row r="66" spans="1:10" ht="12.75" customHeight="1">
      <c r="A66" s="6" t="s">
        <v>14</v>
      </c>
      <c r="B66" s="6"/>
      <c r="C66" s="2" t="s">
        <v>15</v>
      </c>
      <c r="D66" s="2"/>
      <c r="E66" s="36"/>
      <c r="F66" s="3"/>
      <c r="G66" s="1" t="s">
        <v>16</v>
      </c>
      <c r="H66" s="196" t="s">
        <v>55</v>
      </c>
      <c r="I66" s="196"/>
      <c r="J66" s="196"/>
    </row>
    <row r="67" spans="1:10" ht="12.75" customHeight="1">
      <c r="A67" s="6">
        <v>30</v>
      </c>
      <c r="B67" s="6"/>
      <c r="C67" s="2">
        <f>A67-I67</f>
        <v>0</v>
      </c>
      <c r="D67" s="2"/>
      <c r="E67" s="2"/>
      <c r="F67" s="3"/>
      <c r="G67" s="8" t="s">
        <v>18</v>
      </c>
      <c r="H67" s="8"/>
      <c r="I67" s="9">
        <v>30</v>
      </c>
      <c r="J67" s="9"/>
    </row>
    <row r="68" spans="1:10" ht="12.7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/>
      <c r="I68" s="202"/>
      <c r="J68" s="203"/>
    </row>
    <row r="69" spans="1:10" ht="12.75" customHeight="1">
      <c r="A69" s="17" t="s">
        <v>23</v>
      </c>
      <c r="B69" s="1"/>
      <c r="C69" s="1"/>
      <c r="D69" s="2">
        <v>20000</v>
      </c>
      <c r="E69" s="17" t="s">
        <v>24</v>
      </c>
      <c r="F69" s="1"/>
      <c r="G69" s="2" t="s">
        <v>25</v>
      </c>
      <c r="H69" s="18" t="s">
        <v>502</v>
      </c>
      <c r="I69" s="6"/>
      <c r="J69" s="19"/>
    </row>
    <row r="70" spans="1:10" ht="12.75" customHeight="1">
      <c r="A70" s="17" t="s">
        <v>77</v>
      </c>
      <c r="B70" s="209"/>
      <c r="C70" s="209"/>
      <c r="D70" s="2" t="s">
        <v>25</v>
      </c>
      <c r="E70" s="17" t="s">
        <v>58</v>
      </c>
      <c r="F70" s="1"/>
      <c r="G70" s="2" t="s">
        <v>25</v>
      </c>
      <c r="H70" s="18" t="s">
        <v>504</v>
      </c>
      <c r="I70" s="6"/>
      <c r="J70" s="19"/>
    </row>
    <row r="71" spans="1:10" ht="12.75" customHeight="1">
      <c r="A71" s="17" t="s">
        <v>30</v>
      </c>
      <c r="B71" s="1"/>
      <c r="C71" s="1"/>
      <c r="D71" s="2" t="s">
        <v>25</v>
      </c>
      <c r="E71" s="17" t="s">
        <v>52</v>
      </c>
      <c r="F71" s="1"/>
      <c r="G71" s="2" t="s">
        <v>25</v>
      </c>
      <c r="H71" s="18" t="s">
        <v>32</v>
      </c>
      <c r="I71" s="6"/>
      <c r="J71" s="19"/>
    </row>
    <row r="72" spans="1:10" ht="12.75" customHeight="1">
      <c r="A72" s="17" t="s">
        <v>34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2.75" customHeight="1">
      <c r="A73" s="17" t="s">
        <v>1066</v>
      </c>
      <c r="B73" s="1"/>
      <c r="C73" s="1"/>
      <c r="D73" s="2">
        <v>3000</v>
      </c>
      <c r="E73" s="17" t="s">
        <v>61</v>
      </c>
      <c r="F73" s="1"/>
      <c r="G73" s="2" t="s">
        <v>25</v>
      </c>
      <c r="H73" s="18"/>
      <c r="I73" s="6"/>
      <c r="J73" s="26"/>
    </row>
    <row r="74" spans="1:10" ht="12.75" customHeight="1">
      <c r="A74" s="17" t="s">
        <v>1067</v>
      </c>
      <c r="B74" s="1"/>
      <c r="C74" s="1"/>
      <c r="D74" s="2">
        <v>2500</v>
      </c>
      <c r="E74" s="17" t="s">
        <v>39</v>
      </c>
      <c r="F74" s="1"/>
      <c r="G74" s="2">
        <v>100</v>
      </c>
      <c r="H74" s="18"/>
      <c r="I74" s="6"/>
      <c r="J74" s="26"/>
    </row>
    <row r="75" spans="1:10" ht="12.75" customHeight="1">
      <c r="A75" s="18" t="s">
        <v>40</v>
      </c>
      <c r="B75" s="6"/>
      <c r="C75" s="6"/>
      <c r="D75" s="2" t="s">
        <v>25</v>
      </c>
      <c r="E75" s="17" t="s">
        <v>333</v>
      </c>
      <c r="F75" s="1"/>
      <c r="G75" s="2" t="s">
        <v>25</v>
      </c>
      <c r="H75" s="18"/>
      <c r="I75" s="6"/>
      <c r="J75" s="19"/>
    </row>
    <row r="76" spans="1:10" ht="12.75" customHeight="1">
      <c r="A76" s="204" t="s">
        <v>63</v>
      </c>
      <c r="B76" s="205"/>
      <c r="C76" s="206"/>
      <c r="D76" s="229">
        <f>SUM(D69:D75)</f>
        <v>25500</v>
      </c>
      <c r="E76" s="1" t="s">
        <v>78</v>
      </c>
      <c r="F76" s="1"/>
      <c r="G76" s="2" t="s">
        <v>25</v>
      </c>
      <c r="H76" s="18"/>
      <c r="I76" s="6"/>
      <c r="J76" s="19"/>
    </row>
    <row r="77" spans="1:10" ht="12.7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25400</v>
      </c>
    </row>
    <row r="78" spans="1:10" ht="12.7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2.75" customHeight="1"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2.7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2.7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2.75" customHeight="1">
      <c r="A83" s="1" t="s">
        <v>2</v>
      </c>
      <c r="B83" s="1"/>
      <c r="C83" s="209"/>
      <c r="D83" s="209"/>
      <c r="E83" s="2"/>
      <c r="F83" s="3"/>
      <c r="G83" s="1" t="s">
        <v>4</v>
      </c>
      <c r="H83" s="193" t="s">
        <v>1056</v>
      </c>
      <c r="I83" s="193"/>
      <c r="J83" s="193"/>
    </row>
    <row r="84" spans="1:10" ht="12.75" customHeight="1">
      <c r="A84" s="1" t="s">
        <v>6</v>
      </c>
      <c r="B84" s="1"/>
      <c r="C84" s="196" t="s">
        <v>1068</v>
      </c>
      <c r="D84" s="196"/>
      <c r="E84" s="2"/>
      <c r="F84" s="3"/>
      <c r="G84" s="1" t="s">
        <v>8</v>
      </c>
      <c r="H84" s="193" t="s">
        <v>9</v>
      </c>
      <c r="I84" s="193"/>
      <c r="J84" s="193"/>
    </row>
    <row r="85" spans="1:10" ht="12.75" customHeight="1">
      <c r="A85" s="6" t="s">
        <v>10</v>
      </c>
      <c r="B85" s="6"/>
      <c r="C85" s="209" t="s">
        <v>1065</v>
      </c>
      <c r="D85" s="209"/>
      <c r="E85" s="2"/>
      <c r="F85" s="3"/>
      <c r="G85" s="1" t="s">
        <v>12</v>
      </c>
      <c r="H85" s="195" t="s">
        <v>13</v>
      </c>
      <c r="I85" s="195"/>
      <c r="J85" s="195"/>
    </row>
    <row r="86" spans="1:10" ht="12.75" customHeight="1">
      <c r="A86" s="6" t="s">
        <v>14</v>
      </c>
      <c r="B86" s="6"/>
      <c r="C86" s="2" t="s">
        <v>15</v>
      </c>
      <c r="D86" s="2"/>
      <c r="E86" s="36"/>
      <c r="F86" s="3"/>
      <c r="G86" s="1" t="s">
        <v>16</v>
      </c>
      <c r="H86" s="196" t="s">
        <v>55</v>
      </c>
      <c r="I86" s="196"/>
      <c r="J86" s="196"/>
    </row>
    <row r="87" spans="1:10" ht="12.75" customHeight="1">
      <c r="A87" s="6">
        <v>30</v>
      </c>
      <c r="B87" s="6"/>
      <c r="C87" s="2">
        <f>A87-I87</f>
        <v>20</v>
      </c>
      <c r="D87" s="2"/>
      <c r="E87" s="2"/>
      <c r="F87" s="3"/>
      <c r="G87" s="8" t="s">
        <v>18</v>
      </c>
      <c r="H87" s="8"/>
      <c r="I87" s="9">
        <v>10</v>
      </c>
      <c r="J87" s="9"/>
    </row>
    <row r="88" spans="1:10" ht="12.7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/>
      <c r="I88" s="202"/>
      <c r="J88" s="203"/>
    </row>
    <row r="89" spans="1:10" ht="12.75" customHeight="1">
      <c r="A89" s="17" t="s">
        <v>23</v>
      </c>
      <c r="B89" s="1"/>
      <c r="C89" s="1"/>
      <c r="D89" s="2">
        <v>12000</v>
      </c>
      <c r="E89" s="17" t="s">
        <v>24</v>
      </c>
      <c r="F89" s="1"/>
      <c r="G89" s="2" t="s">
        <v>25</v>
      </c>
      <c r="H89" s="18" t="s">
        <v>502</v>
      </c>
      <c r="I89" s="6"/>
      <c r="J89" s="19"/>
    </row>
    <row r="90" spans="1:10" ht="12.75" customHeight="1">
      <c r="A90" s="17" t="s">
        <v>77</v>
      </c>
      <c r="B90" s="209"/>
      <c r="C90" s="209"/>
      <c r="D90" s="2" t="s">
        <v>25</v>
      </c>
      <c r="E90" s="17" t="s">
        <v>58</v>
      </c>
      <c r="F90" s="1"/>
      <c r="G90" s="2" t="s">
        <v>25</v>
      </c>
      <c r="H90" s="18" t="s">
        <v>504</v>
      </c>
      <c r="I90" s="6"/>
      <c r="J90" s="19"/>
    </row>
    <row r="91" spans="1:10" ht="12.75" customHeight="1">
      <c r="A91" s="17" t="s">
        <v>30</v>
      </c>
      <c r="B91" s="1"/>
      <c r="C91" s="1"/>
      <c r="D91" s="2" t="s">
        <v>25</v>
      </c>
      <c r="E91" s="17" t="s">
        <v>52</v>
      </c>
      <c r="F91" s="1"/>
      <c r="G91" s="2" t="s">
        <v>25</v>
      </c>
      <c r="H91" s="18" t="s">
        <v>32</v>
      </c>
      <c r="I91" s="6"/>
      <c r="J91" s="19"/>
    </row>
    <row r="92" spans="1:10" ht="12.75" customHeight="1">
      <c r="A92" s="17" t="s">
        <v>34</v>
      </c>
      <c r="B92" s="1"/>
      <c r="C92" s="1"/>
      <c r="D92" s="2" t="s">
        <v>25</v>
      </c>
      <c r="E92" s="17" t="s">
        <v>35</v>
      </c>
      <c r="F92" s="1"/>
      <c r="G92" s="2">
        <v>8000</v>
      </c>
      <c r="H92" s="18"/>
      <c r="I92" s="6"/>
      <c r="J92" s="19"/>
    </row>
    <row r="93" spans="1:10" ht="12.75" customHeight="1">
      <c r="A93" s="17" t="s">
        <v>36</v>
      </c>
      <c r="B93" s="1"/>
      <c r="C93" s="1"/>
      <c r="D93" s="2" t="s">
        <v>25</v>
      </c>
      <c r="E93" s="17" t="s">
        <v>61</v>
      </c>
      <c r="F93" s="1"/>
      <c r="G93" s="2" t="s">
        <v>25</v>
      </c>
      <c r="H93" s="18"/>
      <c r="I93" s="6"/>
      <c r="J93" s="26"/>
    </row>
    <row r="94" spans="1:10" ht="12.75" customHeight="1">
      <c r="A94" s="17" t="s">
        <v>78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/>
      <c r="I94" s="6"/>
      <c r="J94" s="26"/>
    </row>
    <row r="95" spans="1:10" ht="12.75" customHeight="1">
      <c r="A95" s="18" t="s">
        <v>40</v>
      </c>
      <c r="B95" s="6"/>
      <c r="C95" s="6"/>
      <c r="D95" s="2" t="s">
        <v>25</v>
      </c>
      <c r="E95" s="17" t="s">
        <v>333</v>
      </c>
      <c r="F95" s="1"/>
      <c r="G95" s="2" t="s">
        <v>25</v>
      </c>
      <c r="H95" s="18"/>
      <c r="I95" s="6"/>
      <c r="J95" s="19"/>
    </row>
    <row r="96" spans="1:10" ht="12.75" customHeight="1">
      <c r="A96" s="204" t="s">
        <v>63</v>
      </c>
      <c r="B96" s="205"/>
      <c r="C96" s="206"/>
      <c r="D96" s="229">
        <f>SUM(D89:D95)</f>
        <v>12000</v>
      </c>
      <c r="E96" s="1" t="s">
        <v>78</v>
      </c>
      <c r="F96" s="1"/>
      <c r="G96" s="2" t="s">
        <v>25</v>
      </c>
      <c r="H96" s="18"/>
      <c r="I96" s="6"/>
      <c r="J96" s="19"/>
    </row>
    <row r="97" spans="1:10" ht="12.75" customHeight="1">
      <c r="A97" s="207"/>
      <c r="B97" s="197"/>
      <c r="C97" s="208"/>
      <c r="D97" s="230"/>
      <c r="E97" s="21" t="s">
        <v>21</v>
      </c>
      <c r="F97" s="22"/>
      <c r="G97" s="13">
        <f>SUM(G89:G96)</f>
        <v>8100</v>
      </c>
      <c r="H97" s="21" t="s">
        <v>44</v>
      </c>
      <c r="I97" s="22"/>
      <c r="J97" s="13">
        <f>D96-G97</f>
        <v>3900</v>
      </c>
    </row>
    <row r="98" spans="1:10" ht="12.7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2.75" customHeight="1"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2.7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.7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.75" customHeight="1">
      <c r="A103" s="1" t="s">
        <v>2</v>
      </c>
      <c r="B103" s="1"/>
      <c r="C103" s="209"/>
      <c r="D103" s="209"/>
      <c r="E103" s="2"/>
      <c r="F103" s="3"/>
      <c r="G103" s="1" t="s">
        <v>4</v>
      </c>
      <c r="H103" s="193" t="s">
        <v>1056</v>
      </c>
      <c r="I103" s="193"/>
      <c r="J103" s="193"/>
    </row>
    <row r="104" spans="1:10" ht="12.75" customHeight="1">
      <c r="A104" s="1" t="s">
        <v>6</v>
      </c>
      <c r="B104" s="1"/>
      <c r="C104" s="196" t="s">
        <v>770</v>
      </c>
      <c r="D104" s="196"/>
      <c r="E104" s="2"/>
      <c r="F104" s="3"/>
      <c r="G104" s="1" t="s">
        <v>8</v>
      </c>
      <c r="H104" s="193" t="s">
        <v>9</v>
      </c>
      <c r="I104" s="193"/>
      <c r="J104" s="193"/>
    </row>
    <row r="105" spans="1:10" ht="12.75" customHeight="1">
      <c r="A105" s="6" t="s">
        <v>10</v>
      </c>
      <c r="B105" s="6"/>
      <c r="C105" s="209" t="s">
        <v>1065</v>
      </c>
      <c r="D105" s="209"/>
      <c r="E105" s="2"/>
      <c r="F105" s="3"/>
      <c r="G105" s="1" t="s">
        <v>12</v>
      </c>
      <c r="H105" s="195" t="s">
        <v>13</v>
      </c>
      <c r="I105" s="195"/>
      <c r="J105" s="195"/>
    </row>
    <row r="106" spans="1:10" ht="12.75" customHeight="1">
      <c r="A106" s="6" t="s">
        <v>14</v>
      </c>
      <c r="B106" s="6"/>
      <c r="C106" s="2" t="s">
        <v>15</v>
      </c>
      <c r="D106" s="2"/>
      <c r="E106" s="36"/>
      <c r="F106" s="3"/>
      <c r="G106" s="1" t="s">
        <v>16</v>
      </c>
      <c r="H106" s="196" t="s">
        <v>55</v>
      </c>
      <c r="I106" s="196"/>
      <c r="J106" s="196"/>
    </row>
    <row r="107" spans="1:10" ht="12.75" customHeight="1">
      <c r="A107" s="6">
        <v>30</v>
      </c>
      <c r="B107" s="6"/>
      <c r="C107" s="2">
        <f>A107-I107</f>
        <v>15</v>
      </c>
      <c r="D107" s="2"/>
      <c r="E107" s="2"/>
      <c r="F107" s="3"/>
      <c r="G107" s="8" t="s">
        <v>18</v>
      </c>
      <c r="H107" s="8"/>
      <c r="I107" s="9">
        <v>15</v>
      </c>
      <c r="J107" s="9"/>
    </row>
    <row r="108" spans="1:10" ht="12.7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/>
      <c r="I108" s="202"/>
      <c r="J108" s="203"/>
    </row>
    <row r="109" spans="1:10" ht="12.75" customHeight="1">
      <c r="A109" s="17" t="s">
        <v>23</v>
      </c>
      <c r="B109" s="1"/>
      <c r="C109" s="1"/>
      <c r="D109" s="2">
        <v>18000</v>
      </c>
      <c r="E109" s="17" t="s">
        <v>24</v>
      </c>
      <c r="F109" s="1"/>
      <c r="G109" s="2" t="s">
        <v>25</v>
      </c>
      <c r="H109" s="18" t="s">
        <v>502</v>
      </c>
      <c r="I109" s="6"/>
      <c r="J109" s="19"/>
    </row>
    <row r="110" spans="1:10" ht="12.75" customHeight="1">
      <c r="A110" s="17" t="s">
        <v>77</v>
      </c>
      <c r="B110" s="209"/>
      <c r="C110" s="209"/>
      <c r="D110" s="2" t="s">
        <v>25</v>
      </c>
      <c r="E110" s="17" t="s">
        <v>58</v>
      </c>
      <c r="F110" s="1"/>
      <c r="G110" s="2" t="s">
        <v>25</v>
      </c>
      <c r="H110" s="18" t="s">
        <v>504</v>
      </c>
      <c r="I110" s="6"/>
      <c r="J110" s="19"/>
    </row>
    <row r="111" spans="1:10" ht="12.75" customHeight="1">
      <c r="A111" s="17" t="s">
        <v>30</v>
      </c>
      <c r="B111" s="1"/>
      <c r="C111" s="1"/>
      <c r="D111" s="2" t="s">
        <v>25</v>
      </c>
      <c r="E111" s="17" t="s">
        <v>52</v>
      </c>
      <c r="F111" s="1"/>
      <c r="G111" s="2" t="s">
        <v>25</v>
      </c>
      <c r="H111" s="18" t="s">
        <v>32</v>
      </c>
      <c r="I111" s="6"/>
      <c r="J111" s="19"/>
    </row>
    <row r="112" spans="1:10" ht="12.75" customHeight="1">
      <c r="A112" s="17" t="s">
        <v>34</v>
      </c>
      <c r="B112" s="1"/>
      <c r="C112" s="1"/>
      <c r="D112" s="2" t="s">
        <v>25</v>
      </c>
      <c r="E112" s="17" t="s">
        <v>35</v>
      </c>
      <c r="F112" s="1"/>
      <c r="G112" s="2">
        <v>9000</v>
      </c>
      <c r="H112" s="18"/>
      <c r="I112" s="6"/>
      <c r="J112" s="19"/>
    </row>
    <row r="113" spans="1:10" ht="12.75" customHeight="1">
      <c r="A113" s="17" t="s">
        <v>36</v>
      </c>
      <c r="B113" s="1"/>
      <c r="C113" s="1"/>
      <c r="D113" s="2" t="s">
        <v>25</v>
      </c>
      <c r="E113" s="17" t="s">
        <v>61</v>
      </c>
      <c r="F113" s="1"/>
      <c r="G113" s="2" t="s">
        <v>25</v>
      </c>
      <c r="H113" s="18"/>
      <c r="I113" s="6"/>
      <c r="J113" s="26"/>
    </row>
    <row r="114" spans="1:10" ht="12.75" customHeight="1">
      <c r="A114" s="17" t="s">
        <v>78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18"/>
      <c r="I114" s="6"/>
      <c r="J114" s="26"/>
    </row>
    <row r="115" spans="1:10" ht="12.75" customHeight="1">
      <c r="A115" s="18" t="s">
        <v>40</v>
      </c>
      <c r="B115" s="6"/>
      <c r="C115" s="6"/>
      <c r="D115" s="2" t="s">
        <v>25</v>
      </c>
      <c r="E115" s="17" t="s">
        <v>333</v>
      </c>
      <c r="F115" s="1"/>
      <c r="G115" s="2" t="s">
        <v>25</v>
      </c>
      <c r="H115" s="18"/>
      <c r="I115" s="6"/>
      <c r="J115" s="19"/>
    </row>
    <row r="116" spans="1:10" ht="12.75" customHeight="1">
      <c r="A116" s="204" t="s">
        <v>63</v>
      </c>
      <c r="B116" s="205"/>
      <c r="C116" s="206"/>
      <c r="D116" s="229">
        <f>SUM(D109:D115)</f>
        <v>18000</v>
      </c>
      <c r="E116" s="1" t="s">
        <v>78</v>
      </c>
      <c r="F116" s="1"/>
      <c r="G116" s="2" t="s">
        <v>25</v>
      </c>
      <c r="H116" s="18"/>
      <c r="I116" s="6"/>
      <c r="J116" s="19"/>
    </row>
    <row r="117" spans="1:10" ht="12.7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9100</v>
      </c>
      <c r="H117" s="21" t="s">
        <v>44</v>
      </c>
      <c r="I117" s="22"/>
      <c r="J117" s="13">
        <f>D116-G117</f>
        <v>8900</v>
      </c>
    </row>
    <row r="118" spans="1:10" ht="12.7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.75" customHeight="1"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2.7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2.7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2.75" customHeight="1">
      <c r="A123" s="1" t="s">
        <v>2</v>
      </c>
      <c r="B123" s="1"/>
      <c r="C123" s="209"/>
      <c r="D123" s="209"/>
      <c r="E123" s="2"/>
      <c r="F123" s="3"/>
      <c r="G123" s="1" t="s">
        <v>4</v>
      </c>
      <c r="H123" s="193" t="s">
        <v>1056</v>
      </c>
      <c r="I123" s="193"/>
      <c r="J123" s="193"/>
    </row>
    <row r="124" spans="1:10" ht="12.75" customHeight="1">
      <c r="A124" s="1" t="s">
        <v>6</v>
      </c>
      <c r="B124" s="1"/>
      <c r="C124" s="196" t="s">
        <v>1069</v>
      </c>
      <c r="D124" s="196"/>
      <c r="E124" s="2"/>
      <c r="F124" s="3"/>
      <c r="G124" s="1" t="s">
        <v>8</v>
      </c>
      <c r="H124" s="193" t="s">
        <v>9</v>
      </c>
      <c r="I124" s="193"/>
      <c r="J124" s="193"/>
    </row>
    <row r="125" spans="1:10" ht="12.75" customHeight="1">
      <c r="A125" s="6" t="s">
        <v>10</v>
      </c>
      <c r="B125" s="6"/>
      <c r="C125" s="209" t="s">
        <v>1065</v>
      </c>
      <c r="D125" s="209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2.75" customHeight="1">
      <c r="A126" s="6" t="s">
        <v>14</v>
      </c>
      <c r="B126" s="6"/>
      <c r="C126" s="2" t="s">
        <v>15</v>
      </c>
      <c r="D126" s="2"/>
      <c r="E126" s="36"/>
      <c r="F126" s="3"/>
      <c r="G126" s="1" t="s">
        <v>16</v>
      </c>
      <c r="H126" s="196" t="s">
        <v>55</v>
      </c>
      <c r="I126" s="196"/>
      <c r="J126" s="196"/>
    </row>
    <row r="127" spans="1:10" ht="12.75" customHeight="1">
      <c r="A127" s="6">
        <v>30</v>
      </c>
      <c r="B127" s="6"/>
      <c r="C127" s="2">
        <f>A127-I127</f>
        <v>0</v>
      </c>
      <c r="D127" s="2"/>
      <c r="E127" s="2"/>
      <c r="F127" s="3"/>
      <c r="G127" s="8" t="s">
        <v>18</v>
      </c>
      <c r="H127" s="8"/>
      <c r="I127" s="9">
        <v>30</v>
      </c>
      <c r="J127" s="9"/>
    </row>
    <row r="128" spans="1:10" ht="12.7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/>
      <c r="I128" s="202"/>
      <c r="J128" s="203"/>
    </row>
    <row r="129" spans="1:10" ht="12.75" customHeight="1">
      <c r="A129" s="17" t="s">
        <v>23</v>
      </c>
      <c r="B129" s="1"/>
      <c r="C129" s="1"/>
      <c r="D129" s="2">
        <v>25000</v>
      </c>
      <c r="E129" s="17" t="s">
        <v>24</v>
      </c>
      <c r="F129" s="1"/>
      <c r="G129" s="2" t="s">
        <v>25</v>
      </c>
      <c r="H129" s="18" t="s">
        <v>502</v>
      </c>
      <c r="I129" s="6"/>
      <c r="J129" s="19"/>
    </row>
    <row r="130" spans="1:10" ht="12.75" customHeight="1">
      <c r="A130" s="17" t="s">
        <v>77</v>
      </c>
      <c r="B130" s="209"/>
      <c r="C130" s="209"/>
      <c r="D130" s="2" t="s">
        <v>25</v>
      </c>
      <c r="E130" s="17" t="s">
        <v>58</v>
      </c>
      <c r="F130" s="1"/>
      <c r="G130" s="2" t="s">
        <v>25</v>
      </c>
      <c r="H130" s="18" t="s">
        <v>504</v>
      </c>
      <c r="I130" s="6"/>
      <c r="J130" s="19"/>
    </row>
    <row r="131" spans="1:10" ht="12.75" customHeight="1">
      <c r="A131" s="17" t="s">
        <v>30</v>
      </c>
      <c r="B131" s="1"/>
      <c r="C131" s="1"/>
      <c r="D131" s="2" t="s">
        <v>25</v>
      </c>
      <c r="E131" s="17" t="s">
        <v>52</v>
      </c>
      <c r="F131" s="1"/>
      <c r="G131" s="2">
        <v>100</v>
      </c>
      <c r="H131" s="18" t="s">
        <v>32</v>
      </c>
      <c r="I131" s="6"/>
      <c r="J131" s="19"/>
    </row>
    <row r="132" spans="1:10" ht="12.75" customHeight="1">
      <c r="A132" s="17" t="s">
        <v>34</v>
      </c>
      <c r="B132" s="1"/>
      <c r="C132" s="1"/>
      <c r="D132" s="2" t="s">
        <v>25</v>
      </c>
      <c r="E132" s="17" t="s">
        <v>35</v>
      </c>
      <c r="F132" s="1"/>
      <c r="G132" s="2" t="s">
        <v>25</v>
      </c>
      <c r="H132" s="18"/>
      <c r="I132" s="6"/>
      <c r="J132" s="19"/>
    </row>
    <row r="133" spans="1:10" ht="12.75" customHeight="1">
      <c r="A133" s="17" t="s">
        <v>36</v>
      </c>
      <c r="B133" s="1"/>
      <c r="C133" s="1"/>
      <c r="D133" s="2" t="s">
        <v>25</v>
      </c>
      <c r="E133" s="17" t="s">
        <v>61</v>
      </c>
      <c r="F133" s="1"/>
      <c r="G133" s="2" t="s">
        <v>25</v>
      </c>
      <c r="H133" s="18"/>
      <c r="I133" s="6"/>
      <c r="J133" s="26"/>
    </row>
    <row r="134" spans="1:10" ht="12.75" customHeight="1">
      <c r="A134" s="17" t="s">
        <v>78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8"/>
      <c r="I134" s="6"/>
      <c r="J134" s="26"/>
    </row>
    <row r="135" spans="1:10" ht="12.75" customHeight="1">
      <c r="A135" s="18" t="s">
        <v>40</v>
      </c>
      <c r="B135" s="6"/>
      <c r="C135" s="6"/>
      <c r="D135" s="2" t="s">
        <v>25</v>
      </c>
      <c r="E135" s="17" t="s">
        <v>333</v>
      </c>
      <c r="F135" s="1"/>
      <c r="G135" s="2" t="s">
        <v>25</v>
      </c>
      <c r="H135" s="18"/>
      <c r="I135" s="6"/>
      <c r="J135" s="19"/>
    </row>
    <row r="136" spans="1:10" ht="12.75" customHeight="1">
      <c r="A136" s="204" t="s">
        <v>63</v>
      </c>
      <c r="B136" s="205"/>
      <c r="C136" s="206"/>
      <c r="D136" s="229">
        <f>SUM(D129:D135)</f>
        <v>25000</v>
      </c>
      <c r="E136" s="1" t="s">
        <v>78</v>
      </c>
      <c r="F136" s="1"/>
      <c r="G136" s="2" t="s">
        <v>25</v>
      </c>
      <c r="H136" s="18"/>
      <c r="I136" s="6"/>
      <c r="J136" s="19"/>
    </row>
    <row r="137" spans="1:10" ht="12.7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200</v>
      </c>
      <c r="H137" s="21" t="s">
        <v>44</v>
      </c>
      <c r="I137" s="22"/>
      <c r="J137" s="13">
        <f>D136-G137</f>
        <v>24800</v>
      </c>
    </row>
    <row r="138" spans="1:10" ht="12.7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2.75" customHeight="1"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2.7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2.7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2.75" customHeight="1">
      <c r="A143" s="1" t="s">
        <v>2</v>
      </c>
      <c r="B143" s="1"/>
      <c r="C143" s="194"/>
      <c r="D143" s="194"/>
      <c r="E143" s="2"/>
      <c r="F143" s="3"/>
      <c r="G143" s="1" t="s">
        <v>4</v>
      </c>
      <c r="H143" s="191" t="s">
        <v>1056</v>
      </c>
      <c r="I143" s="191"/>
      <c r="J143" s="191"/>
    </row>
    <row r="144" spans="1:10" ht="12.75" customHeight="1">
      <c r="A144" s="1" t="s">
        <v>6</v>
      </c>
      <c r="B144" s="1"/>
      <c r="C144" s="192" t="s">
        <v>1070</v>
      </c>
      <c r="D144" s="192"/>
      <c r="E144" s="2"/>
      <c r="F144" s="3"/>
      <c r="G144" s="1" t="s">
        <v>8</v>
      </c>
      <c r="H144" s="193" t="s">
        <v>9</v>
      </c>
      <c r="I144" s="193"/>
      <c r="J144" s="193"/>
    </row>
    <row r="145" spans="1:10" ht="12.75" customHeight="1">
      <c r="A145" s="6" t="s">
        <v>10</v>
      </c>
      <c r="B145" s="6"/>
      <c r="C145" s="194" t="s">
        <v>1065</v>
      </c>
      <c r="D145" s="194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2.75" customHeight="1">
      <c r="A146" s="2" t="s">
        <v>14</v>
      </c>
      <c r="B146" s="2"/>
      <c r="C146" s="2" t="s">
        <v>15</v>
      </c>
      <c r="D146" s="2"/>
      <c r="E146" s="2"/>
      <c r="F146" s="3"/>
      <c r="G146" s="1" t="s">
        <v>16</v>
      </c>
      <c r="H146" s="196" t="s">
        <v>55</v>
      </c>
      <c r="I146" s="196"/>
      <c r="J146" s="196"/>
    </row>
    <row r="147" spans="1:10" ht="12.75" customHeight="1">
      <c r="A147" s="2">
        <v>30</v>
      </c>
      <c r="B147" s="2"/>
      <c r="C147" s="2">
        <f>A147-H147</f>
        <v>0</v>
      </c>
      <c r="D147" s="2"/>
      <c r="E147" s="2"/>
      <c r="F147" s="3"/>
      <c r="G147" s="8" t="s">
        <v>18</v>
      </c>
      <c r="H147" s="197">
        <v>30</v>
      </c>
      <c r="I147" s="197"/>
      <c r="J147" s="197"/>
    </row>
    <row r="148" spans="1:10" ht="12.7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2.75" customHeight="1">
      <c r="A149" s="17" t="s">
        <v>23</v>
      </c>
      <c r="B149" s="1"/>
      <c r="C149" s="1"/>
      <c r="D149" s="2">
        <v>15000</v>
      </c>
      <c r="E149" s="17" t="s">
        <v>24</v>
      </c>
      <c r="F149" s="1"/>
      <c r="G149" s="2" t="s">
        <v>25</v>
      </c>
      <c r="H149" s="18" t="s">
        <v>502</v>
      </c>
      <c r="I149" s="6"/>
      <c r="J149" s="19"/>
    </row>
    <row r="150" spans="1:10" ht="12.75" customHeight="1">
      <c r="A150" s="17" t="s">
        <v>77</v>
      </c>
      <c r="B150" s="209"/>
      <c r="C150" s="209"/>
      <c r="D150" s="2" t="s">
        <v>25</v>
      </c>
      <c r="E150" s="17" t="s">
        <v>52</v>
      </c>
      <c r="F150" s="1"/>
      <c r="G150" s="2">
        <v>1110</v>
      </c>
      <c r="H150" s="18" t="s">
        <v>504</v>
      </c>
      <c r="I150" s="6"/>
      <c r="J150" s="19"/>
    </row>
    <row r="151" spans="1:10" ht="12.75" customHeight="1">
      <c r="A151" s="17" t="s">
        <v>30</v>
      </c>
      <c r="B151" s="1"/>
      <c r="C151" s="1"/>
      <c r="D151" s="2" t="s">
        <v>25</v>
      </c>
      <c r="E151" s="17" t="s">
        <v>40</v>
      </c>
      <c r="F151" s="1"/>
      <c r="G151" s="2" t="s">
        <v>25</v>
      </c>
      <c r="H151" s="18" t="s">
        <v>32</v>
      </c>
      <c r="I151" s="6"/>
      <c r="J151" s="19"/>
    </row>
    <row r="152" spans="1:10" ht="12.75" customHeight="1">
      <c r="A152" s="17" t="s">
        <v>34</v>
      </c>
      <c r="B152" s="1"/>
      <c r="C152" s="1"/>
      <c r="D152" s="2" t="s">
        <v>25</v>
      </c>
      <c r="E152" s="17" t="s">
        <v>71</v>
      </c>
      <c r="F152" s="1"/>
      <c r="G152" s="2" t="s">
        <v>25</v>
      </c>
      <c r="H152" s="18"/>
      <c r="I152" s="36"/>
      <c r="J152" s="19"/>
    </row>
    <row r="153" spans="1:10" ht="12.75" customHeight="1">
      <c r="A153" s="17" t="s">
        <v>72</v>
      </c>
      <c r="B153" s="1"/>
      <c r="C153" s="1"/>
      <c r="D153" s="2" t="s">
        <v>25</v>
      </c>
      <c r="E153" s="17" t="s">
        <v>61</v>
      </c>
      <c r="F153" s="1"/>
      <c r="G153" s="2" t="s">
        <v>25</v>
      </c>
      <c r="H153" s="42"/>
      <c r="I153" s="36"/>
      <c r="J153" s="43"/>
    </row>
    <row r="154" spans="1:10" ht="12.75" customHeight="1">
      <c r="A154" s="17" t="s">
        <v>78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44"/>
      <c r="I154" s="36"/>
      <c r="J154" s="43"/>
    </row>
    <row r="155" spans="1:10" ht="12.75" customHeight="1">
      <c r="A155" s="18" t="s">
        <v>40</v>
      </c>
      <c r="B155" s="6"/>
      <c r="C155" s="6"/>
      <c r="D155" s="2" t="s">
        <v>25</v>
      </c>
      <c r="E155" s="17" t="s">
        <v>41</v>
      </c>
      <c r="F155" s="1"/>
      <c r="G155" s="2" t="s">
        <v>25</v>
      </c>
      <c r="H155" s="42"/>
      <c r="I155" s="36"/>
      <c r="J155" s="43"/>
    </row>
    <row r="156" spans="1:10" ht="12.75" customHeight="1">
      <c r="A156" s="204" t="s">
        <v>63</v>
      </c>
      <c r="B156" s="205"/>
      <c r="C156" s="206"/>
      <c r="D156" s="229">
        <f>SUM(D149:D155)</f>
        <v>15000</v>
      </c>
      <c r="E156" s="1" t="s">
        <v>78</v>
      </c>
      <c r="F156" s="1"/>
      <c r="G156" s="2" t="s">
        <v>25</v>
      </c>
      <c r="H156" s="18"/>
      <c r="I156" s="6"/>
      <c r="J156" s="19"/>
    </row>
    <row r="157" spans="1:10" ht="12.7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1210</v>
      </c>
      <c r="H157" s="21" t="s">
        <v>44</v>
      </c>
      <c r="I157" s="22"/>
      <c r="J157" s="13">
        <f>D156-G157</f>
        <v>13790</v>
      </c>
    </row>
    <row r="158" spans="1:10" ht="12.7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2.75" customHeight="1">
      <c r="A159" s="3"/>
      <c r="B159" s="3" t="s">
        <v>47</v>
      </c>
      <c r="C159" s="3"/>
      <c r="D159" s="3"/>
      <c r="E159" s="3" t="s">
        <v>48</v>
      </c>
      <c r="F159" s="3"/>
      <c r="G159" s="3"/>
      <c r="H159" s="3" t="s">
        <v>49</v>
      </c>
      <c r="I159" s="3"/>
      <c r="J159" s="3"/>
    </row>
    <row r="160" spans="1:10" ht="12.75" customHeight="1"/>
    <row r="161" spans="1:10" ht="12.75" customHeight="1">
      <c r="A161" s="184" t="s">
        <v>0</v>
      </c>
      <c r="B161" s="185"/>
      <c r="C161" s="185"/>
      <c r="D161" s="185"/>
      <c r="E161" s="185"/>
      <c r="F161" s="185"/>
      <c r="G161" s="185"/>
      <c r="H161" s="185"/>
      <c r="I161" s="185"/>
      <c r="J161" s="186"/>
    </row>
    <row r="162" spans="1:10" ht="12.75" customHeight="1">
      <c r="A162" s="187" t="s">
        <v>1</v>
      </c>
      <c r="B162" s="188"/>
      <c r="C162" s="188"/>
      <c r="D162" s="188"/>
      <c r="E162" s="188"/>
      <c r="F162" s="188"/>
      <c r="G162" s="188"/>
      <c r="H162" s="188"/>
      <c r="I162" s="188"/>
      <c r="J162" s="189"/>
    </row>
    <row r="163" spans="1:10" ht="12.75" customHeight="1">
      <c r="A163" s="1" t="s">
        <v>2</v>
      </c>
      <c r="B163" s="1"/>
      <c r="C163" s="194"/>
      <c r="D163" s="194"/>
      <c r="E163" s="2"/>
      <c r="F163" s="3"/>
      <c r="G163" s="1" t="s">
        <v>4</v>
      </c>
      <c r="H163" s="191" t="s">
        <v>1056</v>
      </c>
      <c r="I163" s="191"/>
      <c r="J163" s="191"/>
    </row>
    <row r="164" spans="1:10" ht="12.75" customHeight="1">
      <c r="A164" s="1" t="s">
        <v>6</v>
      </c>
      <c r="B164" s="1"/>
      <c r="C164" s="192" t="s">
        <v>1071</v>
      </c>
      <c r="D164" s="192"/>
      <c r="E164" s="2"/>
      <c r="F164" s="3"/>
      <c r="G164" s="1" t="s">
        <v>8</v>
      </c>
      <c r="H164" s="193" t="s">
        <v>9</v>
      </c>
      <c r="I164" s="193"/>
      <c r="J164" s="193"/>
    </row>
    <row r="165" spans="1:10" ht="12.75" customHeight="1">
      <c r="A165" s="6" t="s">
        <v>10</v>
      </c>
      <c r="B165" s="6"/>
      <c r="C165" s="194" t="s">
        <v>1065</v>
      </c>
      <c r="D165" s="194"/>
      <c r="E165" s="2"/>
      <c r="F165" s="3"/>
      <c r="G165" s="1" t="s">
        <v>12</v>
      </c>
      <c r="H165" s="195" t="s">
        <v>13</v>
      </c>
      <c r="I165" s="195"/>
      <c r="J165" s="195"/>
    </row>
    <row r="166" spans="1:10" ht="12.75" customHeight="1">
      <c r="A166" s="2" t="s">
        <v>14</v>
      </c>
      <c r="B166" s="2"/>
      <c r="C166" s="2" t="s">
        <v>15</v>
      </c>
      <c r="D166" s="2"/>
      <c r="E166" s="2"/>
      <c r="F166" s="3"/>
      <c r="G166" s="1" t="s">
        <v>16</v>
      </c>
      <c r="H166" s="196" t="s">
        <v>55</v>
      </c>
      <c r="I166" s="196"/>
      <c r="J166" s="196"/>
    </row>
    <row r="167" spans="1:10" ht="12.75" customHeight="1">
      <c r="A167" s="2">
        <v>30</v>
      </c>
      <c r="B167" s="2"/>
      <c r="C167" s="2">
        <f>A167-H167</f>
        <v>19</v>
      </c>
      <c r="D167" s="2"/>
      <c r="E167" s="2"/>
      <c r="F167" s="3"/>
      <c r="G167" s="8" t="s">
        <v>18</v>
      </c>
      <c r="H167" s="197">
        <v>11</v>
      </c>
      <c r="I167" s="197"/>
      <c r="J167" s="197"/>
    </row>
    <row r="168" spans="1:10" ht="12.75" customHeight="1">
      <c r="A168" s="198" t="s">
        <v>19</v>
      </c>
      <c r="B168" s="199"/>
      <c r="C168" s="200"/>
      <c r="D168" s="13" t="s">
        <v>20</v>
      </c>
      <c r="E168" s="14" t="s">
        <v>21</v>
      </c>
      <c r="F168" s="15"/>
      <c r="G168" s="16" t="s">
        <v>20</v>
      </c>
      <c r="H168" s="201" t="s">
        <v>22</v>
      </c>
      <c r="I168" s="202"/>
      <c r="J168" s="203"/>
    </row>
    <row r="169" spans="1:10" ht="12.75" customHeight="1">
      <c r="A169" s="17" t="s">
        <v>23</v>
      </c>
      <c r="B169" s="1"/>
      <c r="C169" s="1"/>
      <c r="D169" s="2">
        <v>20000</v>
      </c>
      <c r="E169" s="17" t="s">
        <v>24</v>
      </c>
      <c r="F169" s="1"/>
      <c r="G169" s="2" t="s">
        <v>25</v>
      </c>
      <c r="H169" s="18" t="s">
        <v>502</v>
      </c>
      <c r="I169" s="6"/>
      <c r="J169" s="19"/>
    </row>
    <row r="170" spans="1:10" ht="12.75" customHeight="1">
      <c r="A170" s="17" t="s">
        <v>77</v>
      </c>
      <c r="B170" s="209"/>
      <c r="C170" s="209"/>
      <c r="D170" s="2" t="s">
        <v>25</v>
      </c>
      <c r="E170" s="17" t="s">
        <v>52</v>
      </c>
      <c r="F170" s="1"/>
      <c r="G170" s="2">
        <v>60</v>
      </c>
      <c r="H170" s="18" t="s">
        <v>504</v>
      </c>
      <c r="I170" s="6"/>
      <c r="J170" s="19"/>
    </row>
    <row r="171" spans="1:10" ht="12.75" customHeight="1">
      <c r="A171" s="17" t="s">
        <v>30</v>
      </c>
      <c r="B171" s="1"/>
      <c r="C171" s="1"/>
      <c r="D171" s="2" t="s">
        <v>25</v>
      </c>
      <c r="E171" s="17" t="s">
        <v>40</v>
      </c>
      <c r="F171" s="1"/>
      <c r="G171" s="2" t="s">
        <v>25</v>
      </c>
      <c r="H171" s="18" t="s">
        <v>32</v>
      </c>
      <c r="I171" s="6"/>
      <c r="J171" s="19"/>
    </row>
    <row r="172" spans="1:10" ht="12.75" customHeight="1">
      <c r="A172" s="17" t="s">
        <v>34</v>
      </c>
      <c r="B172" s="1"/>
      <c r="C172" s="1"/>
      <c r="D172" s="2" t="s">
        <v>25</v>
      </c>
      <c r="E172" s="17" t="s">
        <v>71</v>
      </c>
      <c r="F172" s="1"/>
      <c r="G172" s="2">
        <v>12667</v>
      </c>
      <c r="H172" s="18"/>
      <c r="I172" s="36"/>
      <c r="J172" s="19"/>
    </row>
    <row r="173" spans="1:10" ht="12.75" customHeight="1">
      <c r="A173" s="17" t="s">
        <v>72</v>
      </c>
      <c r="B173" s="1"/>
      <c r="C173" s="1"/>
      <c r="D173" s="2" t="s">
        <v>25</v>
      </c>
      <c r="E173" s="17" t="s">
        <v>61</v>
      </c>
      <c r="F173" s="1"/>
      <c r="G173" s="2" t="s">
        <v>25</v>
      </c>
      <c r="H173" s="42"/>
      <c r="I173" s="36"/>
      <c r="J173" s="43"/>
    </row>
    <row r="174" spans="1:10" ht="12.75" customHeight="1">
      <c r="A174" s="17" t="s">
        <v>78</v>
      </c>
      <c r="B174" s="1"/>
      <c r="C174" s="1"/>
      <c r="D174" s="2" t="s">
        <v>25</v>
      </c>
      <c r="E174" s="17" t="s">
        <v>39</v>
      </c>
      <c r="F174" s="1"/>
      <c r="G174" s="2">
        <v>100</v>
      </c>
      <c r="H174" s="44"/>
      <c r="I174" s="36"/>
      <c r="J174" s="43"/>
    </row>
    <row r="175" spans="1:10" ht="12.75" customHeight="1">
      <c r="A175" s="18" t="s">
        <v>40</v>
      </c>
      <c r="B175" s="6"/>
      <c r="C175" s="6"/>
      <c r="D175" s="2" t="s">
        <v>25</v>
      </c>
      <c r="E175" s="17" t="s">
        <v>41</v>
      </c>
      <c r="F175" s="1"/>
      <c r="G175" s="2" t="s">
        <v>25</v>
      </c>
      <c r="H175" s="42"/>
      <c r="I175" s="36"/>
      <c r="J175" s="43"/>
    </row>
    <row r="176" spans="1:10" ht="12.75" customHeight="1">
      <c r="A176" s="204" t="s">
        <v>63</v>
      </c>
      <c r="B176" s="205"/>
      <c r="C176" s="206"/>
      <c r="D176" s="229">
        <f>SUM(D169:D175)</f>
        <v>20000</v>
      </c>
      <c r="E176" s="1" t="s">
        <v>78</v>
      </c>
      <c r="F176" s="1"/>
      <c r="G176" s="2" t="s">
        <v>25</v>
      </c>
      <c r="H176" s="18"/>
      <c r="I176" s="6"/>
      <c r="J176" s="19"/>
    </row>
    <row r="177" spans="1:10" ht="12.75" customHeight="1">
      <c r="A177" s="207"/>
      <c r="B177" s="197"/>
      <c r="C177" s="208"/>
      <c r="D177" s="230"/>
      <c r="E177" s="21" t="s">
        <v>21</v>
      </c>
      <c r="F177" s="22"/>
      <c r="G177" s="13">
        <f>SUM(G169:G176)</f>
        <v>12827</v>
      </c>
      <c r="H177" s="21" t="s">
        <v>44</v>
      </c>
      <c r="I177" s="22"/>
      <c r="J177" s="13">
        <f>D176-G177</f>
        <v>7173</v>
      </c>
    </row>
    <row r="178" spans="1:10" ht="12.75" customHeight="1">
      <c r="A178" s="3" t="s">
        <v>45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2.75" customHeight="1">
      <c r="A179" s="3"/>
      <c r="B179" s="3" t="s">
        <v>47</v>
      </c>
      <c r="C179" s="3"/>
      <c r="D179" s="3"/>
      <c r="E179" s="3" t="s">
        <v>48</v>
      </c>
      <c r="F179" s="3"/>
      <c r="G179" s="3"/>
      <c r="H179" s="3" t="s">
        <v>49</v>
      </c>
      <c r="I179" s="3"/>
      <c r="J179" s="3"/>
    </row>
    <row r="180" spans="1:10" ht="12.75" customHeight="1"/>
    <row r="181" spans="1:10" ht="12.75" customHeight="1">
      <c r="A181" s="184" t="s">
        <v>0</v>
      </c>
      <c r="B181" s="185"/>
      <c r="C181" s="185"/>
      <c r="D181" s="185"/>
      <c r="E181" s="185"/>
      <c r="F181" s="185"/>
      <c r="G181" s="185"/>
      <c r="H181" s="185"/>
      <c r="I181" s="185"/>
      <c r="J181" s="186"/>
    </row>
    <row r="182" spans="1:10" ht="12.75" customHeight="1">
      <c r="A182" s="187" t="s">
        <v>1</v>
      </c>
      <c r="B182" s="188"/>
      <c r="C182" s="188"/>
      <c r="D182" s="188"/>
      <c r="E182" s="188"/>
      <c r="F182" s="188"/>
      <c r="G182" s="188"/>
      <c r="H182" s="188"/>
      <c r="I182" s="188"/>
      <c r="J182" s="189"/>
    </row>
    <row r="183" spans="1:10" ht="12.75" customHeight="1">
      <c r="A183" s="1" t="s">
        <v>2</v>
      </c>
      <c r="B183" s="1"/>
      <c r="C183" s="194"/>
      <c r="D183" s="194"/>
      <c r="E183" s="2"/>
      <c r="F183" s="3"/>
      <c r="G183" s="1" t="s">
        <v>4</v>
      </c>
      <c r="H183" s="191" t="s">
        <v>1056</v>
      </c>
      <c r="I183" s="191"/>
      <c r="J183" s="191"/>
    </row>
    <row r="184" spans="1:10" ht="12.75" customHeight="1">
      <c r="A184" s="1" t="s">
        <v>6</v>
      </c>
      <c r="B184" s="1"/>
      <c r="C184" s="192" t="s">
        <v>1072</v>
      </c>
      <c r="D184" s="192"/>
      <c r="E184" s="2"/>
      <c r="F184" s="3"/>
      <c r="G184" s="1" t="s">
        <v>8</v>
      </c>
      <c r="H184" s="193" t="s">
        <v>9</v>
      </c>
      <c r="I184" s="193"/>
      <c r="J184" s="193"/>
    </row>
    <row r="185" spans="1:10" ht="12.75" customHeight="1">
      <c r="A185" s="6" t="s">
        <v>10</v>
      </c>
      <c r="B185" s="6"/>
      <c r="C185" s="194" t="s">
        <v>1065</v>
      </c>
      <c r="D185" s="194"/>
      <c r="E185" s="2"/>
      <c r="F185" s="3"/>
      <c r="G185" s="1" t="s">
        <v>12</v>
      </c>
      <c r="H185" s="195" t="s">
        <v>13</v>
      </c>
      <c r="I185" s="195"/>
      <c r="J185" s="195"/>
    </row>
    <row r="186" spans="1:10" ht="12.75" customHeight="1">
      <c r="A186" s="2" t="s">
        <v>14</v>
      </c>
      <c r="B186" s="2"/>
      <c r="C186" s="2" t="s">
        <v>15</v>
      </c>
      <c r="D186" s="2"/>
      <c r="E186" s="2"/>
      <c r="F186" s="3"/>
      <c r="G186" s="1" t="s">
        <v>16</v>
      </c>
      <c r="H186" s="196" t="s">
        <v>55</v>
      </c>
      <c r="I186" s="196"/>
      <c r="J186" s="196"/>
    </row>
    <row r="187" spans="1:10" ht="12.75" customHeight="1">
      <c r="A187" s="2">
        <v>30</v>
      </c>
      <c r="B187" s="2"/>
      <c r="C187" s="2">
        <f>A187-H187</f>
        <v>0</v>
      </c>
      <c r="D187" s="2"/>
      <c r="E187" s="2"/>
      <c r="F187" s="3"/>
      <c r="G187" s="8" t="s">
        <v>18</v>
      </c>
      <c r="H187" s="197">
        <v>30</v>
      </c>
      <c r="I187" s="197"/>
      <c r="J187" s="197"/>
    </row>
    <row r="188" spans="1:10" ht="12.75" customHeight="1">
      <c r="A188" s="198" t="s">
        <v>19</v>
      </c>
      <c r="B188" s="199"/>
      <c r="C188" s="200"/>
      <c r="D188" s="13" t="s">
        <v>20</v>
      </c>
      <c r="E188" s="14" t="s">
        <v>21</v>
      </c>
      <c r="F188" s="15"/>
      <c r="G188" s="16" t="s">
        <v>20</v>
      </c>
      <c r="H188" s="201" t="s">
        <v>22</v>
      </c>
      <c r="I188" s="202"/>
      <c r="J188" s="203"/>
    </row>
    <row r="189" spans="1:10" ht="12.75" customHeight="1">
      <c r="A189" s="17" t="s">
        <v>23</v>
      </c>
      <c r="B189" s="1"/>
      <c r="C189" s="1"/>
      <c r="D189" s="2">
        <v>18000</v>
      </c>
      <c r="E189" s="17" t="s">
        <v>24</v>
      </c>
      <c r="F189" s="1"/>
      <c r="G189" s="2" t="s">
        <v>25</v>
      </c>
      <c r="H189" s="18" t="s">
        <v>502</v>
      </c>
      <c r="I189" s="6"/>
      <c r="J189" s="19"/>
    </row>
    <row r="190" spans="1:10" ht="12.75" customHeight="1">
      <c r="A190" s="17" t="s">
        <v>77</v>
      </c>
      <c r="B190" s="209"/>
      <c r="C190" s="209"/>
      <c r="D190" s="2" t="s">
        <v>25</v>
      </c>
      <c r="E190" s="17" t="s">
        <v>58</v>
      </c>
      <c r="F190" s="1"/>
      <c r="G190" s="2" t="s">
        <v>25</v>
      </c>
      <c r="H190" s="18" t="s">
        <v>504</v>
      </c>
      <c r="I190" s="6"/>
      <c r="J190" s="19"/>
    </row>
    <row r="191" spans="1:10" ht="12.75" customHeight="1">
      <c r="A191" s="17" t="s">
        <v>30</v>
      </c>
      <c r="B191" s="1"/>
      <c r="C191" s="1"/>
      <c r="D191" s="2" t="s">
        <v>25</v>
      </c>
      <c r="E191" s="17" t="s">
        <v>40</v>
      </c>
      <c r="F191" s="1"/>
      <c r="G191" s="2" t="s">
        <v>25</v>
      </c>
      <c r="H191" s="18" t="s">
        <v>32</v>
      </c>
      <c r="I191" s="6"/>
      <c r="J191" s="19"/>
    </row>
    <row r="192" spans="1:10" ht="12.75" customHeight="1">
      <c r="A192" s="17" t="s">
        <v>34</v>
      </c>
      <c r="B192" s="1"/>
      <c r="C192" s="1"/>
      <c r="D192" s="2" t="s">
        <v>25</v>
      </c>
      <c r="E192" s="17" t="s">
        <v>71</v>
      </c>
      <c r="F192" s="1"/>
      <c r="G192" s="2" t="s">
        <v>25</v>
      </c>
      <c r="H192" s="18"/>
      <c r="I192" s="36"/>
      <c r="J192" s="19"/>
    </row>
    <row r="193" spans="1:10" ht="12.75" customHeight="1">
      <c r="A193" s="17" t="s">
        <v>72</v>
      </c>
      <c r="B193" s="1"/>
      <c r="C193" s="1"/>
      <c r="D193" s="2" t="s">
        <v>25</v>
      </c>
      <c r="E193" s="17" t="s">
        <v>61</v>
      </c>
      <c r="F193" s="1"/>
      <c r="G193" s="2" t="s">
        <v>25</v>
      </c>
      <c r="H193" s="42"/>
      <c r="I193" s="36"/>
      <c r="J193" s="43"/>
    </row>
    <row r="194" spans="1:10" ht="12.75" customHeight="1">
      <c r="A194" s="17" t="s">
        <v>78</v>
      </c>
      <c r="B194" s="1"/>
      <c r="C194" s="1"/>
      <c r="D194" s="2" t="s">
        <v>25</v>
      </c>
      <c r="E194" s="17" t="s">
        <v>39</v>
      </c>
      <c r="F194" s="1"/>
      <c r="G194" s="2">
        <v>100</v>
      </c>
      <c r="H194" s="44"/>
      <c r="I194" s="36"/>
      <c r="J194" s="43"/>
    </row>
    <row r="195" spans="1:10" ht="12.75" customHeight="1">
      <c r="A195" s="18" t="s">
        <v>40</v>
      </c>
      <c r="B195" s="6"/>
      <c r="C195" s="6"/>
      <c r="D195" s="2" t="s">
        <v>25</v>
      </c>
      <c r="E195" s="17" t="s">
        <v>41</v>
      </c>
      <c r="F195" s="1"/>
      <c r="G195" s="2" t="s">
        <v>25</v>
      </c>
      <c r="H195" s="42"/>
      <c r="I195" s="36"/>
      <c r="J195" s="43"/>
    </row>
    <row r="196" spans="1:10" ht="12.75" customHeight="1">
      <c r="A196" s="204" t="s">
        <v>63</v>
      </c>
      <c r="B196" s="205"/>
      <c r="C196" s="206"/>
      <c r="D196" s="229">
        <f>SUM(D189:D195)</f>
        <v>18000</v>
      </c>
      <c r="E196" s="1" t="s">
        <v>78</v>
      </c>
      <c r="F196" s="1"/>
      <c r="G196" s="2" t="s">
        <v>25</v>
      </c>
      <c r="H196" s="18"/>
      <c r="I196" s="6"/>
      <c r="J196" s="19"/>
    </row>
    <row r="197" spans="1:10" ht="12.75" customHeight="1">
      <c r="A197" s="207"/>
      <c r="B197" s="197"/>
      <c r="C197" s="208"/>
      <c r="D197" s="230"/>
      <c r="E197" s="21" t="s">
        <v>21</v>
      </c>
      <c r="F197" s="22"/>
      <c r="G197" s="13">
        <f>SUM(G189:G196)</f>
        <v>100</v>
      </c>
      <c r="H197" s="21" t="s">
        <v>44</v>
      </c>
      <c r="I197" s="22"/>
      <c r="J197" s="13">
        <f>D196-G197</f>
        <v>17900</v>
      </c>
    </row>
    <row r="198" spans="1:10" ht="12.75" customHeight="1">
      <c r="A198" s="3" t="s">
        <v>45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2.75" customHeight="1">
      <c r="A199" s="3"/>
      <c r="B199" s="3" t="s">
        <v>47</v>
      </c>
      <c r="C199" s="3"/>
      <c r="D199" s="3"/>
      <c r="E199" s="3" t="s">
        <v>48</v>
      </c>
      <c r="F199" s="3"/>
      <c r="G199" s="3"/>
      <c r="H199" s="3" t="s">
        <v>49</v>
      </c>
      <c r="I199" s="3"/>
      <c r="J199" s="3"/>
    </row>
    <row r="200" spans="1:10" ht="12.75" customHeight="1"/>
    <row r="201" spans="1:10" ht="12.75" customHeight="1">
      <c r="A201" s="184" t="s">
        <v>0</v>
      </c>
      <c r="B201" s="185"/>
      <c r="C201" s="185"/>
      <c r="D201" s="185"/>
      <c r="E201" s="185"/>
      <c r="F201" s="185"/>
      <c r="G201" s="185"/>
      <c r="H201" s="185"/>
      <c r="I201" s="185"/>
      <c r="J201" s="186"/>
    </row>
    <row r="202" spans="1:10" ht="12.75" customHeight="1">
      <c r="A202" s="187" t="s">
        <v>1</v>
      </c>
      <c r="B202" s="188"/>
      <c r="C202" s="188"/>
      <c r="D202" s="188"/>
      <c r="E202" s="188"/>
      <c r="F202" s="188"/>
      <c r="G202" s="188"/>
      <c r="H202" s="188"/>
      <c r="I202" s="188"/>
      <c r="J202" s="189"/>
    </row>
    <row r="203" spans="1:10" ht="12.75" customHeight="1">
      <c r="A203" s="1" t="s">
        <v>2</v>
      </c>
      <c r="B203" s="1"/>
      <c r="C203" s="209"/>
      <c r="D203" s="209"/>
      <c r="E203" s="2"/>
      <c r="F203" s="3"/>
      <c r="G203" s="1" t="s">
        <v>4</v>
      </c>
      <c r="H203" s="193" t="s">
        <v>1056</v>
      </c>
      <c r="I203" s="193"/>
      <c r="J203" s="193"/>
    </row>
    <row r="204" spans="1:10" ht="12.75" customHeight="1">
      <c r="A204" s="1" t="s">
        <v>6</v>
      </c>
      <c r="B204" s="1"/>
      <c r="C204" s="196" t="s">
        <v>1073</v>
      </c>
      <c r="D204" s="196"/>
      <c r="E204" s="2"/>
      <c r="F204" s="3"/>
      <c r="G204" s="1" t="s">
        <v>8</v>
      </c>
      <c r="H204" s="193" t="s">
        <v>9</v>
      </c>
      <c r="I204" s="193"/>
      <c r="J204" s="193"/>
    </row>
    <row r="205" spans="1:10" ht="12.75" customHeight="1">
      <c r="A205" s="6" t="s">
        <v>10</v>
      </c>
      <c r="B205" s="6"/>
      <c r="C205" s="209" t="s">
        <v>825</v>
      </c>
      <c r="D205" s="209"/>
      <c r="E205" s="2"/>
      <c r="F205" s="3"/>
      <c r="G205" s="1" t="s">
        <v>12</v>
      </c>
      <c r="H205" s="195" t="s">
        <v>13</v>
      </c>
      <c r="I205" s="195"/>
      <c r="J205" s="195"/>
    </row>
    <row r="206" spans="1:10" ht="12.75" customHeight="1">
      <c r="A206" s="6" t="s">
        <v>14</v>
      </c>
      <c r="B206" s="6"/>
      <c r="C206" s="2" t="s">
        <v>15</v>
      </c>
      <c r="D206" s="2"/>
      <c r="E206" s="36"/>
      <c r="F206" s="3"/>
      <c r="G206" s="1" t="s">
        <v>16</v>
      </c>
      <c r="H206" s="196" t="s">
        <v>55</v>
      </c>
      <c r="I206" s="196"/>
      <c r="J206" s="196"/>
    </row>
    <row r="207" spans="1:10" ht="12.75" customHeight="1">
      <c r="A207" s="6">
        <v>30</v>
      </c>
      <c r="B207" s="6"/>
      <c r="C207" s="2">
        <f>A207-I207</f>
        <v>0</v>
      </c>
      <c r="D207" s="2"/>
      <c r="E207" s="2"/>
      <c r="F207" s="3"/>
      <c r="G207" s="8" t="s">
        <v>18</v>
      </c>
      <c r="H207" s="8"/>
      <c r="I207" s="9">
        <v>30</v>
      </c>
      <c r="J207" s="9"/>
    </row>
    <row r="208" spans="1:10" ht="12.75" customHeight="1">
      <c r="A208" s="198" t="s">
        <v>19</v>
      </c>
      <c r="B208" s="199"/>
      <c r="C208" s="200"/>
      <c r="D208" s="13" t="s">
        <v>20</v>
      </c>
      <c r="E208" s="14" t="s">
        <v>21</v>
      </c>
      <c r="F208" s="15"/>
      <c r="G208" s="16" t="s">
        <v>20</v>
      </c>
      <c r="H208" s="201"/>
      <c r="I208" s="202"/>
      <c r="J208" s="203"/>
    </row>
    <row r="209" spans="1:10" ht="12.75" customHeight="1">
      <c r="A209" s="17" t="s">
        <v>23</v>
      </c>
      <c r="B209" s="1"/>
      <c r="C209" s="1"/>
      <c r="D209" s="2">
        <v>12000</v>
      </c>
      <c r="E209" s="17" t="s">
        <v>24</v>
      </c>
      <c r="F209" s="1"/>
      <c r="G209" s="2" t="s">
        <v>25</v>
      </c>
      <c r="H209" s="18" t="s">
        <v>502</v>
      </c>
      <c r="I209" s="6"/>
      <c r="J209" s="19"/>
    </row>
    <row r="210" spans="1:10" ht="12.75" customHeight="1">
      <c r="A210" s="17" t="s">
        <v>77</v>
      </c>
      <c r="B210" s="209"/>
      <c r="C210" s="209"/>
      <c r="D210" s="2" t="s">
        <v>25</v>
      </c>
      <c r="E210" s="17" t="s">
        <v>28</v>
      </c>
      <c r="F210" s="1"/>
      <c r="G210" s="2" t="s">
        <v>25</v>
      </c>
      <c r="H210" s="18" t="s">
        <v>504</v>
      </c>
      <c r="I210" s="6"/>
      <c r="J210" s="19"/>
    </row>
    <row r="211" spans="1:10" ht="12.75" customHeight="1">
      <c r="A211" s="17" t="s">
        <v>30</v>
      </c>
      <c r="B211" s="1"/>
      <c r="C211" s="1"/>
      <c r="D211" s="2" t="s">
        <v>25</v>
      </c>
      <c r="E211" s="17" t="s">
        <v>52</v>
      </c>
      <c r="F211" s="1"/>
      <c r="G211" s="2" t="s">
        <v>25</v>
      </c>
      <c r="H211" s="18" t="s">
        <v>32</v>
      </c>
      <c r="I211" s="6"/>
      <c r="J211" s="19"/>
    </row>
    <row r="212" spans="1:10" ht="12.75" customHeight="1">
      <c r="A212" s="17" t="s">
        <v>34</v>
      </c>
      <c r="B212" s="1"/>
      <c r="C212" s="1"/>
      <c r="D212" s="2" t="s">
        <v>25</v>
      </c>
      <c r="E212" s="17" t="s">
        <v>35</v>
      </c>
      <c r="F212" s="1"/>
      <c r="G212" s="2" t="s">
        <v>25</v>
      </c>
      <c r="H212" s="18"/>
      <c r="I212" s="6"/>
      <c r="J212" s="19"/>
    </row>
    <row r="213" spans="1:10" ht="12.75" customHeight="1">
      <c r="A213" s="17" t="s">
        <v>36</v>
      </c>
      <c r="B213" s="1"/>
      <c r="C213" s="1"/>
      <c r="D213" s="2" t="s">
        <v>25</v>
      </c>
      <c r="E213" s="17" t="s">
        <v>61</v>
      </c>
      <c r="F213" s="1"/>
      <c r="G213" s="2" t="s">
        <v>25</v>
      </c>
      <c r="H213" s="18"/>
      <c r="I213" s="6"/>
      <c r="J213" s="26"/>
    </row>
    <row r="214" spans="1:10" ht="12.75" customHeight="1">
      <c r="A214" s="17" t="s">
        <v>78</v>
      </c>
      <c r="B214" s="1"/>
      <c r="C214" s="1"/>
      <c r="D214" s="2" t="s">
        <v>25</v>
      </c>
      <c r="E214" s="17" t="s">
        <v>39</v>
      </c>
      <c r="F214" s="1"/>
      <c r="G214" s="2">
        <v>100</v>
      </c>
      <c r="H214" s="18"/>
      <c r="I214" s="6"/>
      <c r="J214" s="26"/>
    </row>
    <row r="215" spans="1:10" ht="12.75" customHeight="1">
      <c r="A215" s="18" t="s">
        <v>40</v>
      </c>
      <c r="B215" s="6"/>
      <c r="C215" s="6"/>
      <c r="D215" s="2" t="s">
        <v>25</v>
      </c>
      <c r="E215" s="17" t="s">
        <v>333</v>
      </c>
      <c r="F215" s="1"/>
      <c r="G215" s="2" t="s">
        <v>25</v>
      </c>
      <c r="H215" s="18"/>
      <c r="I215" s="6"/>
      <c r="J215" s="19"/>
    </row>
    <row r="216" spans="1:10" ht="12.75" customHeight="1">
      <c r="A216" s="204" t="s">
        <v>63</v>
      </c>
      <c r="B216" s="205"/>
      <c r="C216" s="206"/>
      <c r="D216" s="229">
        <f>SUM(D209:D215)</f>
        <v>12000</v>
      </c>
      <c r="E216" s="1" t="s">
        <v>78</v>
      </c>
      <c r="F216" s="1"/>
      <c r="G216" s="2" t="s">
        <v>25</v>
      </c>
      <c r="H216" s="18"/>
      <c r="I216" s="6"/>
      <c r="J216" s="19"/>
    </row>
    <row r="217" spans="1:10" ht="12.75" customHeight="1">
      <c r="A217" s="207"/>
      <c r="B217" s="197"/>
      <c r="C217" s="208"/>
      <c r="D217" s="230"/>
      <c r="E217" s="21" t="s">
        <v>21</v>
      </c>
      <c r="F217" s="22"/>
      <c r="G217" s="13">
        <f>SUM(G209:G216)</f>
        <v>100</v>
      </c>
      <c r="H217" s="21" t="s">
        <v>44</v>
      </c>
      <c r="I217" s="22"/>
      <c r="J217" s="13">
        <f>D216-G217</f>
        <v>11900</v>
      </c>
    </row>
    <row r="218" spans="1:10" ht="12.75" customHeight="1">
      <c r="A218" s="3" t="s">
        <v>45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2.75" customHeight="1">
      <c r="B220" s="3" t="s">
        <v>47</v>
      </c>
      <c r="C220" s="3"/>
      <c r="D220" s="3"/>
      <c r="E220" s="3" t="s">
        <v>48</v>
      </c>
      <c r="F220" s="3"/>
      <c r="G220" s="3"/>
      <c r="H220" s="3" t="s">
        <v>49</v>
      </c>
      <c r="I220" s="3"/>
      <c r="J220" s="3"/>
    </row>
    <row r="221" spans="1:10" ht="31.5" customHeight="1">
      <c r="A221" s="345" t="s">
        <v>1074</v>
      </c>
      <c r="B221" s="345"/>
      <c r="C221" s="345"/>
      <c r="D221" s="345"/>
      <c r="E221" s="345"/>
      <c r="F221" s="354">
        <f>J217+J197+J177+J157+J137+J117+J97+J77+J57+J37+J17</f>
        <v>213253</v>
      </c>
      <c r="G221" s="355"/>
      <c r="H221" s="355"/>
      <c r="I221" s="355"/>
      <c r="J221" s="356"/>
    </row>
    <row r="225" spans="1:9" ht="37.5" customHeight="1">
      <c r="A225" s="29"/>
      <c r="B225" s="29"/>
      <c r="C225" s="29"/>
      <c r="D225" s="29"/>
      <c r="E225" s="29"/>
      <c r="F225" s="30"/>
      <c r="G225" s="30"/>
      <c r="H225" s="30"/>
      <c r="I225" s="30"/>
    </row>
    <row r="226" spans="1:9" ht="37.5" customHeight="1">
      <c r="A226" s="31"/>
      <c r="B226" s="252" t="s">
        <v>265</v>
      </c>
      <c r="C226" s="252"/>
      <c r="D226" s="252"/>
      <c r="E226" s="33"/>
      <c r="F226" s="253" t="s">
        <v>266</v>
      </c>
      <c r="G226" s="253"/>
      <c r="H226" s="253"/>
      <c r="I226" s="253"/>
    </row>
    <row r="227" spans="1:9" ht="21" customHeight="1">
      <c r="A227" s="31"/>
      <c r="B227" s="34"/>
      <c r="C227" s="34"/>
      <c r="D227" s="34"/>
      <c r="E227" s="33"/>
      <c r="F227" s="35"/>
      <c r="G227" s="35"/>
      <c r="H227" s="35"/>
      <c r="I227" s="35"/>
    </row>
    <row r="228" spans="1:9" ht="37.5" customHeight="1">
      <c r="A228" s="31"/>
      <c r="B228" s="31"/>
      <c r="C228" s="31"/>
      <c r="D228" s="31"/>
      <c r="E228" s="31"/>
      <c r="F228" s="36"/>
      <c r="G228" s="36"/>
      <c r="H228" s="36"/>
      <c r="I228" s="36"/>
    </row>
    <row r="229" spans="1:9" ht="37.5" customHeight="1">
      <c r="A229" s="31"/>
      <c r="B229" s="37"/>
      <c r="C229" s="32" t="s">
        <v>1075</v>
      </c>
      <c r="D229" s="32"/>
      <c r="E229" s="31"/>
      <c r="F229" s="253" t="s">
        <v>268</v>
      </c>
      <c r="G229" s="253"/>
      <c r="H229" s="253"/>
      <c r="I229" s="253"/>
    </row>
  </sheetData>
  <mergeCells count="162">
    <mergeCell ref="H206:J206"/>
    <mergeCell ref="A208:C208"/>
    <mergeCell ref="H208:J208"/>
    <mergeCell ref="B210:C210"/>
    <mergeCell ref="A221:E221"/>
    <mergeCell ref="F221:J221"/>
    <mergeCell ref="B226:D226"/>
    <mergeCell ref="F226:I226"/>
    <mergeCell ref="F229:I229"/>
    <mergeCell ref="D216:D217"/>
    <mergeCell ref="A216:C217"/>
    <mergeCell ref="B190:C190"/>
    <mergeCell ref="A201:J201"/>
    <mergeCell ref="A202:J202"/>
    <mergeCell ref="C203:D203"/>
    <mergeCell ref="H203:J203"/>
    <mergeCell ref="C204:D204"/>
    <mergeCell ref="H204:J204"/>
    <mergeCell ref="C205:D205"/>
    <mergeCell ref="H205:J205"/>
    <mergeCell ref="D196:D197"/>
    <mergeCell ref="A196:C197"/>
    <mergeCell ref="C183:D183"/>
    <mergeCell ref="H183:J183"/>
    <mergeCell ref="C184:D184"/>
    <mergeCell ref="H184:J184"/>
    <mergeCell ref="C185:D185"/>
    <mergeCell ref="H185:J185"/>
    <mergeCell ref="H186:J186"/>
    <mergeCell ref="H187:J187"/>
    <mergeCell ref="A188:C188"/>
    <mergeCell ref="H188:J188"/>
    <mergeCell ref="C165:D165"/>
    <mergeCell ref="H165:J165"/>
    <mergeCell ref="H166:J166"/>
    <mergeCell ref="H167:J167"/>
    <mergeCell ref="A168:C168"/>
    <mergeCell ref="H168:J168"/>
    <mergeCell ref="B170:C170"/>
    <mergeCell ref="A181:J181"/>
    <mergeCell ref="A182:J182"/>
    <mergeCell ref="D176:D177"/>
    <mergeCell ref="A176:C177"/>
    <mergeCell ref="A148:C148"/>
    <mergeCell ref="H148:J148"/>
    <mergeCell ref="B150:C150"/>
    <mergeCell ref="A161:J161"/>
    <mergeCell ref="A162:J162"/>
    <mergeCell ref="C163:D163"/>
    <mergeCell ref="H163:J163"/>
    <mergeCell ref="C164:D164"/>
    <mergeCell ref="H164:J164"/>
    <mergeCell ref="D156:D157"/>
    <mergeCell ref="A156:C157"/>
    <mergeCell ref="A142:J142"/>
    <mergeCell ref="C143:D143"/>
    <mergeCell ref="H143:J143"/>
    <mergeCell ref="C144:D144"/>
    <mergeCell ref="H144:J144"/>
    <mergeCell ref="C145:D145"/>
    <mergeCell ref="H145:J145"/>
    <mergeCell ref="H146:J146"/>
    <mergeCell ref="H147:J147"/>
    <mergeCell ref="C124:D124"/>
    <mergeCell ref="H124:J124"/>
    <mergeCell ref="C125:D125"/>
    <mergeCell ref="H125:J125"/>
    <mergeCell ref="H126:J126"/>
    <mergeCell ref="A128:C128"/>
    <mergeCell ref="H128:J128"/>
    <mergeCell ref="B130:C130"/>
    <mergeCell ref="A141:J141"/>
    <mergeCell ref="D136:D137"/>
    <mergeCell ref="A136:C137"/>
    <mergeCell ref="C105:D105"/>
    <mergeCell ref="H105:J105"/>
    <mergeCell ref="H106:J106"/>
    <mergeCell ref="A108:C108"/>
    <mergeCell ref="H108:J108"/>
    <mergeCell ref="B110:C110"/>
    <mergeCell ref="A121:J121"/>
    <mergeCell ref="A122:J122"/>
    <mergeCell ref="C123:D123"/>
    <mergeCell ref="H123:J123"/>
    <mergeCell ref="D116:D117"/>
    <mergeCell ref="A116:C117"/>
    <mergeCell ref="H86:J86"/>
    <mergeCell ref="A88:C88"/>
    <mergeCell ref="H88:J88"/>
    <mergeCell ref="B90:C90"/>
    <mergeCell ref="A101:J101"/>
    <mergeCell ref="A102:J102"/>
    <mergeCell ref="C103:D103"/>
    <mergeCell ref="H103:J103"/>
    <mergeCell ref="C104:D104"/>
    <mergeCell ref="H104:J104"/>
    <mergeCell ref="D96:D97"/>
    <mergeCell ref="A96:C97"/>
    <mergeCell ref="B70:C70"/>
    <mergeCell ref="A81:J81"/>
    <mergeCell ref="A82:J82"/>
    <mergeCell ref="C83:D83"/>
    <mergeCell ref="H83:J83"/>
    <mergeCell ref="C84:D84"/>
    <mergeCell ref="H84:J84"/>
    <mergeCell ref="C85:D85"/>
    <mergeCell ref="H85:J85"/>
    <mergeCell ref="D76:D77"/>
    <mergeCell ref="A76:C77"/>
    <mergeCell ref="A62:J62"/>
    <mergeCell ref="C63:D63"/>
    <mergeCell ref="H63:J63"/>
    <mergeCell ref="C64:D64"/>
    <mergeCell ref="H64:J64"/>
    <mergeCell ref="C65:D65"/>
    <mergeCell ref="H65:J65"/>
    <mergeCell ref="H66:J66"/>
    <mergeCell ref="A68:C68"/>
    <mergeCell ref="H68:J68"/>
    <mergeCell ref="C44:D44"/>
    <mergeCell ref="H44:J44"/>
    <mergeCell ref="C45:D45"/>
    <mergeCell ref="H45:J45"/>
    <mergeCell ref="H46:J46"/>
    <mergeCell ref="A48:C48"/>
    <mergeCell ref="H48:J48"/>
    <mergeCell ref="B50:C50"/>
    <mergeCell ref="A61:J61"/>
    <mergeCell ref="D56:D57"/>
    <mergeCell ref="A56:C57"/>
    <mergeCell ref="H26:J26"/>
    <mergeCell ref="H27:J27"/>
    <mergeCell ref="A28:C28"/>
    <mergeCell ref="H28:J28"/>
    <mergeCell ref="B30:C30"/>
    <mergeCell ref="A41:J41"/>
    <mergeCell ref="A42:J42"/>
    <mergeCell ref="C43:D43"/>
    <mergeCell ref="H43:J43"/>
    <mergeCell ref="D36:D37"/>
    <mergeCell ref="A36:C37"/>
    <mergeCell ref="A8:C8"/>
    <mergeCell ref="H8:J8"/>
    <mergeCell ref="B10:C10"/>
    <mergeCell ref="A21:J21"/>
    <mergeCell ref="A22:J22"/>
    <mergeCell ref="C23:D23"/>
    <mergeCell ref="H23:J23"/>
    <mergeCell ref="H24:J24"/>
    <mergeCell ref="C25:D25"/>
    <mergeCell ref="H25:J25"/>
    <mergeCell ref="D16:D17"/>
    <mergeCell ref="A16:C17"/>
    <mergeCell ref="A1:J1"/>
    <mergeCell ref="A2:J2"/>
    <mergeCell ref="C3:D3"/>
    <mergeCell ref="H3:J3"/>
    <mergeCell ref="H4:J4"/>
    <mergeCell ref="C5:D5"/>
    <mergeCell ref="H5:J5"/>
    <mergeCell ref="H6:J6"/>
    <mergeCell ref="H7:J7"/>
  </mergeCells>
  <pageMargins left="0.7" right="0.7" top="0.44" bottom="0.31" header="0.3" footer="0.3"/>
  <pageSetup scale="90" orientation="portrait" r:id="rId1"/>
  <rowBreaks count="3" manualBreakCount="3">
    <brk id="60" max="16383" man="1"/>
    <brk id="120" max="16383" man="1"/>
    <brk id="18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0"/>
  <sheetViews>
    <sheetView zoomScaleNormal="100" workbookViewId="0">
      <selection sqref="A1:J20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4"/>
      <c r="D3" s="194"/>
      <c r="E3" s="2"/>
      <c r="F3" s="3"/>
      <c r="G3" s="1" t="s">
        <v>4</v>
      </c>
      <c r="H3" s="209" t="s">
        <v>1076</v>
      </c>
      <c r="I3" s="209"/>
      <c r="J3" s="209"/>
    </row>
    <row r="4" spans="1:10" ht="13.5" customHeight="1">
      <c r="A4" s="1" t="s">
        <v>6</v>
      </c>
      <c r="B4" s="1"/>
      <c r="C4" s="192" t="s">
        <v>1077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6" t="s">
        <v>369</v>
      </c>
      <c r="D5" s="6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2" t="s">
        <v>14</v>
      </c>
      <c r="B6" s="2"/>
      <c r="C6" s="1" t="s">
        <v>15</v>
      </c>
      <c r="D6" s="1"/>
      <c r="E6" s="2"/>
      <c r="F6" s="3"/>
      <c r="G6" s="1" t="s">
        <v>16</v>
      </c>
      <c r="H6" s="209" t="s">
        <v>55</v>
      </c>
      <c r="I6" s="209"/>
      <c r="J6" s="209"/>
    </row>
    <row r="7" spans="1:10" ht="13.5" customHeight="1">
      <c r="A7" s="2">
        <v>30</v>
      </c>
      <c r="B7" s="2"/>
      <c r="C7" s="2">
        <f>A7-H7</f>
        <v>0</v>
      </c>
      <c r="D7" s="2"/>
      <c r="E7" s="2"/>
      <c r="F7" s="3"/>
      <c r="G7" s="8" t="s">
        <v>18</v>
      </c>
      <c r="H7" s="197">
        <v>30</v>
      </c>
      <c r="I7" s="197"/>
      <c r="J7" s="197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23</v>
      </c>
      <c r="B9" s="1"/>
      <c r="C9" s="1"/>
      <c r="D9" s="2">
        <v>25000</v>
      </c>
      <c r="E9" s="17" t="s">
        <v>24</v>
      </c>
      <c r="F9" s="1"/>
      <c r="G9" s="2" t="s">
        <v>25</v>
      </c>
      <c r="H9" s="18" t="s">
        <v>502</v>
      </c>
      <c r="I9" s="6"/>
      <c r="J9" s="19"/>
    </row>
    <row r="10" spans="1:10" ht="13.5" customHeight="1">
      <c r="A10" s="17" t="s">
        <v>852</v>
      </c>
      <c r="B10" s="209"/>
      <c r="C10" s="209"/>
      <c r="D10" s="2" t="s">
        <v>25</v>
      </c>
      <c r="E10" s="17" t="s">
        <v>58</v>
      </c>
      <c r="F10" s="1"/>
      <c r="G10" s="2" t="s">
        <v>25</v>
      </c>
      <c r="H10" s="18" t="s">
        <v>504</v>
      </c>
      <c r="I10" s="6"/>
      <c r="J10" s="19"/>
    </row>
    <row r="11" spans="1:10" ht="13.5" customHeight="1">
      <c r="A11" s="17" t="s">
        <v>1078</v>
      </c>
      <c r="B11" s="1"/>
      <c r="C11" s="1"/>
      <c r="D11" s="2">
        <v>5000</v>
      </c>
      <c r="E11" s="17" t="s">
        <v>394</v>
      </c>
      <c r="F11" s="1"/>
      <c r="G11" s="2" t="s">
        <v>25</v>
      </c>
      <c r="H11" s="18" t="s">
        <v>32</v>
      </c>
      <c r="I11" s="6"/>
      <c r="J11" s="19"/>
    </row>
    <row r="12" spans="1:10" ht="13.5" customHeight="1">
      <c r="A12" s="17" t="s">
        <v>411</v>
      </c>
      <c r="B12" s="1"/>
      <c r="C12" s="1"/>
      <c r="D12" s="2">
        <v>5000</v>
      </c>
      <c r="E12" s="17" t="s">
        <v>35</v>
      </c>
      <c r="F12" s="1"/>
      <c r="G12" s="2" t="s">
        <v>25</v>
      </c>
      <c r="H12" s="18"/>
      <c r="I12" s="6"/>
      <c r="J12" s="19"/>
    </row>
    <row r="13" spans="1:10" ht="13.5" customHeight="1">
      <c r="A13" s="17" t="s">
        <v>78</v>
      </c>
      <c r="B13" s="1"/>
      <c r="C13" s="1"/>
      <c r="D13" s="2" t="s">
        <v>25</v>
      </c>
      <c r="E13" s="17" t="s">
        <v>37</v>
      </c>
      <c r="F13" s="2"/>
      <c r="G13" s="2" t="s">
        <v>25</v>
      </c>
      <c r="H13" s="18"/>
      <c r="I13" s="6"/>
      <c r="J13" s="40"/>
    </row>
    <row r="14" spans="1:10" ht="13.5" customHeight="1">
      <c r="A14" s="17" t="s">
        <v>345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40"/>
    </row>
    <row r="15" spans="1:10" ht="13.5" customHeight="1">
      <c r="A15" s="18" t="s">
        <v>147</v>
      </c>
      <c r="B15" s="6"/>
      <c r="C15" s="6"/>
      <c r="D15" s="2" t="s">
        <v>25</v>
      </c>
      <c r="E15" s="17" t="s">
        <v>78</v>
      </c>
      <c r="F15" s="1"/>
      <c r="G15" s="2" t="s">
        <v>25</v>
      </c>
      <c r="H15" s="18"/>
      <c r="I15" s="6"/>
      <c r="J15" s="40"/>
    </row>
    <row r="16" spans="1:10" ht="13.5" customHeight="1">
      <c r="A16" s="204" t="s">
        <v>42</v>
      </c>
      <c r="B16" s="205"/>
      <c r="C16" s="206"/>
      <c r="D16" s="229">
        <f>SUM(D9:D15)</f>
        <v>35000</v>
      </c>
      <c r="E16" s="1" t="s">
        <v>43</v>
      </c>
      <c r="F16" s="1"/>
      <c r="G16" s="2" t="s">
        <v>25</v>
      </c>
      <c r="H16" s="18"/>
      <c r="I16" s="6"/>
      <c r="J16" s="38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100</v>
      </c>
      <c r="H17" s="21" t="s">
        <v>44</v>
      </c>
      <c r="I17" s="22"/>
      <c r="J17" s="13">
        <f>D16-G17</f>
        <v>34900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3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4"/>
      <c r="D23" s="194"/>
      <c r="E23" s="2"/>
      <c r="F23" s="3"/>
      <c r="G23" s="1" t="s">
        <v>4</v>
      </c>
      <c r="H23" s="209" t="s">
        <v>1076</v>
      </c>
      <c r="I23" s="209"/>
      <c r="J23" s="209"/>
    </row>
    <row r="24" spans="1:10" ht="13.5" customHeight="1">
      <c r="A24" s="1" t="s">
        <v>6</v>
      </c>
      <c r="B24" s="1"/>
      <c r="C24" s="192" t="s">
        <v>1079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6" t="s">
        <v>1080</v>
      </c>
      <c r="D25" s="6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2" t="s">
        <v>14</v>
      </c>
      <c r="B26" s="2"/>
      <c r="C26" s="1" t="s">
        <v>15</v>
      </c>
      <c r="D26" s="1"/>
      <c r="E26" s="2"/>
      <c r="F26" s="3"/>
      <c r="G26" s="1" t="s">
        <v>16</v>
      </c>
      <c r="H26" s="209" t="s">
        <v>1081</v>
      </c>
      <c r="I26" s="209"/>
      <c r="J26" s="209"/>
    </row>
    <row r="27" spans="1:10" ht="13.5" customHeight="1">
      <c r="A27" s="2">
        <v>30</v>
      </c>
      <c r="B27" s="2"/>
      <c r="C27" s="2">
        <f>A27-H27</f>
        <v>20</v>
      </c>
      <c r="D27" s="2"/>
      <c r="E27" s="2"/>
      <c r="F27" s="3"/>
      <c r="G27" s="8" t="s">
        <v>18</v>
      </c>
      <c r="H27" s="197">
        <v>10</v>
      </c>
      <c r="I27" s="197"/>
      <c r="J27" s="197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1082</v>
      </c>
      <c r="B29" s="1"/>
      <c r="C29" s="1"/>
      <c r="D29" s="2">
        <v>30000</v>
      </c>
      <c r="E29" s="17" t="s">
        <v>24</v>
      </c>
      <c r="F29" s="1"/>
      <c r="G29" s="2" t="s">
        <v>25</v>
      </c>
      <c r="H29" s="18" t="s">
        <v>502</v>
      </c>
      <c r="I29" s="6"/>
      <c r="J29" s="19"/>
    </row>
    <row r="30" spans="1:10" ht="13.5" customHeight="1">
      <c r="A30" s="17" t="s">
        <v>77</v>
      </c>
      <c r="B30" s="209"/>
      <c r="C30" s="209"/>
      <c r="D30" s="2" t="s">
        <v>25</v>
      </c>
      <c r="E30" s="17" t="s">
        <v>58</v>
      </c>
      <c r="F30" s="1"/>
      <c r="G30" s="2" t="s">
        <v>25</v>
      </c>
      <c r="H30" s="18" t="s">
        <v>504</v>
      </c>
      <c r="I30" s="6"/>
      <c r="J30" s="19"/>
    </row>
    <row r="31" spans="1:10" ht="13.5" customHeight="1">
      <c r="A31" s="17" t="s">
        <v>852</v>
      </c>
      <c r="B31" s="1"/>
      <c r="C31" s="1"/>
      <c r="D31" s="2" t="s">
        <v>25</v>
      </c>
      <c r="E31" s="17" t="s">
        <v>52</v>
      </c>
      <c r="F31" s="1"/>
      <c r="G31" s="2" t="s">
        <v>25</v>
      </c>
      <c r="H31" s="18" t="s">
        <v>32</v>
      </c>
      <c r="I31" s="6"/>
      <c r="J31" s="19"/>
    </row>
    <row r="32" spans="1:10" ht="13.5" customHeight="1">
      <c r="A32" s="17" t="s">
        <v>34</v>
      </c>
      <c r="B32" s="1"/>
      <c r="C32" s="1"/>
      <c r="D32" s="2" t="s">
        <v>25</v>
      </c>
      <c r="E32" s="17" t="s">
        <v>35</v>
      </c>
      <c r="F32" s="1"/>
      <c r="G32" s="2">
        <v>20000</v>
      </c>
      <c r="H32" s="18"/>
      <c r="I32" s="6"/>
      <c r="J32" s="19"/>
    </row>
    <row r="33" spans="1:10" ht="13.5" customHeight="1">
      <c r="A33" s="17" t="s">
        <v>78</v>
      </c>
      <c r="B33" s="1"/>
      <c r="C33" s="1"/>
      <c r="D33" s="2" t="s">
        <v>25</v>
      </c>
      <c r="E33" s="17" t="s">
        <v>37</v>
      </c>
      <c r="F33" s="2"/>
      <c r="G33" s="2" t="s">
        <v>25</v>
      </c>
      <c r="H33" s="18"/>
      <c r="I33" s="6"/>
      <c r="J33" s="40"/>
    </row>
    <row r="34" spans="1:10" ht="13.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40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78</v>
      </c>
      <c r="F35" s="1"/>
      <c r="G35" s="2" t="s">
        <v>25</v>
      </c>
      <c r="H35" s="18"/>
      <c r="I35" s="6"/>
      <c r="J35" s="40"/>
    </row>
    <row r="36" spans="1:10" ht="13.5" customHeight="1">
      <c r="A36" s="204" t="s">
        <v>63</v>
      </c>
      <c r="B36" s="205"/>
      <c r="C36" s="206"/>
      <c r="D36" s="229">
        <f>SUM(D29:D35)</f>
        <v>30000</v>
      </c>
      <c r="E36" s="1" t="s">
        <v>43</v>
      </c>
      <c r="F36" s="1"/>
      <c r="G36" s="2" t="s">
        <v>25</v>
      </c>
      <c r="H36" s="18"/>
      <c r="I36" s="6"/>
      <c r="J36" s="40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20100</v>
      </c>
      <c r="H37" s="21" t="s">
        <v>44</v>
      </c>
      <c r="I37" s="22"/>
      <c r="J37" s="13">
        <f>D36-G37</f>
        <v>9900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2.2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B43" s="1"/>
      <c r="C43" s="194"/>
      <c r="D43" s="194"/>
      <c r="E43" s="2"/>
      <c r="F43" s="3"/>
      <c r="G43" s="1" t="s">
        <v>4</v>
      </c>
      <c r="H43" s="209" t="s">
        <v>1076</v>
      </c>
      <c r="I43" s="209"/>
      <c r="J43" s="209"/>
    </row>
    <row r="44" spans="1:10" ht="13.5" customHeight="1">
      <c r="A44" s="1" t="s">
        <v>6</v>
      </c>
      <c r="B44" s="1"/>
      <c r="C44" s="192" t="s">
        <v>1083</v>
      </c>
      <c r="D44" s="192"/>
      <c r="E44" s="2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6" t="s">
        <v>1084</v>
      </c>
      <c r="D45" s="6"/>
      <c r="E45" s="2"/>
      <c r="F45" s="3"/>
      <c r="G45" s="1" t="s">
        <v>12</v>
      </c>
      <c r="H45" s="195" t="s">
        <v>13</v>
      </c>
      <c r="I45" s="195"/>
      <c r="J45" s="195"/>
    </row>
    <row r="46" spans="1:10" ht="13.5" customHeight="1">
      <c r="A46" s="2" t="s">
        <v>14</v>
      </c>
      <c r="B46" s="2"/>
      <c r="C46" s="1" t="s">
        <v>15</v>
      </c>
      <c r="D46" s="1"/>
      <c r="E46" s="2"/>
      <c r="F46" s="3"/>
      <c r="G46" s="1" t="s">
        <v>16</v>
      </c>
      <c r="H46" s="209" t="s">
        <v>1081</v>
      </c>
      <c r="I46" s="209"/>
      <c r="J46" s="209"/>
    </row>
    <row r="47" spans="1:10" ht="13.5" customHeight="1">
      <c r="A47" s="2">
        <v>30</v>
      </c>
      <c r="B47" s="2"/>
      <c r="C47" s="2">
        <f>A47-H47</f>
        <v>21</v>
      </c>
      <c r="D47" s="2"/>
      <c r="E47" s="2"/>
      <c r="F47" s="3"/>
      <c r="G47" s="8" t="s">
        <v>18</v>
      </c>
      <c r="H47" s="197">
        <v>9</v>
      </c>
      <c r="I47" s="197"/>
      <c r="J47" s="197"/>
    </row>
    <row r="48" spans="1:10" ht="13.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1082</v>
      </c>
      <c r="B49" s="1"/>
      <c r="C49" s="1"/>
      <c r="D49" s="2">
        <v>25000</v>
      </c>
      <c r="E49" s="17" t="s">
        <v>24</v>
      </c>
      <c r="F49" s="1"/>
      <c r="G49" s="2" t="s">
        <v>25</v>
      </c>
      <c r="H49" s="18" t="s">
        <v>502</v>
      </c>
      <c r="I49" s="6"/>
      <c r="J49" s="19"/>
    </row>
    <row r="50" spans="1:10" ht="13.5" customHeight="1">
      <c r="A50" s="17" t="s">
        <v>77</v>
      </c>
      <c r="B50" s="209"/>
      <c r="C50" s="209"/>
      <c r="D50" s="2" t="s">
        <v>25</v>
      </c>
      <c r="E50" s="17" t="s">
        <v>58</v>
      </c>
      <c r="F50" s="1"/>
      <c r="G50" s="2" t="s">
        <v>25</v>
      </c>
      <c r="H50" s="18" t="s">
        <v>504</v>
      </c>
      <c r="I50" s="6"/>
      <c r="J50" s="19"/>
    </row>
    <row r="51" spans="1:10" ht="13.5" customHeight="1">
      <c r="A51" s="17" t="s">
        <v>852</v>
      </c>
      <c r="B51" s="1"/>
      <c r="C51" s="1"/>
      <c r="D51" s="2" t="s">
        <v>25</v>
      </c>
      <c r="E51" s="17" t="s">
        <v>52</v>
      </c>
      <c r="F51" s="1"/>
      <c r="G51" s="2" t="s">
        <v>25</v>
      </c>
      <c r="H51" s="18" t="s">
        <v>32</v>
      </c>
      <c r="I51" s="6"/>
      <c r="J51" s="19"/>
    </row>
    <row r="52" spans="1:10" ht="13.5" customHeight="1">
      <c r="A52" s="17" t="s">
        <v>34</v>
      </c>
      <c r="B52" s="1"/>
      <c r="C52" s="1"/>
      <c r="D52" s="2" t="s">
        <v>25</v>
      </c>
      <c r="E52" s="17" t="s">
        <v>35</v>
      </c>
      <c r="F52" s="1"/>
      <c r="G52" s="2">
        <v>17500</v>
      </c>
      <c r="H52" s="18"/>
      <c r="I52" s="6"/>
      <c r="J52" s="19"/>
    </row>
    <row r="53" spans="1:10" ht="13.5" customHeight="1">
      <c r="A53" s="17" t="s">
        <v>78</v>
      </c>
      <c r="B53" s="1"/>
      <c r="C53" s="1"/>
      <c r="D53" s="2" t="s">
        <v>25</v>
      </c>
      <c r="E53" s="17" t="s">
        <v>37</v>
      </c>
      <c r="F53" s="2"/>
      <c r="G53" s="2" t="s">
        <v>25</v>
      </c>
      <c r="H53" s="18"/>
      <c r="I53" s="6"/>
      <c r="J53" s="40"/>
    </row>
    <row r="54" spans="1:10" ht="13.5" customHeight="1">
      <c r="A54" s="17" t="s">
        <v>136</v>
      </c>
      <c r="B54" s="1"/>
      <c r="C54" s="1"/>
      <c r="D54" s="2">
        <v>2000</v>
      </c>
      <c r="E54" s="17" t="s">
        <v>39</v>
      </c>
      <c r="F54" s="1"/>
      <c r="G54" s="2">
        <v>100</v>
      </c>
      <c r="H54" s="18"/>
      <c r="I54" s="6"/>
      <c r="J54" s="40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78</v>
      </c>
      <c r="F55" s="1"/>
      <c r="G55" s="2" t="s">
        <v>25</v>
      </c>
      <c r="H55" s="18"/>
      <c r="I55" s="6"/>
      <c r="J55" s="40"/>
    </row>
    <row r="56" spans="1:10" ht="13.5" customHeight="1">
      <c r="A56" s="204" t="s">
        <v>63</v>
      </c>
      <c r="B56" s="205"/>
      <c r="C56" s="206"/>
      <c r="D56" s="229">
        <f>SUM(D49:D55)</f>
        <v>27000</v>
      </c>
      <c r="E56" s="1" t="s">
        <v>43</v>
      </c>
      <c r="F56" s="1"/>
      <c r="G56" s="2" t="s">
        <v>25</v>
      </c>
      <c r="H56" s="18"/>
      <c r="I56" s="6"/>
      <c r="J56" s="40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17600</v>
      </c>
      <c r="H57" s="21" t="s">
        <v>44</v>
      </c>
      <c r="I57" s="22"/>
      <c r="J57" s="13">
        <f>D56-G57</f>
        <v>9400</v>
      </c>
    </row>
    <row r="58" spans="1:10" ht="13.5" customHeight="1">
      <c r="A58" s="3" t="s">
        <v>45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ht="2.2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3.5" customHeight="1">
      <c r="A60" s="3"/>
      <c r="B60" s="3" t="s">
        <v>47</v>
      </c>
      <c r="C60" s="3"/>
      <c r="D60" s="3"/>
      <c r="E60" s="3" t="s">
        <v>48</v>
      </c>
      <c r="F60" s="3"/>
      <c r="G60" s="3"/>
      <c r="H60" s="3" t="s">
        <v>49</v>
      </c>
      <c r="I60" s="3"/>
      <c r="J60" s="3"/>
    </row>
    <row r="61" spans="1:10" ht="13.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3.5" customHeight="1">
      <c r="A62" s="187" t="s">
        <v>1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3.5" customHeight="1">
      <c r="A63" s="1" t="s">
        <v>2</v>
      </c>
      <c r="B63" s="1"/>
      <c r="C63" s="194"/>
      <c r="D63" s="194"/>
      <c r="E63" s="2"/>
      <c r="F63" s="3"/>
      <c r="G63" s="1" t="s">
        <v>4</v>
      </c>
      <c r="H63" s="209" t="s">
        <v>1076</v>
      </c>
      <c r="I63" s="209"/>
      <c r="J63" s="209"/>
    </row>
    <row r="64" spans="1:10" ht="13.5" customHeight="1">
      <c r="A64" s="1" t="s">
        <v>6</v>
      </c>
      <c r="B64" s="1"/>
      <c r="C64" s="2" t="s">
        <v>1085</v>
      </c>
      <c r="D64" s="25"/>
      <c r="E64" s="2"/>
      <c r="F64" s="3"/>
      <c r="G64" s="1" t="s">
        <v>8</v>
      </c>
      <c r="H64" s="193" t="s">
        <v>9</v>
      </c>
      <c r="I64" s="193"/>
      <c r="J64" s="193"/>
    </row>
    <row r="65" spans="1:10" ht="13.5" customHeight="1">
      <c r="A65" s="6" t="s">
        <v>10</v>
      </c>
      <c r="B65" s="6"/>
      <c r="C65" s="194" t="s">
        <v>1086</v>
      </c>
      <c r="D65" s="194"/>
      <c r="E65" s="2"/>
      <c r="F65" s="3"/>
      <c r="G65" s="1" t="s">
        <v>12</v>
      </c>
      <c r="H65" s="195" t="s">
        <v>13</v>
      </c>
      <c r="I65" s="195"/>
      <c r="J65" s="195"/>
    </row>
    <row r="66" spans="1:10" ht="13.5" customHeight="1">
      <c r="A66" s="2" t="s">
        <v>14</v>
      </c>
      <c r="B66" s="2"/>
      <c r="C66" s="1" t="s">
        <v>15</v>
      </c>
      <c r="D66" s="194"/>
      <c r="E66" s="194"/>
      <c r="F66" s="3"/>
      <c r="G66" s="1" t="s">
        <v>16</v>
      </c>
      <c r="H66" s="209" t="s">
        <v>151</v>
      </c>
      <c r="I66" s="209"/>
      <c r="J66" s="209"/>
    </row>
    <row r="67" spans="1:10" ht="13.5" customHeight="1">
      <c r="A67" s="2">
        <v>30</v>
      </c>
      <c r="B67" s="2"/>
      <c r="C67" s="2">
        <f>A67-H67</f>
        <v>0</v>
      </c>
      <c r="D67" s="2"/>
      <c r="E67" s="2"/>
      <c r="F67" s="3"/>
      <c r="G67" s="8" t="s">
        <v>18</v>
      </c>
      <c r="H67" s="197">
        <v>30</v>
      </c>
      <c r="I67" s="197"/>
      <c r="J67" s="197"/>
    </row>
    <row r="68" spans="1:10" ht="13.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/>
      <c r="I68" s="202"/>
      <c r="J68" s="203"/>
    </row>
    <row r="69" spans="1:10" ht="13.5" customHeight="1">
      <c r="A69" s="17" t="s">
        <v>23</v>
      </c>
      <c r="B69" s="1"/>
      <c r="C69" s="1"/>
      <c r="D69" s="2">
        <v>10000</v>
      </c>
      <c r="E69" s="17" t="s">
        <v>24</v>
      </c>
      <c r="F69" s="1"/>
      <c r="G69" s="2" t="s">
        <v>25</v>
      </c>
      <c r="H69" s="18" t="s">
        <v>502</v>
      </c>
      <c r="I69" s="6"/>
      <c r="J69" s="19"/>
    </row>
    <row r="70" spans="1:10" ht="13.5" customHeight="1">
      <c r="A70" s="17" t="s">
        <v>847</v>
      </c>
      <c r="B70" s="209"/>
      <c r="C70" s="209"/>
      <c r="D70" s="2" t="s">
        <v>25</v>
      </c>
      <c r="E70" s="17" t="s">
        <v>28</v>
      </c>
      <c r="F70" s="1"/>
      <c r="G70" s="2" t="s">
        <v>25</v>
      </c>
      <c r="H70" s="18" t="s">
        <v>504</v>
      </c>
      <c r="I70" s="6"/>
      <c r="J70" s="19"/>
    </row>
    <row r="71" spans="1:10" ht="13.5" customHeight="1">
      <c r="A71" s="17" t="s">
        <v>30</v>
      </c>
      <c r="B71" s="1"/>
      <c r="C71" s="1"/>
      <c r="D71" s="2" t="s">
        <v>25</v>
      </c>
      <c r="E71" s="17" t="s">
        <v>156</v>
      </c>
      <c r="F71" s="1"/>
      <c r="G71" s="2" t="s">
        <v>25</v>
      </c>
      <c r="H71" s="18" t="s">
        <v>32</v>
      </c>
      <c r="I71" s="6"/>
      <c r="J71" s="19"/>
    </row>
    <row r="72" spans="1:10" ht="13.5" customHeight="1">
      <c r="A72" s="17" t="s">
        <v>34</v>
      </c>
      <c r="B72" s="1"/>
      <c r="C72" s="1"/>
      <c r="D72" s="2" t="s">
        <v>25</v>
      </c>
      <c r="E72" s="17" t="s">
        <v>35</v>
      </c>
      <c r="F72" s="1"/>
      <c r="G72" s="2" t="s">
        <v>25</v>
      </c>
      <c r="H72" s="18"/>
      <c r="I72" s="6"/>
      <c r="J72" s="19"/>
    </row>
    <row r="73" spans="1:10" ht="13.5" customHeight="1">
      <c r="A73" s="17" t="s">
        <v>78</v>
      </c>
      <c r="B73" s="1"/>
      <c r="C73" s="1"/>
      <c r="D73" s="2">
        <v>3000</v>
      </c>
      <c r="E73" s="17" t="s">
        <v>37</v>
      </c>
      <c r="F73" s="1"/>
      <c r="G73" s="2" t="s">
        <v>25</v>
      </c>
      <c r="H73" s="18"/>
      <c r="I73" s="6"/>
      <c r="J73" s="19"/>
    </row>
    <row r="74" spans="1:10" ht="13.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19"/>
    </row>
    <row r="75" spans="1:10" ht="13.5" customHeight="1">
      <c r="A75" s="18" t="s">
        <v>40</v>
      </c>
      <c r="B75" s="6"/>
      <c r="C75" s="6"/>
      <c r="D75" s="2" t="s">
        <v>25</v>
      </c>
      <c r="E75" s="17" t="s">
        <v>78</v>
      </c>
      <c r="F75" s="1"/>
      <c r="G75" s="2" t="s">
        <v>25</v>
      </c>
      <c r="H75" s="18"/>
      <c r="I75" s="6"/>
      <c r="J75" s="19"/>
    </row>
    <row r="76" spans="1:10" ht="13.5" customHeight="1">
      <c r="A76" s="204" t="s">
        <v>63</v>
      </c>
      <c r="B76" s="205"/>
      <c r="C76" s="206"/>
      <c r="D76" s="229">
        <f>SUM(D69:D75)</f>
        <v>13000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3.5" customHeight="1">
      <c r="A77" s="207"/>
      <c r="B77" s="197"/>
      <c r="C77" s="208"/>
      <c r="D77" s="230"/>
      <c r="E77" s="21" t="s">
        <v>21</v>
      </c>
      <c r="F77" s="22"/>
      <c r="G77" s="13">
        <f>SUM(G69:G76)</f>
        <v>100</v>
      </c>
      <c r="H77" s="21" t="s">
        <v>44</v>
      </c>
      <c r="I77" s="22"/>
      <c r="J77" s="13">
        <f>D76-G77</f>
        <v>12900</v>
      </c>
    </row>
    <row r="78" spans="1:10" ht="13.5" customHeight="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ht="9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3.5" customHeight="1">
      <c r="A80" s="3"/>
      <c r="B80" s="3" t="s">
        <v>47</v>
      </c>
      <c r="C80" s="3"/>
      <c r="D80" s="3"/>
      <c r="E80" s="3" t="s">
        <v>48</v>
      </c>
      <c r="F80" s="3"/>
      <c r="G80" s="3"/>
      <c r="H80" s="3" t="s">
        <v>49</v>
      </c>
      <c r="I80" s="3"/>
      <c r="J80" s="3"/>
    </row>
    <row r="81" spans="1:10" ht="13.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3.5" customHeight="1">
      <c r="A82" s="187" t="s">
        <v>1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3.5" customHeight="1">
      <c r="A83" s="1" t="s">
        <v>2</v>
      </c>
      <c r="B83" s="1"/>
      <c r="C83" s="194"/>
      <c r="D83" s="194"/>
      <c r="E83" s="2"/>
      <c r="F83" s="3"/>
      <c r="G83" s="1" t="s">
        <v>4</v>
      </c>
      <c r="H83" s="209" t="s">
        <v>1076</v>
      </c>
      <c r="I83" s="209"/>
      <c r="J83" s="209"/>
    </row>
    <row r="84" spans="1:10" ht="13.5" customHeight="1">
      <c r="A84" s="1" t="s">
        <v>6</v>
      </c>
      <c r="B84" s="1"/>
      <c r="C84" s="2" t="s">
        <v>1087</v>
      </c>
      <c r="D84" s="25"/>
      <c r="E84" s="2"/>
      <c r="F84" s="3"/>
      <c r="G84" s="1" t="s">
        <v>8</v>
      </c>
      <c r="H84" s="193" t="s">
        <v>9</v>
      </c>
      <c r="I84" s="193"/>
      <c r="J84" s="193"/>
    </row>
    <row r="85" spans="1:10" ht="13.5" customHeight="1">
      <c r="A85" s="6" t="s">
        <v>10</v>
      </c>
      <c r="B85" s="6"/>
      <c r="C85" s="194" t="s">
        <v>1086</v>
      </c>
      <c r="D85" s="194"/>
      <c r="E85" s="2"/>
      <c r="F85" s="3"/>
      <c r="G85" s="1" t="s">
        <v>12</v>
      </c>
      <c r="H85" s="195" t="s">
        <v>13</v>
      </c>
      <c r="I85" s="195"/>
      <c r="J85" s="195"/>
    </row>
    <row r="86" spans="1:10" ht="13.5" customHeight="1">
      <c r="A86" s="2" t="s">
        <v>14</v>
      </c>
      <c r="B86" s="2"/>
      <c r="C86" s="1" t="s">
        <v>15</v>
      </c>
      <c r="D86" s="194"/>
      <c r="E86" s="194"/>
      <c r="F86" s="3"/>
      <c r="G86" s="1" t="s">
        <v>16</v>
      </c>
      <c r="H86" s="209" t="s">
        <v>151</v>
      </c>
      <c r="I86" s="209"/>
      <c r="J86" s="209"/>
    </row>
    <row r="87" spans="1:10" ht="13.5" customHeight="1">
      <c r="A87" s="2">
        <v>30</v>
      </c>
      <c r="B87" s="2"/>
      <c r="C87" s="2">
        <f>A87-H87</f>
        <v>0</v>
      </c>
      <c r="D87" s="2"/>
      <c r="E87" s="2"/>
      <c r="F87" s="3"/>
      <c r="G87" s="8" t="s">
        <v>18</v>
      </c>
      <c r="H87" s="197">
        <v>30</v>
      </c>
      <c r="I87" s="197"/>
      <c r="J87" s="197"/>
    </row>
    <row r="88" spans="1:10" ht="13.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3.5" customHeight="1">
      <c r="A89" s="17" t="s">
        <v>23</v>
      </c>
      <c r="B89" s="1"/>
      <c r="C89" s="1"/>
      <c r="D89" s="2">
        <v>11000</v>
      </c>
      <c r="E89" s="17" t="s">
        <v>24</v>
      </c>
      <c r="F89" s="1"/>
      <c r="G89" s="2" t="s">
        <v>25</v>
      </c>
      <c r="H89" s="18" t="s">
        <v>502</v>
      </c>
      <c r="I89" s="6"/>
      <c r="J89" s="19"/>
    </row>
    <row r="90" spans="1:10" ht="13.5" customHeight="1">
      <c r="A90" s="17" t="s">
        <v>847</v>
      </c>
      <c r="B90" s="209"/>
      <c r="C90" s="209"/>
      <c r="D90" s="2" t="s">
        <v>25</v>
      </c>
      <c r="E90" s="17" t="s">
        <v>28</v>
      </c>
      <c r="F90" s="1"/>
      <c r="G90" s="2" t="s">
        <v>25</v>
      </c>
      <c r="H90" s="18" t="s">
        <v>504</v>
      </c>
      <c r="I90" s="6"/>
      <c r="J90" s="19"/>
    </row>
    <row r="91" spans="1:10" ht="13.5" customHeight="1">
      <c r="A91" s="17" t="s">
        <v>30</v>
      </c>
      <c r="B91" s="1"/>
      <c r="C91" s="1"/>
      <c r="D91" s="2" t="s">
        <v>25</v>
      </c>
      <c r="E91" s="17" t="s">
        <v>156</v>
      </c>
      <c r="F91" s="1"/>
      <c r="G91" s="2" t="s">
        <v>25</v>
      </c>
      <c r="H91" s="18" t="s">
        <v>32</v>
      </c>
      <c r="I91" s="6"/>
      <c r="J91" s="19"/>
    </row>
    <row r="92" spans="1:10" ht="13.5" customHeight="1">
      <c r="A92" s="17" t="s">
        <v>34</v>
      </c>
      <c r="B92" s="1"/>
      <c r="C92" s="1"/>
      <c r="D92" s="2" t="s">
        <v>25</v>
      </c>
      <c r="E92" s="17" t="s">
        <v>35</v>
      </c>
      <c r="F92" s="1"/>
      <c r="G92" s="2" t="s">
        <v>25</v>
      </c>
      <c r="H92" s="18"/>
      <c r="I92" s="6"/>
      <c r="J92" s="19"/>
    </row>
    <row r="93" spans="1:10" ht="13.5" customHeight="1">
      <c r="A93" s="17" t="s">
        <v>78</v>
      </c>
      <c r="B93" s="1"/>
      <c r="C93" s="1"/>
      <c r="D93" s="2">
        <v>3000</v>
      </c>
      <c r="E93" s="17" t="s">
        <v>37</v>
      </c>
      <c r="F93" s="1"/>
      <c r="G93" s="2" t="s">
        <v>25</v>
      </c>
      <c r="H93" s="18"/>
      <c r="I93" s="6"/>
      <c r="J93" s="19"/>
    </row>
    <row r="94" spans="1:10" ht="13.5" customHeight="1">
      <c r="A94" s="17" t="s">
        <v>136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/>
      <c r="I94" s="6"/>
      <c r="J94" s="19"/>
    </row>
    <row r="95" spans="1:10" ht="13.5" customHeight="1">
      <c r="A95" s="18" t="s">
        <v>40</v>
      </c>
      <c r="B95" s="6"/>
      <c r="C95" s="6"/>
      <c r="D95" s="2" t="s">
        <v>25</v>
      </c>
      <c r="E95" s="17" t="s">
        <v>78</v>
      </c>
      <c r="F95" s="1"/>
      <c r="G95" s="2" t="s">
        <v>25</v>
      </c>
      <c r="H95" s="18"/>
      <c r="I95" s="6"/>
      <c r="J95" s="19"/>
    </row>
    <row r="96" spans="1:10" ht="13.5" customHeight="1">
      <c r="A96" s="204" t="s">
        <v>63</v>
      </c>
      <c r="B96" s="205"/>
      <c r="C96" s="206"/>
      <c r="D96" s="229">
        <f>SUM(D89:D95)</f>
        <v>14000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3.5" customHeight="1">
      <c r="A97" s="207"/>
      <c r="B97" s="197"/>
      <c r="C97" s="208"/>
      <c r="D97" s="230"/>
      <c r="E97" s="21" t="s">
        <v>21</v>
      </c>
      <c r="F97" s="22"/>
      <c r="G97" s="13">
        <f>SUM(G89:G96)</f>
        <v>100</v>
      </c>
      <c r="H97" s="21" t="s">
        <v>44</v>
      </c>
      <c r="I97" s="22"/>
      <c r="J97" s="13">
        <f>D96-G97</f>
        <v>13900</v>
      </c>
    </row>
    <row r="98" spans="1:10" ht="13.5" customHeight="1">
      <c r="A98" s="3" t="s">
        <v>45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 ht="7.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3.5" customHeight="1">
      <c r="A100" s="3"/>
      <c r="B100" s="3" t="s">
        <v>47</v>
      </c>
      <c r="C100" s="3"/>
      <c r="D100" s="3"/>
      <c r="E100" s="3" t="s">
        <v>48</v>
      </c>
      <c r="F100" s="3"/>
      <c r="G100" s="3"/>
      <c r="H100" s="3" t="s">
        <v>49</v>
      </c>
      <c r="I100" s="3"/>
      <c r="J100" s="3"/>
    </row>
    <row r="101" spans="1:10" ht="13.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3.5" customHeight="1">
      <c r="A102" s="187" t="s">
        <v>1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3.5" customHeight="1">
      <c r="A103" s="1" t="s">
        <v>2</v>
      </c>
      <c r="B103" s="1"/>
      <c r="C103" s="1"/>
      <c r="D103" s="1" t="s">
        <v>1088</v>
      </c>
      <c r="E103" s="41"/>
      <c r="F103" s="3"/>
      <c r="G103" s="1" t="s">
        <v>4</v>
      </c>
      <c r="H103" s="209" t="s">
        <v>1076</v>
      </c>
      <c r="I103" s="209"/>
      <c r="J103" s="209"/>
    </row>
    <row r="104" spans="1:10" ht="13.5" customHeight="1">
      <c r="A104" s="1" t="s">
        <v>6</v>
      </c>
      <c r="B104" s="1"/>
      <c r="C104" s="191" t="s">
        <v>1089</v>
      </c>
      <c r="D104" s="191"/>
      <c r="E104" s="191"/>
      <c r="F104" s="3"/>
      <c r="G104" s="1" t="s">
        <v>8</v>
      </c>
      <c r="H104" s="193" t="s">
        <v>9</v>
      </c>
      <c r="I104" s="193"/>
      <c r="J104" s="193"/>
    </row>
    <row r="105" spans="1:10" ht="13.5" customHeight="1">
      <c r="A105" s="6" t="s">
        <v>10</v>
      </c>
      <c r="B105" s="6"/>
      <c r="C105" s="209" t="s">
        <v>825</v>
      </c>
      <c r="D105" s="209"/>
      <c r="E105" s="209"/>
      <c r="F105" s="3"/>
      <c r="G105" s="1" t="s">
        <v>12</v>
      </c>
      <c r="H105" s="195" t="s">
        <v>13</v>
      </c>
      <c r="I105" s="195"/>
      <c r="J105" s="195"/>
    </row>
    <row r="106" spans="1:10" ht="13.5" customHeight="1">
      <c r="A106" s="2" t="s">
        <v>14</v>
      </c>
      <c r="B106" s="2"/>
      <c r="C106" s="1" t="s">
        <v>15</v>
      </c>
      <c r="D106" s="194"/>
      <c r="E106" s="194"/>
      <c r="F106" s="3"/>
      <c r="G106" s="1" t="s">
        <v>16</v>
      </c>
      <c r="H106" s="209" t="s">
        <v>1090</v>
      </c>
      <c r="I106" s="209"/>
      <c r="J106" s="209"/>
    </row>
    <row r="107" spans="1:10" ht="13.5" customHeight="1">
      <c r="A107" s="2">
        <v>30</v>
      </c>
      <c r="B107" s="2"/>
      <c r="C107" s="2">
        <f>A107-H107</f>
        <v>6</v>
      </c>
      <c r="D107" s="2"/>
      <c r="E107" s="2"/>
      <c r="F107" s="3"/>
      <c r="G107" s="8" t="s">
        <v>18</v>
      </c>
      <c r="H107" s="197">
        <v>24</v>
      </c>
      <c r="I107" s="197"/>
      <c r="J107" s="197"/>
    </row>
    <row r="108" spans="1:10" ht="13.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3.5" customHeight="1">
      <c r="A109" s="17" t="s">
        <v>23</v>
      </c>
      <c r="B109" s="1"/>
      <c r="C109" s="1"/>
      <c r="D109" s="2">
        <v>5000</v>
      </c>
      <c r="E109" s="17" t="s">
        <v>24</v>
      </c>
      <c r="F109" s="1"/>
      <c r="G109" s="2" t="s">
        <v>25</v>
      </c>
      <c r="H109" s="18" t="s">
        <v>502</v>
      </c>
      <c r="I109" s="6"/>
      <c r="J109" s="19"/>
    </row>
    <row r="110" spans="1:10" ht="13.5" customHeight="1">
      <c r="A110" s="17" t="s">
        <v>72</v>
      </c>
      <c r="B110" s="1"/>
      <c r="C110" s="1"/>
      <c r="D110" s="2" t="s">
        <v>25</v>
      </c>
      <c r="E110" s="17" t="s">
        <v>28</v>
      </c>
      <c r="F110" s="1"/>
      <c r="G110" s="2" t="s">
        <v>25</v>
      </c>
      <c r="H110" s="18" t="s">
        <v>504</v>
      </c>
      <c r="I110" s="6"/>
      <c r="J110" s="19"/>
    </row>
    <row r="111" spans="1:10" ht="13.5" customHeight="1">
      <c r="A111" s="17" t="s">
        <v>30</v>
      </c>
      <c r="B111" s="1"/>
      <c r="C111" s="1"/>
      <c r="D111" s="2" t="s">
        <v>25</v>
      </c>
      <c r="E111" s="17" t="s">
        <v>156</v>
      </c>
      <c r="F111" s="1"/>
      <c r="G111" s="2" t="s">
        <v>25</v>
      </c>
      <c r="H111" s="18" t="s">
        <v>32</v>
      </c>
      <c r="I111" s="6"/>
      <c r="J111" s="19"/>
    </row>
    <row r="112" spans="1:10" ht="13.5" customHeight="1">
      <c r="A112" s="17" t="s">
        <v>34</v>
      </c>
      <c r="B112" s="1"/>
      <c r="C112" s="1"/>
      <c r="D112" s="2" t="s">
        <v>25</v>
      </c>
      <c r="E112" s="17" t="s">
        <v>35</v>
      </c>
      <c r="F112" s="1"/>
      <c r="G112" s="2">
        <v>1000</v>
      </c>
      <c r="H112" s="18"/>
      <c r="I112" s="6"/>
      <c r="J112" s="19"/>
    </row>
    <row r="113" spans="1:10" ht="13.5" customHeight="1">
      <c r="A113" s="17" t="s">
        <v>78</v>
      </c>
      <c r="B113" s="1"/>
      <c r="C113" s="1"/>
      <c r="D113" s="2" t="s">
        <v>25</v>
      </c>
      <c r="E113" s="17" t="s">
        <v>37</v>
      </c>
      <c r="F113" s="1"/>
      <c r="G113" s="2" t="s">
        <v>25</v>
      </c>
      <c r="H113" s="18"/>
      <c r="I113" s="6"/>
      <c r="J113" s="19"/>
    </row>
    <row r="114" spans="1:10" ht="13.5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 t="s">
        <v>25</v>
      </c>
      <c r="H114" s="18"/>
      <c r="I114" s="6"/>
      <c r="J114" s="19"/>
    </row>
    <row r="115" spans="1:10" ht="13.5" customHeight="1">
      <c r="A115" s="18" t="s">
        <v>40</v>
      </c>
      <c r="B115" s="6"/>
      <c r="C115" s="6"/>
      <c r="D115" s="2" t="s">
        <v>25</v>
      </c>
      <c r="E115" s="17" t="s">
        <v>62</v>
      </c>
      <c r="F115" s="1"/>
      <c r="G115" s="2" t="s">
        <v>25</v>
      </c>
      <c r="H115" s="18"/>
      <c r="I115" s="6"/>
      <c r="J115" s="19"/>
    </row>
    <row r="116" spans="1:10" ht="13.5" customHeight="1">
      <c r="A116" s="204" t="s">
        <v>63</v>
      </c>
      <c r="B116" s="205"/>
      <c r="C116" s="206"/>
      <c r="D116" s="229">
        <f>SUM(D109:D115)</f>
        <v>5000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3.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1000</v>
      </c>
      <c r="H117" s="21" t="s">
        <v>44</v>
      </c>
      <c r="I117" s="22"/>
      <c r="J117" s="13">
        <f>D116-G117</f>
        <v>4000</v>
      </c>
    </row>
    <row r="118" spans="1:10" ht="13.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3.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3.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3.5" customHeight="1">
      <c r="A122" s="187" t="s">
        <v>1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3.5" customHeight="1">
      <c r="A123" s="1" t="s">
        <v>2</v>
      </c>
      <c r="B123" s="1"/>
      <c r="C123" s="41" t="s">
        <v>1088</v>
      </c>
      <c r="D123" s="41"/>
      <c r="E123" s="41"/>
      <c r="F123" s="3"/>
      <c r="G123" s="1" t="s">
        <v>4</v>
      </c>
      <c r="H123" s="191" t="s">
        <v>1076</v>
      </c>
      <c r="I123" s="191"/>
      <c r="J123" s="191"/>
    </row>
    <row r="124" spans="1:10" ht="13.5" customHeight="1">
      <c r="A124" s="1" t="s">
        <v>6</v>
      </c>
      <c r="B124" s="1"/>
      <c r="C124" s="190" t="s">
        <v>1091</v>
      </c>
      <c r="D124" s="190"/>
      <c r="E124" s="190"/>
      <c r="F124" s="3"/>
      <c r="G124" s="1" t="s">
        <v>8</v>
      </c>
      <c r="H124" s="193" t="s">
        <v>9</v>
      </c>
      <c r="I124" s="193"/>
      <c r="J124" s="193"/>
    </row>
    <row r="125" spans="1:10" ht="13.5" customHeight="1">
      <c r="A125" s="6" t="s">
        <v>10</v>
      </c>
      <c r="B125" s="6"/>
      <c r="C125" s="357" t="s">
        <v>1092</v>
      </c>
      <c r="D125" s="357"/>
      <c r="E125" s="2"/>
      <c r="F125" s="3"/>
      <c r="G125" s="1" t="s">
        <v>12</v>
      </c>
      <c r="H125" s="195" t="s">
        <v>13</v>
      </c>
      <c r="I125" s="195"/>
      <c r="J125" s="195"/>
    </row>
    <row r="126" spans="1:10" ht="13.5" customHeight="1">
      <c r="A126" s="2" t="s">
        <v>14</v>
      </c>
      <c r="B126" s="2"/>
      <c r="C126" s="1" t="s">
        <v>15</v>
      </c>
      <c r="D126" s="194"/>
      <c r="E126" s="194"/>
      <c r="F126" s="3"/>
      <c r="G126" s="1" t="s">
        <v>16</v>
      </c>
      <c r="H126" s="209" t="s">
        <v>87</v>
      </c>
      <c r="I126" s="209"/>
      <c r="J126" s="209"/>
    </row>
    <row r="127" spans="1:10" ht="13.5" customHeight="1">
      <c r="A127" s="2">
        <v>30</v>
      </c>
      <c r="B127" s="2"/>
      <c r="C127" s="2">
        <f>A127-H127</f>
        <v>0</v>
      </c>
      <c r="D127" s="2"/>
      <c r="E127" s="2"/>
      <c r="F127" s="3"/>
      <c r="G127" s="8" t="s">
        <v>18</v>
      </c>
      <c r="H127" s="197">
        <v>30</v>
      </c>
      <c r="I127" s="197"/>
      <c r="J127" s="197"/>
    </row>
    <row r="128" spans="1:10" ht="13.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3.5" customHeight="1">
      <c r="A129" s="17" t="s">
        <v>23</v>
      </c>
      <c r="B129" s="1"/>
      <c r="C129" s="1"/>
      <c r="D129" s="2">
        <v>15000</v>
      </c>
      <c r="E129" s="17" t="s">
        <v>24</v>
      </c>
      <c r="F129" s="1"/>
      <c r="G129" s="2" t="s">
        <v>25</v>
      </c>
      <c r="H129" s="18" t="s">
        <v>502</v>
      </c>
      <c r="I129" s="6"/>
      <c r="J129" s="19"/>
    </row>
    <row r="130" spans="1:10" ht="13.5" customHeight="1">
      <c r="A130" s="17" t="s">
        <v>847</v>
      </c>
      <c r="B130" s="209"/>
      <c r="C130" s="209"/>
      <c r="D130" s="2" t="s">
        <v>25</v>
      </c>
      <c r="E130" s="17" t="s">
        <v>28</v>
      </c>
      <c r="F130" s="1"/>
      <c r="G130" s="2" t="s">
        <v>25</v>
      </c>
      <c r="H130" s="18" t="s">
        <v>504</v>
      </c>
      <c r="I130" s="6"/>
      <c r="J130" s="19"/>
    </row>
    <row r="131" spans="1:10" ht="13.5" customHeight="1">
      <c r="A131" s="17" t="s">
        <v>30</v>
      </c>
      <c r="B131" s="1"/>
      <c r="C131" s="1"/>
      <c r="D131" s="2" t="s">
        <v>25</v>
      </c>
      <c r="E131" s="17" t="s">
        <v>156</v>
      </c>
      <c r="F131" s="1"/>
      <c r="G131" s="2" t="s">
        <v>25</v>
      </c>
      <c r="H131" s="18" t="s">
        <v>32</v>
      </c>
      <c r="I131" s="6"/>
      <c r="J131" s="19"/>
    </row>
    <row r="132" spans="1:10" ht="13.5" customHeight="1">
      <c r="A132" s="17" t="s">
        <v>34</v>
      </c>
      <c r="B132" s="1"/>
      <c r="C132" s="1"/>
      <c r="D132" s="2" t="s">
        <v>25</v>
      </c>
      <c r="E132" s="17" t="s">
        <v>35</v>
      </c>
      <c r="F132" s="1"/>
      <c r="G132" s="2" t="s">
        <v>25</v>
      </c>
      <c r="H132" s="18"/>
      <c r="I132" s="6"/>
      <c r="J132" s="19"/>
    </row>
    <row r="133" spans="1:10" ht="13.5" customHeight="1">
      <c r="A133" s="17" t="s">
        <v>78</v>
      </c>
      <c r="B133" s="1"/>
      <c r="C133" s="1"/>
      <c r="D133" s="2" t="s">
        <v>25</v>
      </c>
      <c r="E133" s="17" t="s">
        <v>1093</v>
      </c>
      <c r="F133" s="1"/>
      <c r="G133" s="2" t="s">
        <v>25</v>
      </c>
      <c r="H133" s="18"/>
      <c r="I133" s="6"/>
      <c r="J133" s="19"/>
    </row>
    <row r="134" spans="1:10" ht="13.5" customHeight="1">
      <c r="A134" s="17" t="s">
        <v>136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8"/>
      <c r="I134" s="6"/>
      <c r="J134" s="19"/>
    </row>
    <row r="135" spans="1:10" ht="13.5" customHeight="1">
      <c r="A135" s="18" t="s">
        <v>40</v>
      </c>
      <c r="B135" s="6"/>
      <c r="C135" s="6"/>
      <c r="D135" s="2" t="s">
        <v>25</v>
      </c>
      <c r="E135" s="17" t="s">
        <v>37</v>
      </c>
      <c r="F135" s="1"/>
      <c r="G135" s="2" t="s">
        <v>25</v>
      </c>
      <c r="H135" s="18"/>
      <c r="I135" s="6"/>
      <c r="J135" s="19"/>
    </row>
    <row r="136" spans="1:10" ht="13.5" customHeight="1">
      <c r="A136" s="204" t="s">
        <v>63</v>
      </c>
      <c r="B136" s="205"/>
      <c r="C136" s="206"/>
      <c r="D136" s="229">
        <f>SUM(D129:D135)</f>
        <v>15000</v>
      </c>
      <c r="E136" s="1" t="s">
        <v>43</v>
      </c>
      <c r="F136" s="1"/>
      <c r="G136" s="2" t="s">
        <v>25</v>
      </c>
      <c r="H136" s="18"/>
      <c r="I136" s="6"/>
      <c r="J136" s="19"/>
    </row>
    <row r="137" spans="1:10" ht="13.5" customHeight="1">
      <c r="A137" s="207"/>
      <c r="B137" s="197"/>
      <c r="C137" s="208"/>
      <c r="D137" s="230"/>
      <c r="E137" s="21" t="s">
        <v>21</v>
      </c>
      <c r="F137" s="22"/>
      <c r="G137" s="229">
        <f>SUM(G129:G136)</f>
        <v>100</v>
      </c>
      <c r="H137" s="21" t="s">
        <v>44</v>
      </c>
      <c r="I137" s="22"/>
      <c r="J137" s="229">
        <f>D136-G137</f>
        <v>14900</v>
      </c>
    </row>
    <row r="138" spans="1:10" ht="13.5" customHeight="1">
      <c r="A138" s="3" t="s">
        <v>45</v>
      </c>
      <c r="B138" s="3"/>
      <c r="C138" s="3"/>
      <c r="D138" s="3"/>
      <c r="E138" s="3"/>
      <c r="F138" s="3"/>
      <c r="G138" s="230"/>
      <c r="H138" s="3"/>
      <c r="I138" s="3"/>
      <c r="J138" s="230"/>
    </row>
    <row r="139" spans="1:10" ht="9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3.5" customHeight="1">
      <c r="A140" s="3"/>
      <c r="B140" s="3" t="s">
        <v>47</v>
      </c>
      <c r="C140" s="3"/>
      <c r="D140" s="3"/>
      <c r="E140" s="3" t="s">
        <v>48</v>
      </c>
      <c r="F140" s="3"/>
      <c r="G140" s="3"/>
      <c r="H140" s="3" t="s">
        <v>49</v>
      </c>
      <c r="I140" s="3"/>
      <c r="J140" s="3"/>
    </row>
    <row r="141" spans="1:10" ht="13.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3.5" customHeight="1">
      <c r="A142" s="187" t="s">
        <v>1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3.5" customHeight="1">
      <c r="A143" s="1" t="s">
        <v>2</v>
      </c>
      <c r="B143" s="1"/>
      <c r="C143" s="41" t="s">
        <v>1088</v>
      </c>
      <c r="D143" s="41"/>
      <c r="E143" s="41"/>
      <c r="F143" s="3"/>
      <c r="G143" s="1" t="s">
        <v>4</v>
      </c>
      <c r="H143" s="191" t="s">
        <v>1076</v>
      </c>
      <c r="I143" s="191"/>
      <c r="J143" s="191"/>
    </row>
    <row r="144" spans="1:10" ht="13.5" customHeight="1">
      <c r="A144" s="1" t="s">
        <v>6</v>
      </c>
      <c r="B144" s="1"/>
      <c r="C144" s="190" t="s">
        <v>1094</v>
      </c>
      <c r="D144" s="190"/>
      <c r="E144" s="190"/>
      <c r="F144" s="3"/>
      <c r="G144" s="1" t="s">
        <v>8</v>
      </c>
      <c r="H144" s="193" t="s">
        <v>9</v>
      </c>
      <c r="I144" s="193"/>
      <c r="J144" s="193"/>
    </row>
    <row r="145" spans="1:10" ht="13.5" customHeight="1">
      <c r="A145" s="6" t="s">
        <v>10</v>
      </c>
      <c r="B145" s="6"/>
      <c r="C145" s="357" t="s">
        <v>1095</v>
      </c>
      <c r="D145" s="357"/>
      <c r="E145" s="2"/>
      <c r="F145" s="3"/>
      <c r="G145" s="1" t="s">
        <v>12</v>
      </c>
      <c r="H145" s="195" t="s">
        <v>13</v>
      </c>
      <c r="I145" s="195"/>
      <c r="J145" s="195"/>
    </row>
    <row r="146" spans="1:10" ht="13.5" customHeight="1">
      <c r="A146" s="2" t="s">
        <v>14</v>
      </c>
      <c r="B146" s="2"/>
      <c r="C146" s="1" t="s">
        <v>15</v>
      </c>
      <c r="D146" s="194"/>
      <c r="E146" s="194"/>
      <c r="F146" s="3"/>
      <c r="G146" s="1" t="s">
        <v>16</v>
      </c>
      <c r="H146" s="209" t="s">
        <v>1090</v>
      </c>
      <c r="I146" s="209"/>
      <c r="J146" s="209"/>
    </row>
    <row r="147" spans="1:10" ht="13.5" customHeight="1">
      <c r="A147" s="2">
        <v>30</v>
      </c>
      <c r="B147" s="2"/>
      <c r="C147" s="2">
        <f>A147-H147</f>
        <v>0</v>
      </c>
      <c r="D147" s="2"/>
      <c r="E147" s="2"/>
      <c r="F147" s="3"/>
      <c r="G147" s="8" t="s">
        <v>18</v>
      </c>
      <c r="H147" s="197">
        <v>30</v>
      </c>
      <c r="I147" s="197"/>
      <c r="J147" s="197"/>
    </row>
    <row r="148" spans="1:10" ht="13.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3.5" customHeight="1">
      <c r="A149" s="17" t="s">
        <v>23</v>
      </c>
      <c r="B149" s="1"/>
      <c r="C149" s="1"/>
      <c r="D149" s="2">
        <v>5000</v>
      </c>
      <c r="E149" s="17" t="s">
        <v>24</v>
      </c>
      <c r="F149" s="1"/>
      <c r="G149" s="2" t="s">
        <v>25</v>
      </c>
      <c r="H149" s="18" t="s">
        <v>502</v>
      </c>
      <c r="I149" s="6"/>
      <c r="J149" s="19"/>
    </row>
    <row r="150" spans="1:10" ht="13.5" customHeight="1">
      <c r="A150" s="17" t="s">
        <v>847</v>
      </c>
      <c r="B150" s="209"/>
      <c r="C150" s="209"/>
      <c r="D150" s="2" t="s">
        <v>25</v>
      </c>
      <c r="E150" s="17" t="s">
        <v>28</v>
      </c>
      <c r="F150" s="1"/>
      <c r="G150" s="2" t="s">
        <v>25</v>
      </c>
      <c r="H150" s="18" t="s">
        <v>504</v>
      </c>
      <c r="I150" s="6"/>
      <c r="J150" s="19"/>
    </row>
    <row r="151" spans="1:10" ht="13.5" customHeight="1">
      <c r="A151" s="17" t="s">
        <v>30</v>
      </c>
      <c r="B151" s="1"/>
      <c r="C151" s="1"/>
      <c r="D151" s="2" t="s">
        <v>25</v>
      </c>
      <c r="E151" s="17" t="s">
        <v>156</v>
      </c>
      <c r="F151" s="1"/>
      <c r="G151" s="2" t="s">
        <v>25</v>
      </c>
      <c r="H151" s="18" t="s">
        <v>32</v>
      </c>
      <c r="I151" s="6"/>
      <c r="J151" s="19"/>
    </row>
    <row r="152" spans="1:10" ht="13.5" customHeight="1">
      <c r="A152" s="17" t="s">
        <v>34</v>
      </c>
      <c r="B152" s="1"/>
      <c r="C152" s="1"/>
      <c r="D152" s="2" t="s">
        <v>25</v>
      </c>
      <c r="E152" s="17" t="s">
        <v>35</v>
      </c>
      <c r="F152" s="1"/>
      <c r="G152" s="2" t="s">
        <v>25</v>
      </c>
      <c r="H152" s="18"/>
      <c r="I152" s="6"/>
      <c r="J152" s="19"/>
    </row>
    <row r="153" spans="1:10" ht="13.5" customHeight="1">
      <c r="A153" s="17" t="s">
        <v>78</v>
      </c>
      <c r="B153" s="1"/>
      <c r="C153" s="1"/>
      <c r="D153" s="2" t="s">
        <v>25</v>
      </c>
      <c r="E153" s="17" t="s">
        <v>1093</v>
      </c>
      <c r="F153" s="1"/>
      <c r="G153" s="2" t="s">
        <v>25</v>
      </c>
      <c r="H153" s="18"/>
      <c r="I153" s="6"/>
      <c r="J153" s="19"/>
    </row>
    <row r="154" spans="1:10" ht="13.5" customHeight="1">
      <c r="A154" s="17" t="s">
        <v>136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3.5" customHeight="1">
      <c r="A155" s="18" t="s">
        <v>40</v>
      </c>
      <c r="B155" s="6"/>
      <c r="C155" s="6"/>
      <c r="D155" s="2" t="s">
        <v>25</v>
      </c>
      <c r="E155" s="17" t="s">
        <v>37</v>
      </c>
      <c r="F155" s="1"/>
      <c r="G155" s="2" t="s">
        <v>25</v>
      </c>
      <c r="H155" s="18"/>
      <c r="I155" s="6"/>
      <c r="J155" s="19"/>
    </row>
    <row r="156" spans="1:10" ht="13.5" customHeight="1">
      <c r="A156" s="204" t="s">
        <v>63</v>
      </c>
      <c r="B156" s="205"/>
      <c r="C156" s="206"/>
      <c r="D156" s="229">
        <f>SUM(D149:D155)</f>
        <v>5000</v>
      </c>
      <c r="E156" s="1" t="s">
        <v>43</v>
      </c>
      <c r="F156" s="1"/>
      <c r="G156" s="2" t="s">
        <v>25</v>
      </c>
      <c r="H156" s="18"/>
      <c r="I156" s="6"/>
      <c r="J156" s="19"/>
    </row>
    <row r="157" spans="1:10" ht="13.5" customHeight="1">
      <c r="A157" s="207"/>
      <c r="B157" s="197"/>
      <c r="C157" s="208"/>
      <c r="D157" s="230"/>
      <c r="E157" s="21" t="s">
        <v>21</v>
      </c>
      <c r="F157" s="22"/>
      <c r="G157" s="229">
        <f>SUM(G149:G156)</f>
        <v>100</v>
      </c>
      <c r="H157" s="21" t="s">
        <v>44</v>
      </c>
      <c r="I157" s="22"/>
      <c r="J157" s="229">
        <f>D156-G157</f>
        <v>4900</v>
      </c>
    </row>
    <row r="158" spans="1:10" ht="13.5" customHeight="1">
      <c r="A158" s="3" t="s">
        <v>45</v>
      </c>
      <c r="B158" s="3"/>
      <c r="C158" s="3"/>
      <c r="D158" s="3"/>
      <c r="E158" s="3"/>
      <c r="F158" s="3"/>
      <c r="G158" s="230"/>
      <c r="H158" s="3"/>
      <c r="I158" s="3"/>
      <c r="J158" s="230"/>
    </row>
    <row r="159" spans="1:10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3.5" customHeight="1">
      <c r="A160" s="3"/>
      <c r="B160" s="3" t="s">
        <v>47</v>
      </c>
      <c r="C160" s="3"/>
      <c r="D160" s="3"/>
      <c r="E160" s="3" t="s">
        <v>48</v>
      </c>
      <c r="F160" s="3"/>
      <c r="G160" s="3"/>
      <c r="H160" s="3" t="s">
        <v>49</v>
      </c>
      <c r="I160" s="3"/>
      <c r="J160" s="3"/>
    </row>
    <row r="161" spans="1:10" ht="33" customHeight="1">
      <c r="A161" s="345" t="s">
        <v>1074</v>
      </c>
      <c r="B161" s="345"/>
      <c r="C161" s="345"/>
      <c r="D161" s="345"/>
      <c r="E161" s="345"/>
      <c r="F161" s="354">
        <f>J157+J137+J117+J97+J77+J57+J37+J17</f>
        <v>104800</v>
      </c>
      <c r="G161" s="355"/>
      <c r="H161" s="355"/>
      <c r="I161" s="355"/>
      <c r="J161" s="356"/>
    </row>
    <row r="163" spans="1:10" ht="27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spans="1:10" ht="37.5" customHeight="1">
      <c r="A164" s="29"/>
      <c r="B164" s="29"/>
      <c r="C164" s="29"/>
      <c r="D164" s="29"/>
      <c r="E164" s="29"/>
      <c r="F164" s="30"/>
      <c r="G164" s="30"/>
      <c r="H164" s="30"/>
      <c r="I164" s="30"/>
    </row>
    <row r="165" spans="1:10">
      <c r="A165" s="31"/>
      <c r="B165" s="252" t="s">
        <v>265</v>
      </c>
      <c r="C165" s="252"/>
      <c r="D165" s="252"/>
      <c r="E165" s="33"/>
      <c r="F165" s="253" t="s">
        <v>266</v>
      </c>
      <c r="G165" s="253"/>
      <c r="H165" s="253"/>
      <c r="I165" s="253"/>
    </row>
    <row r="166" spans="1:10" ht="10.5" customHeight="1">
      <c r="A166" s="31"/>
      <c r="B166" s="34"/>
      <c r="C166" s="34"/>
      <c r="D166" s="34"/>
      <c r="E166" s="33"/>
      <c r="F166" s="35"/>
      <c r="G166" s="35"/>
      <c r="H166" s="35"/>
      <c r="I166" s="35"/>
    </row>
    <row r="167" spans="1:10">
      <c r="A167" s="31"/>
      <c r="B167" s="34"/>
      <c r="C167" s="34"/>
      <c r="D167" s="34"/>
      <c r="E167" s="33"/>
      <c r="F167" s="35"/>
      <c r="G167" s="35"/>
      <c r="H167" s="35"/>
      <c r="I167" s="35"/>
    </row>
    <row r="168" spans="1:10">
      <c r="A168" s="31"/>
      <c r="B168" s="34"/>
      <c r="C168" s="34"/>
      <c r="D168" s="34"/>
      <c r="E168" s="33"/>
      <c r="F168" s="35"/>
      <c r="G168" s="35"/>
      <c r="H168" s="35"/>
      <c r="I168" s="35"/>
    </row>
    <row r="169" spans="1:10">
      <c r="A169" s="31"/>
      <c r="B169" s="31"/>
      <c r="C169" s="31"/>
      <c r="D169" s="31"/>
      <c r="E169" s="31"/>
      <c r="F169" s="36"/>
      <c r="G169" s="36"/>
      <c r="H169" s="36"/>
      <c r="I169" s="36"/>
    </row>
    <row r="170" spans="1:10">
      <c r="A170" s="31"/>
      <c r="B170" s="37"/>
      <c r="C170" s="32" t="s">
        <v>267</v>
      </c>
      <c r="D170" s="32"/>
      <c r="E170" s="31"/>
      <c r="F170" s="253" t="s">
        <v>268</v>
      </c>
      <c r="G170" s="253"/>
      <c r="H170" s="253"/>
      <c r="I170" s="253"/>
    </row>
  </sheetData>
  <mergeCells count="125">
    <mergeCell ref="B165:D165"/>
    <mergeCell ref="F165:I165"/>
    <mergeCell ref="F170:I170"/>
    <mergeCell ref="D16:D17"/>
    <mergeCell ref="D36:D37"/>
    <mergeCell ref="D56:D57"/>
    <mergeCell ref="D76:D77"/>
    <mergeCell ref="D96:D97"/>
    <mergeCell ref="D116:D117"/>
    <mergeCell ref="D136:D137"/>
    <mergeCell ref="D156:D157"/>
    <mergeCell ref="G137:G138"/>
    <mergeCell ref="G157:G158"/>
    <mergeCell ref="A156:C157"/>
    <mergeCell ref="A136:C137"/>
    <mergeCell ref="A116:C117"/>
    <mergeCell ref="A96:C97"/>
    <mergeCell ref="A76:C77"/>
    <mergeCell ref="A36:C37"/>
    <mergeCell ref="A56:C57"/>
    <mergeCell ref="A16:C17"/>
    <mergeCell ref="C145:D145"/>
    <mergeCell ref="H145:J145"/>
    <mergeCell ref="D146:E146"/>
    <mergeCell ref="H146:J146"/>
    <mergeCell ref="H147:J147"/>
    <mergeCell ref="A148:C148"/>
    <mergeCell ref="H148:J148"/>
    <mergeCell ref="B150:C150"/>
    <mergeCell ref="A161:E161"/>
    <mergeCell ref="F161:J161"/>
    <mergeCell ref="J157:J158"/>
    <mergeCell ref="H127:J127"/>
    <mergeCell ref="A128:C128"/>
    <mergeCell ref="H128:J128"/>
    <mergeCell ref="B130:C130"/>
    <mergeCell ref="A141:J141"/>
    <mergeCell ref="A142:J142"/>
    <mergeCell ref="H143:J143"/>
    <mergeCell ref="C144:E144"/>
    <mergeCell ref="H144:J144"/>
    <mergeCell ref="J137:J138"/>
    <mergeCell ref="A121:J121"/>
    <mergeCell ref="A122:J122"/>
    <mergeCell ref="H123:J123"/>
    <mergeCell ref="C124:E124"/>
    <mergeCell ref="H124:J124"/>
    <mergeCell ref="C125:D125"/>
    <mergeCell ref="H125:J125"/>
    <mergeCell ref="D126:E126"/>
    <mergeCell ref="H126:J126"/>
    <mergeCell ref="C104:E104"/>
    <mergeCell ref="H104:J104"/>
    <mergeCell ref="C105:E105"/>
    <mergeCell ref="H105:J105"/>
    <mergeCell ref="D106:E106"/>
    <mergeCell ref="H106:J106"/>
    <mergeCell ref="H107:J107"/>
    <mergeCell ref="A108:C108"/>
    <mergeCell ref="H108:J108"/>
    <mergeCell ref="D86:E86"/>
    <mergeCell ref="H86:J86"/>
    <mergeCell ref="H87:J87"/>
    <mergeCell ref="A88:C88"/>
    <mergeCell ref="H88:J88"/>
    <mergeCell ref="B90:C90"/>
    <mergeCell ref="A101:J101"/>
    <mergeCell ref="A102:J102"/>
    <mergeCell ref="H103:J103"/>
    <mergeCell ref="A68:C68"/>
    <mergeCell ref="H68:J68"/>
    <mergeCell ref="B70:C70"/>
    <mergeCell ref="A81:J81"/>
    <mergeCell ref="A82:J82"/>
    <mergeCell ref="C83:D83"/>
    <mergeCell ref="H83:J83"/>
    <mergeCell ref="H84:J84"/>
    <mergeCell ref="C85:D85"/>
    <mergeCell ref="H85:J85"/>
    <mergeCell ref="A62:J62"/>
    <mergeCell ref="C63:D63"/>
    <mergeCell ref="H63:J63"/>
    <mergeCell ref="H64:J64"/>
    <mergeCell ref="C65:D65"/>
    <mergeCell ref="H65:J65"/>
    <mergeCell ref="D66:E66"/>
    <mergeCell ref="H66:J66"/>
    <mergeCell ref="H67:J67"/>
    <mergeCell ref="C44:D44"/>
    <mergeCell ref="H44:J44"/>
    <mergeCell ref="H45:J45"/>
    <mergeCell ref="H46:J46"/>
    <mergeCell ref="H47:J47"/>
    <mergeCell ref="A48:C48"/>
    <mergeCell ref="H48:J48"/>
    <mergeCell ref="B50:C50"/>
    <mergeCell ref="A61:J61"/>
    <mergeCell ref="H25:J25"/>
    <mergeCell ref="H26:J26"/>
    <mergeCell ref="H27:J27"/>
    <mergeCell ref="A28:C28"/>
    <mergeCell ref="H28:J28"/>
    <mergeCell ref="B30:C30"/>
    <mergeCell ref="A41:J41"/>
    <mergeCell ref="A42:J42"/>
    <mergeCell ref="C43:D43"/>
    <mergeCell ref="H43:J43"/>
    <mergeCell ref="A8:C8"/>
    <mergeCell ref="H8:J8"/>
    <mergeCell ref="B10:C10"/>
    <mergeCell ref="A21:J21"/>
    <mergeCell ref="A22:J22"/>
    <mergeCell ref="C23:D23"/>
    <mergeCell ref="H23:J23"/>
    <mergeCell ref="C24:D24"/>
    <mergeCell ref="H24:J24"/>
    <mergeCell ref="A1:J1"/>
    <mergeCell ref="A2:J2"/>
    <mergeCell ref="C3:D3"/>
    <mergeCell ref="H3:J3"/>
    <mergeCell ref="C4:D4"/>
    <mergeCell ref="H4:J4"/>
    <mergeCell ref="H5:J5"/>
    <mergeCell ref="H6:J6"/>
    <mergeCell ref="H7:J7"/>
  </mergeCells>
  <pageMargins left="0.7" right="0.7" top="0.46" bottom="0.46" header="0.3" footer="0.3"/>
  <pageSetup scale="90" orientation="portrait" r:id="rId1"/>
  <rowBreaks count="2" manualBreakCount="2">
    <brk id="60" max="16383" man="1"/>
    <brk id="12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dimension ref="A1:J70"/>
  <sheetViews>
    <sheetView zoomScaleNormal="100" workbookViewId="0">
      <selection sqref="A1:J70"/>
    </sheetView>
  </sheetViews>
  <sheetFormatPr defaultColWidth="9" defaultRowHeight="15"/>
  <sheetData>
    <row r="1" spans="1:10" ht="13.5" customHeight="1">
      <c r="A1" s="184" t="s">
        <v>1113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0" t="s">
        <v>1096</v>
      </c>
      <c r="D3" s="190"/>
      <c r="E3" s="2"/>
      <c r="F3" s="3"/>
      <c r="G3" s="1" t="s">
        <v>4</v>
      </c>
      <c r="H3" s="191" t="s">
        <v>107</v>
      </c>
      <c r="I3" s="191"/>
      <c r="J3" s="191"/>
    </row>
    <row r="4" spans="1:10" ht="13.5" customHeight="1">
      <c r="A4" s="1" t="s">
        <v>6</v>
      </c>
      <c r="B4" s="1"/>
      <c r="C4" s="192" t="s">
        <v>1097</v>
      </c>
      <c r="D4" s="192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194" t="s">
        <v>598</v>
      </c>
      <c r="D5" s="194"/>
      <c r="E5" s="2"/>
      <c r="F5" s="3"/>
      <c r="G5" s="1" t="s">
        <v>12</v>
      </c>
      <c r="H5" s="195" t="s">
        <v>13</v>
      </c>
      <c r="I5" s="195"/>
      <c r="J5" s="195"/>
    </row>
    <row r="6" spans="1:10" ht="13.5" customHeight="1">
      <c r="A6" s="6" t="s">
        <v>14</v>
      </c>
      <c r="B6" s="6"/>
      <c r="C6" s="2" t="s">
        <v>15</v>
      </c>
      <c r="D6" s="2"/>
      <c r="E6" s="2"/>
      <c r="F6" s="3"/>
      <c r="G6" s="1" t="s">
        <v>16</v>
      </c>
      <c r="H6" s="196" t="s">
        <v>253</v>
      </c>
      <c r="I6" s="196"/>
      <c r="J6" s="196"/>
    </row>
    <row r="7" spans="1:10" ht="13.5" customHeight="1">
      <c r="A7" s="2">
        <v>30</v>
      </c>
      <c r="B7" s="6"/>
      <c r="C7" s="2">
        <f>A7-H7</f>
        <v>12</v>
      </c>
      <c r="D7" s="2"/>
      <c r="E7" s="2"/>
      <c r="F7" s="3"/>
      <c r="G7" s="8" t="s">
        <v>18</v>
      </c>
      <c r="H7" s="197">
        <v>18</v>
      </c>
      <c r="I7" s="197"/>
      <c r="J7" s="197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370</v>
      </c>
      <c r="B9" s="1"/>
      <c r="C9" s="1"/>
      <c r="D9" s="2">
        <v>17000</v>
      </c>
      <c r="E9" s="17" t="s">
        <v>24</v>
      </c>
      <c r="F9" s="1"/>
      <c r="G9" s="2" t="s">
        <v>25</v>
      </c>
      <c r="H9" s="18" t="s">
        <v>26</v>
      </c>
      <c r="I9" s="23"/>
      <c r="J9" s="24"/>
    </row>
    <row r="10" spans="1:10" ht="13.5" customHeight="1">
      <c r="A10" s="17" t="s">
        <v>77</v>
      </c>
      <c r="B10" s="209"/>
      <c r="C10" s="209"/>
      <c r="D10" s="2" t="s">
        <v>25</v>
      </c>
      <c r="E10" s="17" t="s">
        <v>52</v>
      </c>
      <c r="F10" s="1"/>
      <c r="G10" s="2" t="s">
        <v>25</v>
      </c>
      <c r="H10" s="18" t="s">
        <v>29</v>
      </c>
      <c r="I10" s="23"/>
      <c r="J10" s="24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40</v>
      </c>
      <c r="F11" s="1"/>
      <c r="G11" s="2" t="s">
        <v>25</v>
      </c>
      <c r="H11" s="18" t="s">
        <v>32</v>
      </c>
      <c r="I11" s="23"/>
      <c r="J11" s="24"/>
    </row>
    <row r="12" spans="1:10" ht="13.5" customHeight="1">
      <c r="A12" s="17" t="s">
        <v>34</v>
      </c>
      <c r="B12" s="1"/>
      <c r="C12" s="1"/>
      <c r="D12" s="2" t="s">
        <v>25</v>
      </c>
      <c r="E12" s="17" t="s">
        <v>35</v>
      </c>
      <c r="F12" s="1"/>
      <c r="G12" s="2">
        <v>6800</v>
      </c>
      <c r="H12" s="18"/>
      <c r="I12" s="6"/>
      <c r="J12" s="26"/>
    </row>
    <row r="13" spans="1:10" ht="13.5" customHeight="1">
      <c r="A13" s="17" t="s">
        <v>110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18" t="s">
        <v>1098</v>
      </c>
      <c r="I13" s="6"/>
      <c r="J13" s="26"/>
    </row>
    <row r="14" spans="1:10" ht="13.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26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111</v>
      </c>
      <c r="F15" s="2"/>
      <c r="G15" s="2" t="s">
        <v>25</v>
      </c>
      <c r="H15" s="18"/>
      <c r="I15" s="6"/>
      <c r="J15" s="2"/>
    </row>
    <row r="16" spans="1:10" ht="13.5" customHeight="1">
      <c r="A16" s="204" t="s">
        <v>63</v>
      </c>
      <c r="B16" s="205"/>
      <c r="C16" s="206"/>
      <c r="D16" s="229">
        <f>SUM(D9:D15)</f>
        <v>17000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6900</v>
      </c>
      <c r="H17" s="198" t="s">
        <v>44</v>
      </c>
      <c r="I17" s="200"/>
      <c r="J17" s="13">
        <f>D16-G17</f>
        <v>10100</v>
      </c>
    </row>
    <row r="18" spans="1:10" ht="13.5" customHeight="1">
      <c r="A18" s="3" t="s">
        <v>45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/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4" t="s">
        <v>587</v>
      </c>
      <c r="D23" s="194"/>
      <c r="E23" s="2"/>
      <c r="F23" s="3"/>
      <c r="G23" s="1" t="s">
        <v>4</v>
      </c>
      <c r="H23" s="209" t="s">
        <v>182</v>
      </c>
      <c r="I23" s="209"/>
      <c r="J23" s="209"/>
    </row>
    <row r="24" spans="1:10" ht="13.5" customHeight="1">
      <c r="A24" s="1" t="s">
        <v>6</v>
      </c>
      <c r="B24" s="1"/>
      <c r="C24" s="192" t="s">
        <v>1099</v>
      </c>
      <c r="D24" s="192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194" t="s">
        <v>563</v>
      </c>
      <c r="D25" s="194"/>
      <c r="E25" s="2"/>
      <c r="F25" s="3"/>
      <c r="G25" s="1" t="s">
        <v>12</v>
      </c>
      <c r="H25" s="195" t="s">
        <v>13</v>
      </c>
      <c r="I25" s="195"/>
      <c r="J25" s="195"/>
    </row>
    <row r="26" spans="1:10" ht="13.5" customHeight="1">
      <c r="A26" s="2" t="s">
        <v>14</v>
      </c>
      <c r="B26" s="2"/>
      <c r="C26" s="2" t="s">
        <v>15</v>
      </c>
      <c r="D26" s="2"/>
      <c r="E26" s="2"/>
      <c r="F26" s="3"/>
      <c r="G26" s="1" t="s">
        <v>16</v>
      </c>
      <c r="H26" s="196" t="s">
        <v>55</v>
      </c>
      <c r="I26" s="196"/>
      <c r="J26" s="196"/>
    </row>
    <row r="27" spans="1:10" ht="13.5" customHeight="1">
      <c r="A27" s="2">
        <v>30</v>
      </c>
      <c r="B27" s="2"/>
      <c r="C27" s="2">
        <f>A27-H27</f>
        <v>15</v>
      </c>
      <c r="D27" s="2"/>
      <c r="E27" s="2"/>
      <c r="F27" s="3"/>
      <c r="G27" s="8" t="s">
        <v>18</v>
      </c>
      <c r="H27" s="197">
        <v>15</v>
      </c>
      <c r="I27" s="197"/>
      <c r="J27" s="197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2">
        <v>18000</v>
      </c>
      <c r="E29" s="17" t="s">
        <v>24</v>
      </c>
      <c r="F29" s="1"/>
      <c r="G29" s="2" t="s">
        <v>25</v>
      </c>
      <c r="H29" s="18" t="s">
        <v>26</v>
      </c>
      <c r="I29" s="23"/>
      <c r="J29" s="24"/>
    </row>
    <row r="30" spans="1:10" ht="13.5" customHeight="1">
      <c r="A30" s="17" t="s">
        <v>57</v>
      </c>
      <c r="B30" s="209"/>
      <c r="C30" s="209"/>
      <c r="D30" s="2" t="s">
        <v>25</v>
      </c>
      <c r="E30" s="17" t="s">
        <v>58</v>
      </c>
      <c r="F30" s="1"/>
      <c r="G30" s="2" t="s">
        <v>25</v>
      </c>
      <c r="H30" s="18" t="s">
        <v>29</v>
      </c>
      <c r="I30" s="23"/>
      <c r="J30" s="24"/>
    </row>
    <row r="31" spans="1:10" ht="13.5" customHeight="1">
      <c r="A31" s="17" t="s">
        <v>30</v>
      </c>
      <c r="B31" s="1"/>
      <c r="C31" s="1"/>
      <c r="D31" s="2" t="s">
        <v>25</v>
      </c>
      <c r="E31" s="17" t="s">
        <v>566</v>
      </c>
      <c r="F31" s="1"/>
      <c r="G31" s="2" t="s">
        <v>25</v>
      </c>
      <c r="H31" s="18" t="s">
        <v>32</v>
      </c>
      <c r="I31" s="23"/>
      <c r="J31" s="24"/>
    </row>
    <row r="32" spans="1:10" ht="13.5" customHeight="1">
      <c r="A32" s="17" t="s">
        <v>629</v>
      </c>
      <c r="B32" s="1"/>
      <c r="C32" s="1"/>
      <c r="D32" s="2" t="s">
        <v>25</v>
      </c>
      <c r="E32" s="17" t="s">
        <v>35</v>
      </c>
      <c r="F32" s="1"/>
      <c r="G32" s="2">
        <v>9000</v>
      </c>
      <c r="H32" s="18"/>
      <c r="I32" s="6"/>
      <c r="J32" s="19"/>
    </row>
    <row r="33" spans="1:10" ht="13.5" customHeight="1">
      <c r="A33" s="17" t="s">
        <v>78</v>
      </c>
      <c r="B33" s="1"/>
      <c r="C33" s="1"/>
      <c r="D33" s="2" t="s">
        <v>25</v>
      </c>
      <c r="E33" s="17" t="s">
        <v>39</v>
      </c>
      <c r="F33" s="1"/>
      <c r="G33" s="2">
        <v>100</v>
      </c>
      <c r="H33" s="18"/>
      <c r="I33" s="6"/>
      <c r="J33" s="38"/>
    </row>
    <row r="34" spans="1:10" ht="13.5" customHeight="1">
      <c r="A34" s="17" t="s">
        <v>136</v>
      </c>
      <c r="B34" s="1"/>
      <c r="C34" s="1"/>
      <c r="D34" s="2" t="s">
        <v>25</v>
      </c>
      <c r="E34" s="17" t="s">
        <v>61</v>
      </c>
      <c r="F34" s="1"/>
      <c r="G34" s="2" t="s">
        <v>25</v>
      </c>
      <c r="H34" s="18" t="s">
        <v>1098</v>
      </c>
      <c r="I34" s="6"/>
      <c r="J34" s="38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41</v>
      </c>
      <c r="F35" s="1"/>
      <c r="G35" s="2" t="s">
        <v>25</v>
      </c>
      <c r="H35" s="18"/>
      <c r="I35" s="6"/>
      <c r="J35" s="38"/>
    </row>
    <row r="36" spans="1:10" ht="13.5" customHeight="1">
      <c r="A36" s="204" t="s">
        <v>63</v>
      </c>
      <c r="B36" s="205"/>
      <c r="C36" s="206"/>
      <c r="D36" s="229">
        <f>SUM(D29:D35)</f>
        <v>18000</v>
      </c>
      <c r="E36" s="1" t="s">
        <v>43</v>
      </c>
      <c r="F36" s="1"/>
      <c r="G36" s="2" t="s">
        <v>25</v>
      </c>
      <c r="H36" s="18"/>
      <c r="I36" s="6"/>
      <c r="J36" s="3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9100</v>
      </c>
      <c r="H37" s="21" t="s">
        <v>44</v>
      </c>
      <c r="I37" s="22"/>
      <c r="J37" s="13">
        <f>D36-G37</f>
        <v>8900</v>
      </c>
    </row>
    <row r="38" spans="1:10" ht="13.5" customHeight="1">
      <c r="A38" s="3" t="s">
        <v>45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ht="13.5" customHeight="1"/>
    <row r="40" spans="1:10" ht="13.5" customHeight="1">
      <c r="A40" s="3"/>
      <c r="B40" s="3" t="s">
        <v>47</v>
      </c>
      <c r="C40" s="3"/>
      <c r="D40" s="3"/>
      <c r="E40" s="3" t="s">
        <v>48</v>
      </c>
      <c r="F40" s="3"/>
      <c r="G40" s="3"/>
      <c r="H40" s="3" t="s">
        <v>49</v>
      </c>
      <c r="I40" s="3"/>
      <c r="J40" s="3"/>
    </row>
    <row r="41" spans="1:10" ht="12.7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2.75" customHeight="1">
      <c r="A42" s="187" t="s">
        <v>1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2.75" customHeight="1">
      <c r="A43" s="1" t="s">
        <v>2</v>
      </c>
      <c r="B43" s="1"/>
      <c r="C43" s="194" t="s">
        <v>1100</v>
      </c>
      <c r="D43" s="194"/>
      <c r="E43" s="2"/>
      <c r="F43" s="3"/>
      <c r="G43" s="1" t="s">
        <v>4</v>
      </c>
      <c r="H43" s="191" t="s">
        <v>227</v>
      </c>
      <c r="I43" s="191"/>
      <c r="J43" s="191"/>
    </row>
    <row r="44" spans="1:10" ht="12.75" customHeight="1">
      <c r="A44" s="1" t="s">
        <v>6</v>
      </c>
      <c r="B44" s="1"/>
      <c r="C44" s="192" t="s">
        <v>1101</v>
      </c>
      <c r="D44" s="192"/>
      <c r="E44" s="192"/>
      <c r="F44" s="3"/>
      <c r="G44" s="1" t="s">
        <v>8</v>
      </c>
      <c r="H44" s="193" t="s">
        <v>9</v>
      </c>
      <c r="I44" s="193"/>
      <c r="J44" s="193"/>
    </row>
    <row r="45" spans="1:10" ht="12.75" customHeight="1">
      <c r="A45" s="6" t="s">
        <v>10</v>
      </c>
      <c r="B45" s="6"/>
      <c r="C45" s="194" t="s">
        <v>328</v>
      </c>
      <c r="D45" s="194"/>
      <c r="E45" s="2"/>
      <c r="F45" s="3"/>
      <c r="G45" s="1" t="s">
        <v>12</v>
      </c>
      <c r="H45" s="195" t="s">
        <v>13</v>
      </c>
      <c r="I45" s="195"/>
      <c r="J45" s="195"/>
    </row>
    <row r="46" spans="1:10" ht="12.75" customHeight="1">
      <c r="A46" s="2"/>
      <c r="B46" s="2"/>
      <c r="C46" s="2" t="s">
        <v>15</v>
      </c>
      <c r="D46" s="2"/>
      <c r="E46" s="2"/>
      <c r="F46" s="3"/>
      <c r="G46" s="1" t="s">
        <v>16</v>
      </c>
      <c r="H46" s="196" t="s">
        <v>1102</v>
      </c>
      <c r="I46" s="196"/>
      <c r="J46" s="196"/>
    </row>
    <row r="47" spans="1:10" ht="12.75" customHeight="1">
      <c r="A47" s="2">
        <v>30</v>
      </c>
      <c r="B47" s="2"/>
      <c r="C47" s="2">
        <f>A47-I47</f>
        <v>21</v>
      </c>
      <c r="D47" s="2"/>
      <c r="E47" s="2"/>
      <c r="F47" s="3"/>
      <c r="G47" s="8" t="s">
        <v>18</v>
      </c>
      <c r="H47" s="8"/>
      <c r="I47" s="9">
        <v>9</v>
      </c>
      <c r="J47" s="9"/>
    </row>
    <row r="48" spans="1:10" ht="12.7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2.75" customHeight="1">
      <c r="A49" s="17" t="s">
        <v>23</v>
      </c>
      <c r="B49" s="1"/>
      <c r="C49" s="1"/>
      <c r="D49" s="2">
        <v>30000</v>
      </c>
      <c r="E49" s="17" t="s">
        <v>24</v>
      </c>
      <c r="F49" s="1"/>
      <c r="G49" s="2" t="s">
        <v>25</v>
      </c>
      <c r="H49" s="18" t="s">
        <v>26</v>
      </c>
      <c r="I49" s="23"/>
      <c r="J49" s="24"/>
    </row>
    <row r="50" spans="1:10" ht="12.75" customHeight="1">
      <c r="A50" s="17" t="s">
        <v>69</v>
      </c>
      <c r="B50" s="209"/>
      <c r="C50" s="209"/>
      <c r="D50" s="2" t="s">
        <v>25</v>
      </c>
      <c r="E50" s="17" t="s">
        <v>58</v>
      </c>
      <c r="F50" s="1"/>
      <c r="G50" s="2" t="s">
        <v>25</v>
      </c>
      <c r="H50" s="18" t="s">
        <v>29</v>
      </c>
      <c r="I50" s="23"/>
      <c r="J50" s="24"/>
    </row>
    <row r="51" spans="1:10" ht="12.75" customHeight="1">
      <c r="A51" s="17" t="s">
        <v>30</v>
      </c>
      <c r="B51" s="1"/>
      <c r="C51" s="1"/>
      <c r="D51" s="2" t="s">
        <v>25</v>
      </c>
      <c r="E51" s="17" t="s">
        <v>70</v>
      </c>
      <c r="F51" s="1"/>
      <c r="G51" s="2" t="s">
        <v>25</v>
      </c>
      <c r="H51" s="18" t="s">
        <v>32</v>
      </c>
      <c r="I51" s="23"/>
      <c r="J51" s="24"/>
    </row>
    <row r="52" spans="1:10" ht="12.75" customHeight="1">
      <c r="A52" s="17" t="s">
        <v>34</v>
      </c>
      <c r="B52" s="1"/>
      <c r="C52" s="1"/>
      <c r="D52" s="2" t="s">
        <v>25</v>
      </c>
      <c r="E52" s="17" t="s">
        <v>71</v>
      </c>
      <c r="F52" s="1"/>
      <c r="G52" s="2">
        <v>21000</v>
      </c>
      <c r="H52" s="18"/>
      <c r="I52" s="6"/>
      <c r="J52" s="19"/>
    </row>
    <row r="53" spans="1:10" ht="12.75" customHeight="1">
      <c r="A53" s="17" t="s">
        <v>27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211"/>
      <c r="I53" s="194"/>
      <c r="J53" s="212"/>
    </row>
    <row r="54" spans="1:10" ht="12.7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19"/>
    </row>
    <row r="55" spans="1:10" ht="12.75" customHeight="1">
      <c r="A55" s="18" t="s">
        <v>40</v>
      </c>
      <c r="B55" s="6"/>
      <c r="C55" s="6"/>
      <c r="D55" s="2" t="s">
        <v>25</v>
      </c>
      <c r="E55" s="17" t="s">
        <v>62</v>
      </c>
      <c r="F55" s="1"/>
      <c r="G55" s="2" t="s">
        <v>25</v>
      </c>
      <c r="H55" s="18"/>
      <c r="I55" s="6"/>
      <c r="J55" s="19"/>
    </row>
    <row r="56" spans="1:10" ht="12.75" customHeight="1">
      <c r="A56" s="204" t="s">
        <v>63</v>
      </c>
      <c r="B56" s="205"/>
      <c r="C56" s="206"/>
      <c r="D56" s="229">
        <f>SUM(D49:D55)</f>
        <v>30000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2.75" customHeight="1">
      <c r="A57" s="207"/>
      <c r="B57" s="197"/>
      <c r="C57" s="208"/>
      <c r="D57" s="230"/>
      <c r="E57" s="21" t="s">
        <v>21</v>
      </c>
      <c r="F57" s="22"/>
      <c r="G57" s="13">
        <f>SUM(G49:G56)</f>
        <v>21100</v>
      </c>
      <c r="H57" s="21" t="s">
        <v>44</v>
      </c>
      <c r="I57" s="22"/>
      <c r="J57" s="13">
        <f>D56-G57</f>
        <v>8900</v>
      </c>
    </row>
    <row r="58" spans="1:10" ht="12.75" customHeight="1">
      <c r="A58" s="2"/>
      <c r="B58" s="2"/>
      <c r="C58" s="2"/>
      <c r="D58" s="2"/>
      <c r="E58" s="1"/>
      <c r="F58" s="1"/>
      <c r="G58" s="2"/>
      <c r="H58" s="1"/>
      <c r="I58" s="1"/>
      <c r="J58" s="2"/>
    </row>
    <row r="59" spans="1:10" ht="12.75" customHeight="1">
      <c r="A59" s="3" t="s">
        <v>45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ht="12.75" customHeight="1">
      <c r="A60" s="3"/>
      <c r="B60" s="3" t="s">
        <v>47</v>
      </c>
      <c r="C60" s="3"/>
      <c r="D60" s="3" t="s">
        <v>73</v>
      </c>
      <c r="E60" s="3" t="s">
        <v>48</v>
      </c>
      <c r="F60" s="3"/>
      <c r="G60" s="3"/>
      <c r="H60" s="3" t="s">
        <v>49</v>
      </c>
      <c r="I60" s="3"/>
      <c r="J60" s="3"/>
    </row>
    <row r="61" spans="1:10" ht="30.75" customHeight="1">
      <c r="A61" s="345" t="s">
        <v>1074</v>
      </c>
      <c r="B61" s="345"/>
      <c r="C61" s="345"/>
      <c r="D61" s="345"/>
      <c r="E61" s="345"/>
      <c r="F61" s="354">
        <f>J57+J37+J17</f>
        <v>27900</v>
      </c>
      <c r="G61" s="355"/>
      <c r="H61" s="355"/>
      <c r="I61" s="355"/>
      <c r="J61" s="356"/>
    </row>
    <row r="63" spans="1:10">
      <c r="A63" s="3"/>
      <c r="B63" s="3"/>
      <c r="C63" s="3"/>
      <c r="D63" s="3"/>
      <c r="E63" s="3"/>
      <c r="F63" s="3"/>
      <c r="G63" s="3"/>
      <c r="H63" s="3"/>
      <c r="I63" s="3"/>
    </row>
    <row r="64" spans="1:10">
      <c r="A64" s="29"/>
      <c r="B64" s="29"/>
      <c r="C64" s="29"/>
      <c r="D64" s="29"/>
      <c r="E64" s="29"/>
      <c r="F64" s="30"/>
      <c r="G64" s="30"/>
      <c r="H64" s="30"/>
      <c r="I64" s="30"/>
    </row>
    <row r="65" spans="1:9">
      <c r="A65" s="31"/>
      <c r="B65" s="252" t="s">
        <v>265</v>
      </c>
      <c r="C65" s="252"/>
      <c r="D65" s="252"/>
      <c r="E65" s="33"/>
      <c r="F65" s="253" t="s">
        <v>266</v>
      </c>
      <c r="G65" s="253"/>
      <c r="H65" s="253"/>
      <c r="I65" s="253"/>
    </row>
    <row r="66" spans="1:9">
      <c r="A66" s="31"/>
      <c r="B66" s="34"/>
      <c r="C66" s="34"/>
      <c r="D66" s="34"/>
      <c r="E66" s="33"/>
      <c r="F66" s="35"/>
      <c r="G66" s="35"/>
      <c r="H66" s="35"/>
      <c r="I66" s="35"/>
    </row>
    <row r="67" spans="1:9">
      <c r="A67" s="31"/>
      <c r="B67" s="34"/>
      <c r="C67" s="34"/>
      <c r="D67" s="34"/>
      <c r="E67" s="33"/>
      <c r="F67" s="35"/>
      <c r="G67" s="35"/>
      <c r="H67" s="35"/>
      <c r="I67" s="35"/>
    </row>
    <row r="68" spans="1:9">
      <c r="A68" s="31"/>
      <c r="B68" s="34"/>
      <c r="C68" s="34"/>
      <c r="D68" s="34"/>
      <c r="E68" s="33"/>
      <c r="F68" s="35"/>
      <c r="G68" s="35"/>
      <c r="H68" s="35"/>
      <c r="I68" s="35"/>
    </row>
    <row r="69" spans="1:9">
      <c r="A69" s="31"/>
      <c r="B69" s="31"/>
      <c r="C69" s="31"/>
      <c r="D69" s="31"/>
      <c r="E69" s="31"/>
      <c r="F69" s="36"/>
      <c r="G69" s="36"/>
      <c r="H69" s="36"/>
      <c r="I69" s="36"/>
    </row>
    <row r="70" spans="1:9">
      <c r="A70" s="31"/>
      <c r="B70" s="37"/>
      <c r="C70" s="32" t="s">
        <v>267</v>
      </c>
      <c r="D70" s="32"/>
      <c r="E70" s="31"/>
      <c r="F70" s="253" t="s">
        <v>268</v>
      </c>
      <c r="G70" s="253"/>
      <c r="H70" s="253"/>
      <c r="I70" s="253"/>
    </row>
  </sheetData>
  <mergeCells count="51">
    <mergeCell ref="F70:I70"/>
    <mergeCell ref="D16:D17"/>
    <mergeCell ref="D36:D37"/>
    <mergeCell ref="D56:D57"/>
    <mergeCell ref="A16:C17"/>
    <mergeCell ref="A36:C37"/>
    <mergeCell ref="A56:C57"/>
    <mergeCell ref="B50:C50"/>
    <mergeCell ref="H53:J53"/>
    <mergeCell ref="A61:E61"/>
    <mergeCell ref="F61:J61"/>
    <mergeCell ref="B65:D65"/>
    <mergeCell ref="F65:I65"/>
    <mergeCell ref="C45:D45"/>
    <mergeCell ref="H45:J45"/>
    <mergeCell ref="H46:J46"/>
    <mergeCell ref="A48:C48"/>
    <mergeCell ref="H48:J48"/>
    <mergeCell ref="A42:J42"/>
    <mergeCell ref="C43:D43"/>
    <mergeCell ref="H43:J43"/>
    <mergeCell ref="C44:E44"/>
    <mergeCell ref="H44:J44"/>
    <mergeCell ref="H27:J27"/>
    <mergeCell ref="A28:C28"/>
    <mergeCell ref="H28:J28"/>
    <mergeCell ref="B30:C30"/>
    <mergeCell ref="A41:J41"/>
    <mergeCell ref="C24:D24"/>
    <mergeCell ref="H24:J24"/>
    <mergeCell ref="C25:D25"/>
    <mergeCell ref="H25:J25"/>
    <mergeCell ref="H26:J26"/>
    <mergeCell ref="B10:C10"/>
    <mergeCell ref="H17:I17"/>
    <mergeCell ref="A21:J21"/>
    <mergeCell ref="A22:J22"/>
    <mergeCell ref="C23:D23"/>
    <mergeCell ref="H23:J23"/>
    <mergeCell ref="C5:D5"/>
    <mergeCell ref="H5:J5"/>
    <mergeCell ref="H6:J6"/>
    <mergeCell ref="H7:J7"/>
    <mergeCell ref="A8:C8"/>
    <mergeCell ref="H8:J8"/>
    <mergeCell ref="A1:J1"/>
    <mergeCell ref="A2:J2"/>
    <mergeCell ref="C3:D3"/>
    <mergeCell ref="H3:J3"/>
    <mergeCell ref="C4:D4"/>
    <mergeCell ref="H4:J4"/>
  </mergeCells>
  <pageMargins left="0.7" right="0.7" top="0.48" bottom="0.48" header="0.3" footer="0.3"/>
  <pageSetup scale="85" orientation="portrait" r:id="rId1"/>
  <rowBreaks count="1" manualBreakCount="1">
    <brk id="6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0"/>
  <sheetViews>
    <sheetView topLeftCell="A12" workbookViewId="0">
      <selection activeCell="N20" sqref="N20"/>
    </sheetView>
  </sheetViews>
  <sheetFormatPr defaultColWidth="9" defaultRowHeight="15"/>
  <sheetData>
    <row r="1" spans="1:10" ht="13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6"/>
    </row>
    <row r="2" spans="1:10" ht="13.5" customHeight="1">
      <c r="A2" s="187" t="s">
        <v>1103</v>
      </c>
      <c r="B2" s="188"/>
      <c r="C2" s="188"/>
      <c r="D2" s="188"/>
      <c r="E2" s="188"/>
      <c r="F2" s="188"/>
      <c r="G2" s="188"/>
      <c r="H2" s="188"/>
      <c r="I2" s="188"/>
      <c r="J2" s="189"/>
    </row>
    <row r="3" spans="1:10" ht="13.5" customHeight="1">
      <c r="A3" s="1" t="s">
        <v>2</v>
      </c>
      <c r="B3" s="1"/>
      <c r="C3" s="194" t="s">
        <v>208</v>
      </c>
      <c r="D3" s="194"/>
      <c r="E3" s="2"/>
      <c r="F3" s="3"/>
      <c r="G3" s="1" t="s">
        <v>4</v>
      </c>
      <c r="H3" s="191" t="s">
        <v>5</v>
      </c>
      <c r="I3" s="191"/>
      <c r="J3" s="191"/>
    </row>
    <row r="4" spans="1:10" ht="13.5" customHeight="1">
      <c r="A4" s="1" t="s">
        <v>6</v>
      </c>
      <c r="B4" s="1"/>
      <c r="C4" s="5" t="s">
        <v>1104</v>
      </c>
      <c r="D4" s="5"/>
      <c r="E4" s="2"/>
      <c r="F4" s="3"/>
      <c r="G4" s="1" t="s">
        <v>8</v>
      </c>
      <c r="H4" s="193" t="s">
        <v>9</v>
      </c>
      <c r="I4" s="193"/>
      <c r="J4" s="193"/>
    </row>
    <row r="5" spans="1:10" ht="13.5" customHeight="1">
      <c r="A5" s="6" t="s">
        <v>10</v>
      </c>
      <c r="B5" s="6"/>
      <c r="C5" s="194" t="s">
        <v>67</v>
      </c>
      <c r="D5" s="194"/>
      <c r="E5" s="2"/>
      <c r="F5" s="3"/>
      <c r="G5" s="1" t="s">
        <v>12</v>
      </c>
      <c r="H5" s="195" t="s">
        <v>1105</v>
      </c>
      <c r="I5" s="195"/>
      <c r="J5" s="195"/>
    </row>
    <row r="6" spans="1:10" ht="13.5" customHeight="1">
      <c r="A6" s="2"/>
      <c r="B6" s="2"/>
      <c r="C6" s="2" t="s">
        <v>15</v>
      </c>
      <c r="D6" s="2"/>
      <c r="E6" s="2"/>
      <c r="F6" s="3"/>
      <c r="G6" s="1" t="s">
        <v>16</v>
      </c>
      <c r="H6" s="196" t="s">
        <v>76</v>
      </c>
      <c r="I6" s="196"/>
      <c r="J6" s="196"/>
    </row>
    <row r="7" spans="1:10" ht="13.5" customHeight="1">
      <c r="A7" s="2">
        <v>30</v>
      </c>
      <c r="B7" s="2"/>
      <c r="C7" s="2">
        <f>A7-I7</f>
        <v>20</v>
      </c>
      <c r="D7" s="2"/>
      <c r="E7" s="2"/>
      <c r="F7" s="3"/>
      <c r="G7" s="8" t="s">
        <v>18</v>
      </c>
      <c r="H7" s="8"/>
      <c r="I7" s="9">
        <v>10</v>
      </c>
      <c r="J7" s="9"/>
    </row>
    <row r="8" spans="1:10" ht="13.5" customHeight="1">
      <c r="A8" s="198" t="s">
        <v>19</v>
      </c>
      <c r="B8" s="199"/>
      <c r="C8" s="200"/>
      <c r="D8" s="13" t="s">
        <v>20</v>
      </c>
      <c r="E8" s="14" t="s">
        <v>21</v>
      </c>
      <c r="F8" s="15"/>
      <c r="G8" s="16" t="s">
        <v>20</v>
      </c>
      <c r="H8" s="201" t="s">
        <v>22</v>
      </c>
      <c r="I8" s="202"/>
      <c r="J8" s="203"/>
    </row>
    <row r="9" spans="1:10" ht="13.5" customHeight="1">
      <c r="A9" s="17" t="s">
        <v>23</v>
      </c>
      <c r="B9" s="1"/>
      <c r="C9" s="1"/>
      <c r="D9" s="2">
        <v>55000</v>
      </c>
      <c r="E9" s="17" t="s">
        <v>24</v>
      </c>
      <c r="F9" s="1"/>
      <c r="G9" s="2" t="s">
        <v>25</v>
      </c>
      <c r="H9" s="18" t="s">
        <v>26</v>
      </c>
      <c r="I9" s="6"/>
      <c r="J9" s="19"/>
    </row>
    <row r="10" spans="1:10" ht="13.5" customHeight="1">
      <c r="A10" s="17" t="s">
        <v>57</v>
      </c>
      <c r="B10" s="209"/>
      <c r="C10" s="209"/>
      <c r="D10" s="2" t="s">
        <v>25</v>
      </c>
      <c r="E10" s="17" t="s">
        <v>58</v>
      </c>
      <c r="F10" s="1"/>
      <c r="G10" s="2" t="s">
        <v>25</v>
      </c>
      <c r="H10" s="18" t="s">
        <v>29</v>
      </c>
      <c r="I10" s="6"/>
      <c r="J10" s="19"/>
    </row>
    <row r="11" spans="1:10" ht="13.5" customHeight="1">
      <c r="A11" s="17" t="s">
        <v>30</v>
      </c>
      <c r="B11" s="1"/>
      <c r="C11" s="1"/>
      <c r="D11" s="2" t="s">
        <v>25</v>
      </c>
      <c r="E11" s="17" t="s">
        <v>70</v>
      </c>
      <c r="F11" s="1"/>
      <c r="G11" s="2" t="s">
        <v>25</v>
      </c>
      <c r="H11" s="18" t="s">
        <v>32</v>
      </c>
      <c r="I11" s="6"/>
      <c r="J11" s="19"/>
    </row>
    <row r="12" spans="1:10" ht="13.5" customHeight="1">
      <c r="A12" s="17" t="s">
        <v>34</v>
      </c>
      <c r="B12" s="1"/>
      <c r="C12" s="1"/>
      <c r="D12" s="2" t="s">
        <v>25</v>
      </c>
      <c r="E12" s="17" t="s">
        <v>71</v>
      </c>
      <c r="F12" s="1"/>
      <c r="G12" s="2">
        <v>36667</v>
      </c>
      <c r="H12" s="18"/>
      <c r="I12" s="6"/>
      <c r="J12" s="19"/>
    </row>
    <row r="13" spans="1:10" ht="13.5" customHeight="1">
      <c r="A13" s="17" t="s">
        <v>72</v>
      </c>
      <c r="B13" s="1"/>
      <c r="C13" s="1"/>
      <c r="D13" s="2" t="s">
        <v>25</v>
      </c>
      <c r="E13" s="17" t="s">
        <v>61</v>
      </c>
      <c r="F13" s="1"/>
      <c r="G13" s="2" t="s">
        <v>25</v>
      </c>
      <c r="H13" s="211" t="s">
        <v>360</v>
      </c>
      <c r="I13" s="194"/>
      <c r="J13" s="212"/>
    </row>
    <row r="14" spans="1:10" ht="13.5" customHeight="1">
      <c r="A14" s="17" t="s">
        <v>136</v>
      </c>
      <c r="B14" s="1"/>
      <c r="C14" s="1"/>
      <c r="D14" s="2" t="s">
        <v>25</v>
      </c>
      <c r="E14" s="17" t="s">
        <v>39</v>
      </c>
      <c r="F14" s="1"/>
      <c r="G14" s="2">
        <v>100</v>
      </c>
      <c r="H14" s="18"/>
      <c r="I14" s="6"/>
      <c r="J14" s="19"/>
    </row>
    <row r="15" spans="1:10" ht="13.5" customHeight="1">
      <c r="A15" s="18" t="s">
        <v>40</v>
      </c>
      <c r="B15" s="6"/>
      <c r="C15" s="6"/>
      <c r="D15" s="2" t="s">
        <v>25</v>
      </c>
      <c r="E15" s="17" t="s">
        <v>62</v>
      </c>
      <c r="F15" s="1"/>
      <c r="G15" s="2" t="s">
        <v>25</v>
      </c>
      <c r="H15" s="18" t="s">
        <v>90</v>
      </c>
      <c r="I15" s="6"/>
      <c r="J15" s="19"/>
    </row>
    <row r="16" spans="1:10" ht="13.5" customHeight="1">
      <c r="A16" s="204" t="s">
        <v>63</v>
      </c>
      <c r="B16" s="205"/>
      <c r="C16" s="206"/>
      <c r="D16" s="229">
        <f>SUM(D9:D15)</f>
        <v>55000</v>
      </c>
      <c r="E16" s="1" t="s">
        <v>43</v>
      </c>
      <c r="F16" s="1"/>
      <c r="G16" s="2" t="s">
        <v>25</v>
      </c>
      <c r="H16" s="18"/>
      <c r="I16" s="6"/>
      <c r="J16" s="19"/>
    </row>
    <row r="17" spans="1:10" ht="13.5" customHeight="1">
      <c r="A17" s="207"/>
      <c r="B17" s="197"/>
      <c r="C17" s="208"/>
      <c r="D17" s="230"/>
      <c r="E17" s="21" t="s">
        <v>21</v>
      </c>
      <c r="F17" s="22"/>
      <c r="G17" s="13">
        <f>SUM(G9:G16)</f>
        <v>36767</v>
      </c>
      <c r="H17" s="21" t="s">
        <v>44</v>
      </c>
      <c r="I17" s="22"/>
      <c r="J17" s="13">
        <f>D16-G17</f>
        <v>18233</v>
      </c>
    </row>
    <row r="18" spans="1:10" ht="13.5" customHeight="1">
      <c r="A18" s="2"/>
      <c r="B18" s="2"/>
      <c r="C18" s="2"/>
      <c r="D18" s="2"/>
      <c r="E18" s="1"/>
      <c r="F18" s="1"/>
      <c r="G18" s="2"/>
      <c r="H18" s="1"/>
      <c r="I18" s="1"/>
      <c r="J18" s="2"/>
    </row>
    <row r="19" spans="1:10" ht="13.5" customHeight="1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13.5" customHeight="1">
      <c r="A20" s="3"/>
      <c r="B20" s="3" t="s">
        <v>47</v>
      </c>
      <c r="C20" s="3"/>
      <c r="D20" s="3" t="s">
        <v>73</v>
      </c>
      <c r="E20" s="3" t="s">
        <v>48</v>
      </c>
      <c r="F20" s="3"/>
      <c r="G20" s="3"/>
      <c r="H20" s="3" t="s">
        <v>49</v>
      </c>
      <c r="I20" s="3"/>
      <c r="J20" s="3"/>
    </row>
    <row r="21" spans="1:10" ht="13.5" customHeight="1">
      <c r="A21" s="184" t="s">
        <v>0</v>
      </c>
      <c r="B21" s="185"/>
      <c r="C21" s="185"/>
      <c r="D21" s="185"/>
      <c r="E21" s="185"/>
      <c r="F21" s="185"/>
      <c r="G21" s="185"/>
      <c r="H21" s="185"/>
      <c r="I21" s="185"/>
      <c r="J21" s="186"/>
    </row>
    <row r="22" spans="1:10" ht="13.5" customHeight="1">
      <c r="A22" s="187" t="s">
        <v>1103</v>
      </c>
      <c r="B22" s="188"/>
      <c r="C22" s="188"/>
      <c r="D22" s="188"/>
      <c r="E22" s="188"/>
      <c r="F22" s="188"/>
      <c r="G22" s="188"/>
      <c r="H22" s="188"/>
      <c r="I22" s="188"/>
      <c r="J22" s="189"/>
    </row>
    <row r="23" spans="1:10" ht="13.5" customHeight="1">
      <c r="A23" s="1" t="s">
        <v>2</v>
      </c>
      <c r="B23" s="1"/>
      <c r="C23" s="194" t="s">
        <v>208</v>
      </c>
      <c r="D23" s="194"/>
      <c r="E23" s="2"/>
      <c r="F23" s="3"/>
      <c r="G23" s="1" t="s">
        <v>4</v>
      </c>
      <c r="H23" s="191" t="s">
        <v>5</v>
      </c>
      <c r="I23" s="191"/>
      <c r="J23" s="191"/>
    </row>
    <row r="24" spans="1:10" ht="13.5" customHeight="1">
      <c r="A24" s="1" t="s">
        <v>6</v>
      </c>
      <c r="B24" s="1"/>
      <c r="C24" s="5" t="s">
        <v>209</v>
      </c>
      <c r="D24" s="5"/>
      <c r="E24" s="2"/>
      <c r="F24" s="3"/>
      <c r="G24" s="1" t="s">
        <v>8</v>
      </c>
      <c r="H24" s="193" t="s">
        <v>9</v>
      </c>
      <c r="I24" s="193"/>
      <c r="J24" s="193"/>
    </row>
    <row r="25" spans="1:10" ht="13.5" customHeight="1">
      <c r="A25" s="6" t="s">
        <v>10</v>
      </c>
      <c r="B25" s="6"/>
      <c r="C25" s="194" t="s">
        <v>67</v>
      </c>
      <c r="D25" s="194"/>
      <c r="E25" s="2"/>
      <c r="F25" s="3"/>
      <c r="G25" s="1" t="s">
        <v>12</v>
      </c>
      <c r="H25" s="195" t="s">
        <v>1105</v>
      </c>
      <c r="I25" s="195"/>
      <c r="J25" s="195"/>
    </row>
    <row r="26" spans="1:10" ht="13.5" customHeight="1">
      <c r="A26" s="2"/>
      <c r="B26" s="2"/>
      <c r="C26" s="2" t="s">
        <v>15</v>
      </c>
      <c r="D26" s="2"/>
      <c r="E26" s="2"/>
      <c r="F26" s="3"/>
      <c r="G26" s="1" t="s">
        <v>16</v>
      </c>
      <c r="H26" s="196" t="s">
        <v>76</v>
      </c>
      <c r="I26" s="196"/>
      <c r="J26" s="196"/>
    </row>
    <row r="27" spans="1:10" ht="13.5" customHeight="1">
      <c r="A27" s="2">
        <v>30</v>
      </c>
      <c r="B27" s="2"/>
      <c r="C27" s="2">
        <f>A27-I27</f>
        <v>16</v>
      </c>
      <c r="D27" s="2"/>
      <c r="E27" s="2"/>
      <c r="F27" s="3"/>
      <c r="G27" s="8" t="s">
        <v>18</v>
      </c>
      <c r="H27" s="8"/>
      <c r="I27" s="9">
        <v>14</v>
      </c>
      <c r="J27" s="9"/>
    </row>
    <row r="28" spans="1:10" ht="13.5" customHeight="1">
      <c r="A28" s="198" t="s">
        <v>19</v>
      </c>
      <c r="B28" s="199"/>
      <c r="C28" s="200"/>
      <c r="D28" s="13" t="s">
        <v>20</v>
      </c>
      <c r="E28" s="14" t="s">
        <v>21</v>
      </c>
      <c r="F28" s="15"/>
      <c r="G28" s="16" t="s">
        <v>20</v>
      </c>
      <c r="H28" s="201" t="s">
        <v>22</v>
      </c>
      <c r="I28" s="202"/>
      <c r="J28" s="203"/>
    </row>
    <row r="29" spans="1:10" ht="13.5" customHeight="1">
      <c r="A29" s="17" t="s">
        <v>23</v>
      </c>
      <c r="B29" s="1"/>
      <c r="C29" s="1"/>
      <c r="D29" s="2">
        <v>55000</v>
      </c>
      <c r="E29" s="17" t="s">
        <v>24</v>
      </c>
      <c r="F29" s="1"/>
      <c r="G29" s="2" t="s">
        <v>25</v>
      </c>
      <c r="H29" s="18" t="s">
        <v>26</v>
      </c>
      <c r="I29" s="6"/>
      <c r="J29" s="19"/>
    </row>
    <row r="30" spans="1:10" ht="13.5" customHeight="1">
      <c r="A30" s="17" t="s">
        <v>57</v>
      </c>
      <c r="B30" s="209"/>
      <c r="C30" s="209"/>
      <c r="D30" s="2" t="s">
        <v>25</v>
      </c>
      <c r="E30" s="17" t="s">
        <v>58</v>
      </c>
      <c r="F30" s="1"/>
      <c r="G30" s="2" t="s">
        <v>25</v>
      </c>
      <c r="H30" s="18" t="s">
        <v>29</v>
      </c>
      <c r="I30" s="6"/>
      <c r="J30" s="19"/>
    </row>
    <row r="31" spans="1:10" ht="13.5" customHeight="1">
      <c r="A31" s="17" t="s">
        <v>30</v>
      </c>
      <c r="B31" s="1"/>
      <c r="C31" s="1"/>
      <c r="D31" s="2" t="s">
        <v>25</v>
      </c>
      <c r="E31" s="17" t="s">
        <v>70</v>
      </c>
      <c r="F31" s="1"/>
      <c r="G31" s="2" t="s">
        <v>25</v>
      </c>
      <c r="H31" s="18" t="s">
        <v>32</v>
      </c>
      <c r="I31" s="6"/>
      <c r="J31" s="19"/>
    </row>
    <row r="32" spans="1:10" ht="13.5" customHeight="1">
      <c r="A32" s="17" t="s">
        <v>34</v>
      </c>
      <c r="B32" s="1"/>
      <c r="C32" s="1"/>
      <c r="D32" s="2" t="s">
        <v>25</v>
      </c>
      <c r="E32" s="17" t="s">
        <v>71</v>
      </c>
      <c r="F32" s="1"/>
      <c r="G32" s="2">
        <v>29333</v>
      </c>
      <c r="H32" s="18"/>
      <c r="I32" s="6"/>
      <c r="J32" s="19"/>
    </row>
    <row r="33" spans="1:10" ht="13.5" customHeight="1">
      <c r="A33" s="17" t="s">
        <v>72</v>
      </c>
      <c r="B33" s="1"/>
      <c r="C33" s="1"/>
      <c r="D33" s="2" t="s">
        <v>25</v>
      </c>
      <c r="E33" s="17" t="s">
        <v>61</v>
      </c>
      <c r="F33" s="1"/>
      <c r="G33" s="2" t="s">
        <v>25</v>
      </c>
      <c r="H33" s="211" t="s">
        <v>360</v>
      </c>
      <c r="I33" s="194"/>
      <c r="J33" s="212"/>
    </row>
    <row r="34" spans="1:10" ht="13.5" customHeight="1">
      <c r="A34" s="17" t="s">
        <v>136</v>
      </c>
      <c r="B34" s="1"/>
      <c r="C34" s="1"/>
      <c r="D34" s="2" t="s">
        <v>25</v>
      </c>
      <c r="E34" s="17" t="s">
        <v>39</v>
      </c>
      <c r="F34" s="1"/>
      <c r="G34" s="2">
        <v>100</v>
      </c>
      <c r="H34" s="18"/>
      <c r="I34" s="6"/>
      <c r="J34" s="19"/>
    </row>
    <row r="35" spans="1:10" ht="13.5" customHeight="1">
      <c r="A35" s="18" t="s">
        <v>40</v>
      </c>
      <c r="B35" s="6"/>
      <c r="C35" s="6"/>
      <c r="D35" s="2" t="s">
        <v>25</v>
      </c>
      <c r="E35" s="17" t="s">
        <v>62</v>
      </c>
      <c r="F35" s="1"/>
      <c r="G35" s="2" t="s">
        <v>25</v>
      </c>
      <c r="H35" s="18" t="s">
        <v>90</v>
      </c>
      <c r="I35" s="6"/>
      <c r="J35" s="19"/>
    </row>
    <row r="36" spans="1:10" ht="13.5" customHeight="1">
      <c r="A36" s="204" t="s">
        <v>63</v>
      </c>
      <c r="B36" s="205"/>
      <c r="C36" s="206"/>
      <c r="D36" s="229">
        <f>SUM(D29:D35)</f>
        <v>55000</v>
      </c>
      <c r="E36" s="1" t="s">
        <v>43</v>
      </c>
      <c r="F36" s="1"/>
      <c r="G36" s="2" t="s">
        <v>25</v>
      </c>
      <c r="H36" s="18"/>
      <c r="I36" s="6"/>
      <c r="J36" s="19"/>
    </row>
    <row r="37" spans="1:10" ht="13.5" customHeight="1">
      <c r="A37" s="207"/>
      <c r="B37" s="197"/>
      <c r="C37" s="208"/>
      <c r="D37" s="230"/>
      <c r="E37" s="21" t="s">
        <v>21</v>
      </c>
      <c r="F37" s="22"/>
      <c r="G37" s="13">
        <f>SUM(G29:G36)</f>
        <v>29433</v>
      </c>
      <c r="H37" s="21" t="s">
        <v>44</v>
      </c>
      <c r="I37" s="22"/>
      <c r="J37" s="13">
        <f>D36-G37</f>
        <v>25567</v>
      </c>
    </row>
    <row r="38" spans="1:10" ht="13.5" customHeight="1">
      <c r="A38" s="2"/>
      <c r="B38" s="2"/>
      <c r="C38" s="2"/>
      <c r="D38" s="2"/>
      <c r="E38" s="1"/>
      <c r="F38" s="1"/>
      <c r="G38" s="2"/>
      <c r="H38" s="1"/>
      <c r="I38" s="1"/>
      <c r="J38" s="2"/>
    </row>
    <row r="39" spans="1:10" ht="13.5" customHeight="1">
      <c r="A39" s="3" t="s">
        <v>45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ht="13.5" customHeight="1">
      <c r="A40" s="3"/>
      <c r="B40" s="3" t="s">
        <v>47</v>
      </c>
      <c r="C40" s="3"/>
      <c r="D40" s="3" t="s">
        <v>73</v>
      </c>
      <c r="E40" s="3" t="s">
        <v>48</v>
      </c>
      <c r="F40" s="3"/>
      <c r="G40" s="3"/>
      <c r="H40" s="3" t="s">
        <v>49</v>
      </c>
      <c r="I40" s="3"/>
      <c r="J40" s="3"/>
    </row>
    <row r="41" spans="1:10" ht="13.5" customHeight="1">
      <c r="A41" s="184" t="s">
        <v>0</v>
      </c>
      <c r="B41" s="185"/>
      <c r="C41" s="185"/>
      <c r="D41" s="185"/>
      <c r="E41" s="185"/>
      <c r="F41" s="185"/>
      <c r="G41" s="185"/>
      <c r="H41" s="185"/>
      <c r="I41" s="185"/>
      <c r="J41" s="186"/>
    </row>
    <row r="42" spans="1:10" ht="13.5" customHeight="1">
      <c r="A42" s="187" t="s">
        <v>1103</v>
      </c>
      <c r="B42" s="188"/>
      <c r="C42" s="188"/>
      <c r="D42" s="188"/>
      <c r="E42" s="188"/>
      <c r="F42" s="188"/>
      <c r="G42" s="188"/>
      <c r="H42" s="188"/>
      <c r="I42" s="188"/>
      <c r="J42" s="189"/>
    </row>
    <row r="43" spans="1:10" ht="13.5" customHeight="1">
      <c r="A43" s="1" t="s">
        <v>2</v>
      </c>
      <c r="B43" s="1"/>
      <c r="C43" s="194" t="s">
        <v>204</v>
      </c>
      <c r="D43" s="194"/>
      <c r="E43" s="2"/>
      <c r="F43" s="3"/>
      <c r="G43" s="1" t="s">
        <v>4</v>
      </c>
      <c r="H43" s="191" t="s">
        <v>205</v>
      </c>
      <c r="I43" s="191"/>
      <c r="J43" s="191"/>
    </row>
    <row r="44" spans="1:10" ht="13.5" customHeight="1">
      <c r="A44" s="1" t="s">
        <v>6</v>
      </c>
      <c r="B44" s="1"/>
      <c r="C44" s="5" t="s">
        <v>206</v>
      </c>
      <c r="D44" s="5"/>
      <c r="E44" s="2"/>
      <c r="F44" s="3"/>
      <c r="G44" s="1" t="s">
        <v>8</v>
      </c>
      <c r="H44" s="193" t="s">
        <v>9</v>
      </c>
      <c r="I44" s="193"/>
      <c r="J44" s="193"/>
    </row>
    <row r="45" spans="1:10" ht="13.5" customHeight="1">
      <c r="A45" s="6" t="s">
        <v>10</v>
      </c>
      <c r="B45" s="6"/>
      <c r="C45" s="194" t="s">
        <v>67</v>
      </c>
      <c r="D45" s="194"/>
      <c r="E45" s="2"/>
      <c r="F45" s="3"/>
      <c r="G45" s="1" t="s">
        <v>12</v>
      </c>
      <c r="H45" s="195" t="s">
        <v>1105</v>
      </c>
      <c r="I45" s="195"/>
      <c r="J45" s="195"/>
    </row>
    <row r="46" spans="1:10" ht="13.5" customHeight="1">
      <c r="A46" s="2"/>
      <c r="B46" s="2"/>
      <c r="C46" s="2" t="s">
        <v>15</v>
      </c>
      <c r="D46" s="2"/>
      <c r="E46" s="2"/>
      <c r="F46" s="3"/>
      <c r="G46" s="1" t="s">
        <v>16</v>
      </c>
      <c r="H46" s="196" t="s">
        <v>207</v>
      </c>
      <c r="I46" s="196"/>
      <c r="J46" s="196"/>
    </row>
    <row r="47" spans="1:10" ht="13.5" customHeight="1">
      <c r="A47" s="2">
        <v>30</v>
      </c>
      <c r="B47" s="2"/>
      <c r="C47" s="2">
        <f>A47-I47</f>
        <v>15</v>
      </c>
      <c r="D47" s="2"/>
      <c r="E47" s="2"/>
      <c r="F47" s="3"/>
      <c r="G47" s="8" t="s">
        <v>18</v>
      </c>
      <c r="H47" s="8"/>
      <c r="I47" s="9">
        <v>15</v>
      </c>
      <c r="J47" s="9"/>
    </row>
    <row r="48" spans="1:10" ht="13.5" customHeight="1">
      <c r="A48" s="198" t="s">
        <v>19</v>
      </c>
      <c r="B48" s="199"/>
      <c r="C48" s="200"/>
      <c r="D48" s="13" t="s">
        <v>20</v>
      </c>
      <c r="E48" s="14" t="s">
        <v>21</v>
      </c>
      <c r="F48" s="15"/>
      <c r="G48" s="16" t="s">
        <v>20</v>
      </c>
      <c r="H48" s="201" t="s">
        <v>22</v>
      </c>
      <c r="I48" s="202"/>
      <c r="J48" s="203"/>
    </row>
    <row r="49" spans="1:10" ht="13.5" customHeight="1">
      <c r="A49" s="17" t="s">
        <v>23</v>
      </c>
      <c r="B49" s="1"/>
      <c r="C49" s="1"/>
      <c r="D49" s="2">
        <v>55000</v>
      </c>
      <c r="E49" s="17" t="s">
        <v>24</v>
      </c>
      <c r="F49" s="1"/>
      <c r="G49" s="2">
        <v>27400</v>
      </c>
      <c r="H49" s="18" t="s">
        <v>26</v>
      </c>
      <c r="I49" s="6"/>
      <c r="J49" s="19"/>
    </row>
    <row r="50" spans="1:10" ht="13.5" customHeight="1">
      <c r="A50" s="17" t="s">
        <v>57</v>
      </c>
      <c r="B50" s="209" t="s">
        <v>1106</v>
      </c>
      <c r="C50" s="209"/>
      <c r="D50" s="2">
        <v>4125</v>
      </c>
      <c r="E50" s="17" t="s">
        <v>58</v>
      </c>
      <c r="F50" s="1"/>
      <c r="G50" s="2" t="s">
        <v>25</v>
      </c>
      <c r="H50" s="18" t="s">
        <v>29</v>
      </c>
      <c r="I50" s="6"/>
      <c r="J50" s="19"/>
    </row>
    <row r="51" spans="1:10" ht="13.5" customHeight="1">
      <c r="A51" s="17" t="s">
        <v>30</v>
      </c>
      <c r="B51" s="1"/>
      <c r="C51" s="1"/>
      <c r="D51" s="2" t="s">
        <v>25</v>
      </c>
      <c r="E51" s="17" t="s">
        <v>70</v>
      </c>
      <c r="F51" s="1"/>
      <c r="G51" s="2" t="s">
        <v>25</v>
      </c>
      <c r="H51" s="18" t="s">
        <v>32</v>
      </c>
      <c r="I51" s="6"/>
      <c r="J51" s="19"/>
    </row>
    <row r="52" spans="1:10" ht="13.5" customHeight="1">
      <c r="A52" s="17" t="s">
        <v>34</v>
      </c>
      <c r="B52" s="1"/>
      <c r="C52" s="1"/>
      <c r="D52" s="2" t="s">
        <v>25</v>
      </c>
      <c r="E52" s="17" t="s">
        <v>71</v>
      </c>
      <c r="F52" s="1"/>
      <c r="G52" s="2">
        <v>27500</v>
      </c>
      <c r="H52" s="18"/>
      <c r="I52" s="6"/>
      <c r="J52" s="19"/>
    </row>
    <row r="53" spans="1:10" ht="13.5" customHeight="1">
      <c r="A53" s="17" t="s">
        <v>72</v>
      </c>
      <c r="B53" s="1"/>
      <c r="C53" s="1"/>
      <c r="D53" s="2" t="s">
        <v>25</v>
      </c>
      <c r="E53" s="17" t="s">
        <v>61</v>
      </c>
      <c r="F53" s="1"/>
      <c r="G53" s="2" t="s">
        <v>25</v>
      </c>
      <c r="H53" s="211" t="s">
        <v>90</v>
      </c>
      <c r="I53" s="194"/>
      <c r="J53" s="212"/>
    </row>
    <row r="54" spans="1:10" ht="13.5" customHeight="1">
      <c r="A54" s="17" t="s">
        <v>136</v>
      </c>
      <c r="B54" s="1"/>
      <c r="C54" s="1"/>
      <c r="D54" s="2" t="s">
        <v>25</v>
      </c>
      <c r="E54" s="17" t="s">
        <v>39</v>
      </c>
      <c r="F54" s="1"/>
      <c r="G54" s="2">
        <v>100</v>
      </c>
      <c r="H54" s="18"/>
      <c r="I54" s="6"/>
      <c r="J54" s="19"/>
    </row>
    <row r="55" spans="1:10" ht="13.5" customHeight="1">
      <c r="A55" s="18" t="s">
        <v>40</v>
      </c>
      <c r="B55" s="6"/>
      <c r="C55" s="6"/>
      <c r="D55" s="2" t="s">
        <v>25</v>
      </c>
      <c r="E55" s="17" t="s">
        <v>62</v>
      </c>
      <c r="F55" s="1"/>
      <c r="G55" s="2" t="s">
        <v>25</v>
      </c>
      <c r="H55" s="18"/>
      <c r="I55" s="6"/>
      <c r="J55" s="19"/>
    </row>
    <row r="56" spans="1:10" ht="13.5" customHeight="1">
      <c r="A56" s="204" t="s">
        <v>63</v>
      </c>
      <c r="B56" s="205"/>
      <c r="C56" s="206"/>
      <c r="D56" s="229">
        <f>SUM(D49:D55)</f>
        <v>59125</v>
      </c>
      <c r="E56" s="1" t="s">
        <v>43</v>
      </c>
      <c r="F56" s="1"/>
      <c r="G56" s="2" t="s">
        <v>25</v>
      </c>
      <c r="H56" s="18"/>
      <c r="I56" s="6"/>
      <c r="J56" s="19"/>
    </row>
    <row r="57" spans="1:10" ht="13.5" customHeight="1">
      <c r="A57" s="207"/>
      <c r="B57" s="197"/>
      <c r="C57" s="208"/>
      <c r="D57" s="230"/>
      <c r="E57" s="21" t="s">
        <v>21</v>
      </c>
      <c r="F57" s="22"/>
      <c r="G57" s="13">
        <f>SUM(G49:G56)</f>
        <v>55000</v>
      </c>
      <c r="H57" s="21" t="s">
        <v>44</v>
      </c>
      <c r="I57" s="22"/>
      <c r="J57" s="13">
        <f>D56-G57</f>
        <v>4125</v>
      </c>
    </row>
    <row r="58" spans="1:10" ht="13.5" customHeight="1">
      <c r="A58" s="2"/>
      <c r="B58" s="2"/>
      <c r="C58" s="2"/>
      <c r="D58" s="2"/>
      <c r="E58" s="1"/>
      <c r="F58" s="1"/>
      <c r="G58" s="2"/>
      <c r="H58" s="1"/>
      <c r="I58" s="1"/>
      <c r="J58" s="2"/>
    </row>
    <row r="59" spans="1:10" ht="13.5" customHeight="1">
      <c r="A59" s="3" t="s">
        <v>45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ht="13.5" customHeight="1">
      <c r="A60" s="3"/>
      <c r="B60" s="3" t="s">
        <v>47</v>
      </c>
      <c r="C60" s="3"/>
      <c r="D60" s="3" t="s">
        <v>73</v>
      </c>
      <c r="E60" s="3" t="s">
        <v>48</v>
      </c>
      <c r="F60" s="3"/>
      <c r="G60" s="3"/>
      <c r="H60" s="3" t="s">
        <v>49</v>
      </c>
      <c r="I60" s="3"/>
      <c r="J60" s="3"/>
    </row>
    <row r="61" spans="1:10" ht="13.5" customHeight="1">
      <c r="A61" s="184" t="s">
        <v>0</v>
      </c>
      <c r="B61" s="185"/>
      <c r="C61" s="185"/>
      <c r="D61" s="185"/>
      <c r="E61" s="185"/>
      <c r="F61" s="185"/>
      <c r="G61" s="185"/>
      <c r="H61" s="185"/>
      <c r="I61" s="185"/>
      <c r="J61" s="186"/>
    </row>
    <row r="62" spans="1:10" ht="13.5" customHeight="1">
      <c r="A62" s="187" t="s">
        <v>1103</v>
      </c>
      <c r="B62" s="188"/>
      <c r="C62" s="188"/>
      <c r="D62" s="188"/>
      <c r="E62" s="188"/>
      <c r="F62" s="188"/>
      <c r="G62" s="188"/>
      <c r="H62" s="188"/>
      <c r="I62" s="188"/>
      <c r="J62" s="189"/>
    </row>
    <row r="63" spans="1:10" ht="13.5" customHeight="1">
      <c r="A63" s="1" t="s">
        <v>2</v>
      </c>
      <c r="B63" s="1"/>
      <c r="C63" s="194" t="s">
        <v>208</v>
      </c>
      <c r="D63" s="194"/>
      <c r="E63" s="2"/>
      <c r="F63" s="3"/>
      <c r="G63" s="1" t="s">
        <v>4</v>
      </c>
      <c r="H63" s="191" t="s">
        <v>205</v>
      </c>
      <c r="I63" s="191"/>
      <c r="J63" s="191"/>
    </row>
    <row r="64" spans="1:10" ht="13.5" customHeight="1">
      <c r="A64" s="1" t="s">
        <v>6</v>
      </c>
      <c r="B64" s="1"/>
      <c r="C64" s="5" t="s">
        <v>1107</v>
      </c>
      <c r="D64" s="5"/>
      <c r="E64" s="2"/>
      <c r="F64" s="3"/>
      <c r="G64" s="1" t="s">
        <v>8</v>
      </c>
      <c r="H64" s="193" t="s">
        <v>9</v>
      </c>
      <c r="I64" s="193"/>
      <c r="J64" s="193"/>
    </row>
    <row r="65" spans="1:10" ht="13.5" customHeight="1">
      <c r="A65" s="6" t="s">
        <v>10</v>
      </c>
      <c r="B65" s="6"/>
      <c r="C65" s="194" t="s">
        <v>67</v>
      </c>
      <c r="D65" s="194"/>
      <c r="E65" s="2"/>
      <c r="F65" s="3"/>
      <c r="G65" s="1" t="s">
        <v>12</v>
      </c>
      <c r="H65" s="195" t="s">
        <v>1105</v>
      </c>
      <c r="I65" s="195"/>
      <c r="J65" s="195"/>
    </row>
    <row r="66" spans="1:10" ht="13.5" customHeight="1">
      <c r="A66" s="2"/>
      <c r="B66" s="2"/>
      <c r="C66" s="2" t="s">
        <v>15</v>
      </c>
      <c r="D66" s="2"/>
      <c r="E66" s="2"/>
      <c r="F66" s="3"/>
      <c r="G66" s="1" t="s">
        <v>16</v>
      </c>
      <c r="H66" s="196" t="s">
        <v>76</v>
      </c>
      <c r="I66" s="196"/>
      <c r="J66" s="196"/>
    </row>
    <row r="67" spans="1:10" ht="13.5" customHeight="1">
      <c r="A67" s="2">
        <v>30</v>
      </c>
      <c r="B67" s="2"/>
      <c r="C67" s="2">
        <f>A67-I67</f>
        <v>23</v>
      </c>
      <c r="D67" s="2"/>
      <c r="E67" s="2"/>
      <c r="F67" s="3"/>
      <c r="G67" s="8" t="s">
        <v>18</v>
      </c>
      <c r="H67" s="8"/>
      <c r="I67" s="9">
        <v>7</v>
      </c>
      <c r="J67" s="9"/>
    </row>
    <row r="68" spans="1:10" ht="13.5" customHeight="1">
      <c r="A68" s="198" t="s">
        <v>19</v>
      </c>
      <c r="B68" s="199"/>
      <c r="C68" s="200"/>
      <c r="D68" s="13" t="s">
        <v>20</v>
      </c>
      <c r="E68" s="14" t="s">
        <v>21</v>
      </c>
      <c r="F68" s="15"/>
      <c r="G68" s="16" t="s">
        <v>20</v>
      </c>
      <c r="H68" s="201" t="s">
        <v>22</v>
      </c>
      <c r="I68" s="202"/>
      <c r="J68" s="203"/>
    </row>
    <row r="69" spans="1:10" ht="13.5" customHeight="1">
      <c r="A69" s="17" t="s">
        <v>23</v>
      </c>
      <c r="B69" s="1"/>
      <c r="C69" s="1"/>
      <c r="D69" s="2">
        <v>55000</v>
      </c>
      <c r="E69" s="17" t="s">
        <v>24</v>
      </c>
      <c r="F69" s="1"/>
      <c r="G69" s="2">
        <v>697</v>
      </c>
      <c r="H69" s="18" t="s">
        <v>26</v>
      </c>
      <c r="I69" s="6"/>
      <c r="J69" s="19"/>
    </row>
    <row r="70" spans="1:10" ht="13.5" customHeight="1">
      <c r="A70" s="17" t="s">
        <v>57</v>
      </c>
      <c r="B70" s="209" t="s">
        <v>216</v>
      </c>
      <c r="C70" s="209"/>
      <c r="D70" s="2" t="s">
        <v>25</v>
      </c>
      <c r="E70" s="17" t="s">
        <v>58</v>
      </c>
      <c r="F70" s="1"/>
      <c r="G70" s="2">
        <v>6536</v>
      </c>
      <c r="H70" s="18" t="s">
        <v>29</v>
      </c>
      <c r="I70" s="6"/>
      <c r="J70" s="19"/>
    </row>
    <row r="71" spans="1:10" ht="13.5" customHeight="1">
      <c r="A71" s="17" t="s">
        <v>30</v>
      </c>
      <c r="B71" s="1"/>
      <c r="C71" s="1"/>
      <c r="D71" s="2" t="s">
        <v>25</v>
      </c>
      <c r="E71" s="17" t="s">
        <v>70</v>
      </c>
      <c r="F71" s="1"/>
      <c r="G71" s="2" t="s">
        <v>25</v>
      </c>
      <c r="H71" s="18" t="s">
        <v>32</v>
      </c>
      <c r="I71" s="6"/>
      <c r="J71" s="19"/>
    </row>
    <row r="72" spans="1:10" ht="13.5" customHeight="1">
      <c r="A72" s="17" t="s">
        <v>34</v>
      </c>
      <c r="B72" s="1"/>
      <c r="C72" s="1"/>
      <c r="D72" s="2" t="s">
        <v>25</v>
      </c>
      <c r="E72" s="17" t="s">
        <v>71</v>
      </c>
      <c r="F72" s="1"/>
      <c r="G72" s="2">
        <v>47667</v>
      </c>
      <c r="H72" s="18"/>
      <c r="I72" s="6"/>
      <c r="J72" s="19"/>
    </row>
    <row r="73" spans="1:10" ht="13.5" customHeight="1">
      <c r="A73" s="17" t="s">
        <v>72</v>
      </c>
      <c r="B73" s="1"/>
      <c r="C73" s="1"/>
      <c r="D73" s="2" t="s">
        <v>25</v>
      </c>
      <c r="E73" s="17" t="s">
        <v>61</v>
      </c>
      <c r="F73" s="1"/>
      <c r="G73" s="2" t="s">
        <v>25</v>
      </c>
      <c r="H73" s="211"/>
      <c r="I73" s="194"/>
      <c r="J73" s="212"/>
    </row>
    <row r="74" spans="1:10" ht="13.5" customHeight="1">
      <c r="A74" s="17" t="s">
        <v>136</v>
      </c>
      <c r="B74" s="1"/>
      <c r="C74" s="1"/>
      <c r="D74" s="2" t="s">
        <v>25</v>
      </c>
      <c r="E74" s="17" t="s">
        <v>39</v>
      </c>
      <c r="F74" s="1"/>
      <c r="G74" s="2">
        <v>100</v>
      </c>
      <c r="H74" s="18"/>
      <c r="I74" s="6"/>
      <c r="J74" s="19"/>
    </row>
    <row r="75" spans="1:10" ht="13.5" customHeight="1">
      <c r="A75" s="18" t="s">
        <v>40</v>
      </c>
      <c r="B75" s="6"/>
      <c r="C75" s="6"/>
      <c r="D75" s="2" t="s">
        <v>25</v>
      </c>
      <c r="E75" s="17" t="s">
        <v>62</v>
      </c>
      <c r="F75" s="1"/>
      <c r="G75" s="2" t="s">
        <v>25</v>
      </c>
      <c r="H75" s="18"/>
      <c r="I75" s="6"/>
      <c r="J75" s="19"/>
    </row>
    <row r="76" spans="1:10" ht="13.5" customHeight="1">
      <c r="A76" s="204" t="s">
        <v>63</v>
      </c>
      <c r="B76" s="205"/>
      <c r="C76" s="206"/>
      <c r="D76" s="229">
        <f>SUM(D69:D75)</f>
        <v>55000</v>
      </c>
      <c r="E76" s="1" t="s">
        <v>43</v>
      </c>
      <c r="F76" s="1"/>
      <c r="G76" s="2" t="s">
        <v>25</v>
      </c>
      <c r="H76" s="18"/>
      <c r="I76" s="6"/>
      <c r="J76" s="19"/>
    </row>
    <row r="77" spans="1:10" ht="13.5" customHeight="1">
      <c r="A77" s="207"/>
      <c r="B77" s="197"/>
      <c r="C77" s="208"/>
      <c r="D77" s="230"/>
      <c r="E77" s="21" t="s">
        <v>21</v>
      </c>
      <c r="F77" s="22"/>
      <c r="G77" s="13">
        <f>SUM(G69:G76)</f>
        <v>55000</v>
      </c>
      <c r="H77" s="21" t="s">
        <v>44</v>
      </c>
      <c r="I77" s="22"/>
      <c r="J77" s="13">
        <v>12833</v>
      </c>
    </row>
    <row r="78" spans="1:10" ht="13.5" customHeight="1">
      <c r="A78" s="2"/>
      <c r="B78" s="2"/>
      <c r="C78" s="2"/>
      <c r="D78" s="2"/>
      <c r="E78" s="1"/>
      <c r="F78" s="1"/>
      <c r="G78" s="2"/>
      <c r="H78" s="1"/>
      <c r="I78" s="1"/>
      <c r="J78" s="2"/>
    </row>
    <row r="79" spans="1:10" ht="13.5" customHeight="1">
      <c r="A79" s="3" t="s">
        <v>45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 ht="13.5" customHeight="1">
      <c r="A80" s="3"/>
      <c r="B80" s="3" t="s">
        <v>47</v>
      </c>
      <c r="C80" s="3"/>
      <c r="D80" s="3" t="s">
        <v>73</v>
      </c>
      <c r="E80" s="3" t="s">
        <v>48</v>
      </c>
      <c r="F80" s="3"/>
      <c r="G80" s="3"/>
      <c r="H80" s="3" t="s">
        <v>49</v>
      </c>
      <c r="I80" s="3"/>
      <c r="J80" s="3"/>
    </row>
    <row r="81" spans="1:10" ht="13.5" customHeight="1">
      <c r="A81" s="184" t="s">
        <v>0</v>
      </c>
      <c r="B81" s="185"/>
      <c r="C81" s="185"/>
      <c r="D81" s="185"/>
      <c r="E81" s="185"/>
      <c r="F81" s="185"/>
      <c r="G81" s="185"/>
      <c r="H81" s="185"/>
      <c r="I81" s="185"/>
      <c r="J81" s="186"/>
    </row>
    <row r="82" spans="1:10" ht="13.5" customHeight="1">
      <c r="A82" s="187" t="s">
        <v>1103</v>
      </c>
      <c r="B82" s="188"/>
      <c r="C82" s="188"/>
      <c r="D82" s="188"/>
      <c r="E82" s="188"/>
      <c r="F82" s="188"/>
      <c r="G82" s="188"/>
      <c r="H82" s="188"/>
      <c r="I82" s="188"/>
      <c r="J82" s="189"/>
    </row>
    <row r="83" spans="1:10" ht="13.5" customHeight="1">
      <c r="A83" s="1" t="s">
        <v>2</v>
      </c>
      <c r="B83" s="1"/>
      <c r="C83" s="194" t="s">
        <v>208</v>
      </c>
      <c r="D83" s="194"/>
      <c r="E83" s="2"/>
      <c r="F83" s="3"/>
      <c r="G83" s="1" t="s">
        <v>4</v>
      </c>
      <c r="H83" s="191" t="s">
        <v>191</v>
      </c>
      <c r="I83" s="191"/>
      <c r="J83" s="191"/>
    </row>
    <row r="84" spans="1:10" ht="13.5" customHeight="1">
      <c r="A84" s="1" t="s">
        <v>6</v>
      </c>
      <c r="B84" s="1"/>
      <c r="C84" s="5" t="s">
        <v>317</v>
      </c>
      <c r="D84" s="5"/>
      <c r="E84" s="2"/>
      <c r="F84" s="3"/>
      <c r="G84" s="1" t="s">
        <v>8</v>
      </c>
      <c r="H84" s="193" t="s">
        <v>9</v>
      </c>
      <c r="I84" s="193"/>
      <c r="J84" s="193"/>
    </row>
    <row r="85" spans="1:10" ht="13.5" customHeight="1">
      <c r="A85" s="6" t="s">
        <v>10</v>
      </c>
      <c r="B85" s="6"/>
      <c r="C85" s="194" t="s">
        <v>328</v>
      </c>
      <c r="D85" s="194"/>
      <c r="E85" s="2"/>
      <c r="F85" s="3"/>
      <c r="G85" s="1" t="s">
        <v>12</v>
      </c>
      <c r="H85" s="195" t="s">
        <v>1105</v>
      </c>
      <c r="I85" s="195"/>
      <c r="J85" s="195"/>
    </row>
    <row r="86" spans="1:10" ht="13.5" customHeight="1">
      <c r="A86" s="2"/>
      <c r="B86" s="2"/>
      <c r="C86" s="2" t="s">
        <v>15</v>
      </c>
      <c r="D86" s="2"/>
      <c r="E86" s="2"/>
      <c r="F86" s="3"/>
      <c r="G86" s="1" t="s">
        <v>16</v>
      </c>
      <c r="H86" s="196" t="s">
        <v>140</v>
      </c>
      <c r="I86" s="196"/>
      <c r="J86" s="196"/>
    </row>
    <row r="87" spans="1:10" ht="13.5" customHeight="1">
      <c r="A87" s="2">
        <v>30</v>
      </c>
      <c r="B87" s="2"/>
      <c r="C87" s="2">
        <f>A87-I87</f>
        <v>25</v>
      </c>
      <c r="D87" s="2"/>
      <c r="E87" s="2"/>
      <c r="F87" s="3"/>
      <c r="G87" s="8" t="s">
        <v>18</v>
      </c>
      <c r="H87" s="8"/>
      <c r="I87" s="9">
        <v>5</v>
      </c>
      <c r="J87" s="9"/>
    </row>
    <row r="88" spans="1:10" ht="13.5" customHeight="1">
      <c r="A88" s="198" t="s">
        <v>19</v>
      </c>
      <c r="B88" s="199"/>
      <c r="C88" s="200"/>
      <c r="D88" s="13" t="s">
        <v>20</v>
      </c>
      <c r="E88" s="14" t="s">
        <v>21</v>
      </c>
      <c r="F88" s="15"/>
      <c r="G88" s="16" t="s">
        <v>20</v>
      </c>
      <c r="H88" s="201" t="s">
        <v>22</v>
      </c>
      <c r="I88" s="202"/>
      <c r="J88" s="203"/>
    </row>
    <row r="89" spans="1:10" ht="13.5" customHeight="1">
      <c r="A89" s="17" t="s">
        <v>23</v>
      </c>
      <c r="B89" s="1"/>
      <c r="C89" s="1"/>
      <c r="D89" s="2">
        <v>35000</v>
      </c>
      <c r="E89" s="17" t="s">
        <v>24</v>
      </c>
      <c r="F89" s="1"/>
      <c r="G89" s="2" t="s">
        <v>25</v>
      </c>
      <c r="H89" s="18" t="s">
        <v>26</v>
      </c>
      <c r="I89" s="6"/>
      <c r="J89" s="19"/>
    </row>
    <row r="90" spans="1:10" ht="13.5" customHeight="1">
      <c r="A90" s="17" t="s">
        <v>57</v>
      </c>
      <c r="B90" s="209"/>
      <c r="C90" s="209"/>
      <c r="D90" s="2" t="s">
        <v>25</v>
      </c>
      <c r="E90" s="17" t="s">
        <v>58</v>
      </c>
      <c r="F90" s="1"/>
      <c r="G90" s="2" t="s">
        <v>25</v>
      </c>
      <c r="H90" s="18" t="s">
        <v>29</v>
      </c>
      <c r="I90" s="6"/>
      <c r="J90" s="19"/>
    </row>
    <row r="91" spans="1:10" ht="13.5" customHeight="1">
      <c r="A91" s="17" t="s">
        <v>30</v>
      </c>
      <c r="B91" s="1"/>
      <c r="C91" s="1"/>
      <c r="D91" s="2" t="s">
        <v>25</v>
      </c>
      <c r="E91" s="17" t="s">
        <v>70</v>
      </c>
      <c r="F91" s="1"/>
      <c r="G91" s="2" t="s">
        <v>25</v>
      </c>
      <c r="H91" s="18" t="s">
        <v>32</v>
      </c>
      <c r="I91" s="6"/>
      <c r="J91" s="19"/>
    </row>
    <row r="92" spans="1:10" ht="13.5" customHeight="1">
      <c r="A92" s="17" t="s">
        <v>34</v>
      </c>
      <c r="B92" s="1"/>
      <c r="C92" s="1"/>
      <c r="D92" s="2" t="s">
        <v>25</v>
      </c>
      <c r="E92" s="17" t="s">
        <v>71</v>
      </c>
      <c r="F92" s="1"/>
      <c r="G92" s="2">
        <v>29167</v>
      </c>
      <c r="H92" s="18"/>
      <c r="I92" s="6"/>
      <c r="J92" s="19"/>
    </row>
    <row r="93" spans="1:10" ht="13.5" customHeight="1">
      <c r="A93" s="17" t="s">
        <v>72</v>
      </c>
      <c r="B93" s="1"/>
      <c r="C93" s="1"/>
      <c r="D93" s="2" t="s">
        <v>25</v>
      </c>
      <c r="E93" s="17" t="s">
        <v>61</v>
      </c>
      <c r="F93" s="1"/>
      <c r="G93" s="2" t="s">
        <v>25</v>
      </c>
      <c r="H93" s="211" t="s">
        <v>360</v>
      </c>
      <c r="I93" s="194"/>
      <c r="J93" s="212"/>
    </row>
    <row r="94" spans="1:10" ht="13.5" customHeight="1">
      <c r="A94" s="17" t="s">
        <v>136</v>
      </c>
      <c r="B94" s="1"/>
      <c r="C94" s="1"/>
      <c r="D94" s="2" t="s">
        <v>25</v>
      </c>
      <c r="E94" s="17" t="s">
        <v>39</v>
      </c>
      <c r="F94" s="1"/>
      <c r="G94" s="2">
        <v>100</v>
      </c>
      <c r="H94" s="18"/>
      <c r="I94" s="6"/>
      <c r="J94" s="19"/>
    </row>
    <row r="95" spans="1:10" ht="13.5" customHeight="1">
      <c r="A95" s="18" t="s">
        <v>40</v>
      </c>
      <c r="B95" s="6"/>
      <c r="C95" s="6"/>
      <c r="D95" s="2" t="s">
        <v>25</v>
      </c>
      <c r="E95" s="17" t="s">
        <v>62</v>
      </c>
      <c r="F95" s="1"/>
      <c r="G95" s="2" t="s">
        <v>25</v>
      </c>
      <c r="H95" s="18"/>
      <c r="I95" s="6"/>
      <c r="J95" s="19"/>
    </row>
    <row r="96" spans="1:10" ht="13.5" customHeight="1">
      <c r="A96" s="204" t="s">
        <v>63</v>
      </c>
      <c r="B96" s="205"/>
      <c r="C96" s="206"/>
      <c r="D96" s="229">
        <f>SUM(D89:D95)</f>
        <v>35000</v>
      </c>
      <c r="E96" s="1" t="s">
        <v>43</v>
      </c>
      <c r="F96" s="1"/>
      <c r="G96" s="2" t="s">
        <v>25</v>
      </c>
      <c r="H96" s="18"/>
      <c r="I96" s="6"/>
      <c r="J96" s="19"/>
    </row>
    <row r="97" spans="1:10" ht="13.5" customHeight="1">
      <c r="A97" s="207"/>
      <c r="B97" s="197"/>
      <c r="C97" s="208"/>
      <c r="D97" s="230"/>
      <c r="E97" s="21" t="s">
        <v>21</v>
      </c>
      <c r="F97" s="22"/>
      <c r="G97" s="13">
        <f>SUM(G89:G96)</f>
        <v>29267</v>
      </c>
      <c r="H97" s="21" t="s">
        <v>44</v>
      </c>
      <c r="I97" s="22"/>
      <c r="J97" s="13">
        <f>D96-G97</f>
        <v>5733</v>
      </c>
    </row>
    <row r="98" spans="1:10" ht="13.5" customHeight="1">
      <c r="A98" s="2"/>
      <c r="B98" s="2"/>
      <c r="C98" s="2"/>
      <c r="D98" s="2"/>
      <c r="E98" s="1"/>
      <c r="F98" s="1"/>
      <c r="G98" s="2"/>
      <c r="H98" s="1"/>
      <c r="I98" s="1"/>
      <c r="J98" s="2"/>
    </row>
    <row r="99" spans="1:10" ht="13.5" customHeight="1">
      <c r="A99" s="3" t="s">
        <v>45</v>
      </c>
      <c r="B99" s="3"/>
      <c r="C99" s="3"/>
      <c r="D99" s="3"/>
      <c r="E99" s="3"/>
      <c r="F99" s="3"/>
      <c r="G99" s="3"/>
      <c r="H99" s="3"/>
      <c r="I99" s="3"/>
      <c r="J99" s="3"/>
    </row>
    <row r="100" spans="1:10" ht="13.5" customHeight="1">
      <c r="A100" s="3"/>
      <c r="B100" s="3" t="s">
        <v>47</v>
      </c>
      <c r="C100" s="3"/>
      <c r="D100" s="3" t="s">
        <v>73</v>
      </c>
      <c r="E100" s="3" t="s">
        <v>48</v>
      </c>
      <c r="F100" s="3"/>
      <c r="G100" s="3"/>
      <c r="H100" s="3" t="s">
        <v>49</v>
      </c>
      <c r="I100" s="3"/>
      <c r="J100" s="3"/>
    </row>
    <row r="101" spans="1:10" ht="12.75" customHeight="1">
      <c r="A101" s="184" t="s">
        <v>0</v>
      </c>
      <c r="B101" s="185"/>
      <c r="C101" s="185"/>
      <c r="D101" s="185"/>
      <c r="E101" s="185"/>
      <c r="F101" s="185"/>
      <c r="G101" s="185"/>
      <c r="H101" s="185"/>
      <c r="I101" s="185"/>
      <c r="J101" s="186"/>
    </row>
    <row r="102" spans="1:10" ht="12.75" customHeight="1">
      <c r="A102" s="187" t="s">
        <v>1103</v>
      </c>
      <c r="B102" s="188"/>
      <c r="C102" s="188"/>
      <c r="D102" s="188"/>
      <c r="E102" s="188"/>
      <c r="F102" s="188"/>
      <c r="G102" s="188"/>
      <c r="H102" s="188"/>
      <c r="I102" s="188"/>
      <c r="J102" s="189"/>
    </row>
    <row r="103" spans="1:10" ht="12.75" customHeight="1">
      <c r="A103" s="1" t="s">
        <v>2</v>
      </c>
      <c r="B103" s="1"/>
      <c r="C103" s="191" t="s">
        <v>291</v>
      </c>
      <c r="D103" s="191"/>
      <c r="E103" s="2"/>
      <c r="F103" s="3"/>
      <c r="G103" s="1" t="s">
        <v>4</v>
      </c>
      <c r="H103" s="191" t="s">
        <v>143</v>
      </c>
      <c r="I103" s="191"/>
      <c r="J103" s="191"/>
    </row>
    <row r="104" spans="1:10" ht="12.75" customHeight="1">
      <c r="A104" s="1" t="s">
        <v>6</v>
      </c>
      <c r="B104" s="1"/>
      <c r="C104" s="192" t="s">
        <v>292</v>
      </c>
      <c r="D104" s="192"/>
      <c r="E104" s="2"/>
      <c r="F104" s="3"/>
      <c r="G104" s="1" t="s">
        <v>8</v>
      </c>
      <c r="H104" s="193" t="s">
        <v>9</v>
      </c>
      <c r="I104" s="193"/>
      <c r="J104" s="193"/>
    </row>
    <row r="105" spans="1:10" ht="12.75" customHeight="1">
      <c r="A105" s="6" t="s">
        <v>10</v>
      </c>
      <c r="B105" s="6"/>
      <c r="C105" s="194" t="s">
        <v>201</v>
      </c>
      <c r="D105" s="194"/>
      <c r="E105" s="2"/>
      <c r="F105" s="3"/>
      <c r="G105" s="1" t="s">
        <v>12</v>
      </c>
      <c r="H105" s="195" t="s">
        <v>1105</v>
      </c>
      <c r="I105" s="195"/>
      <c r="J105" s="195"/>
    </row>
    <row r="106" spans="1:10" ht="12.75" customHeight="1">
      <c r="A106" s="2" t="s">
        <v>14</v>
      </c>
      <c r="B106" s="2"/>
      <c r="C106" s="1" t="s">
        <v>15</v>
      </c>
      <c r="D106" s="1"/>
      <c r="E106" s="2"/>
      <c r="F106" s="3"/>
      <c r="G106" s="1" t="s">
        <v>16</v>
      </c>
      <c r="H106" s="209" t="s">
        <v>119</v>
      </c>
      <c r="I106" s="209"/>
      <c r="J106" s="209"/>
    </row>
    <row r="107" spans="1:10" ht="12.75" customHeight="1">
      <c r="A107" s="2">
        <v>30</v>
      </c>
      <c r="B107" s="2"/>
      <c r="C107" s="2">
        <f>A107-H107</f>
        <v>1</v>
      </c>
      <c r="D107" s="2"/>
      <c r="E107" s="2"/>
      <c r="F107" s="3"/>
      <c r="G107" s="8" t="s">
        <v>18</v>
      </c>
      <c r="H107" s="197">
        <v>29</v>
      </c>
      <c r="I107" s="197"/>
      <c r="J107" s="197"/>
    </row>
    <row r="108" spans="1:10" ht="12.75" customHeight="1">
      <c r="A108" s="198" t="s">
        <v>19</v>
      </c>
      <c r="B108" s="199"/>
      <c r="C108" s="200"/>
      <c r="D108" s="13" t="s">
        <v>20</v>
      </c>
      <c r="E108" s="14" t="s">
        <v>21</v>
      </c>
      <c r="F108" s="15"/>
      <c r="G108" s="16" t="s">
        <v>20</v>
      </c>
      <c r="H108" s="201" t="s">
        <v>22</v>
      </c>
      <c r="I108" s="202"/>
      <c r="J108" s="203"/>
    </row>
    <row r="109" spans="1:10" ht="12.75" customHeight="1">
      <c r="A109" s="17" t="s">
        <v>56</v>
      </c>
      <c r="B109" s="1"/>
      <c r="C109" s="1"/>
      <c r="D109" s="2">
        <v>100000</v>
      </c>
      <c r="E109" s="17" t="s">
        <v>24</v>
      </c>
      <c r="F109" s="1"/>
      <c r="G109" s="2">
        <v>46567</v>
      </c>
      <c r="H109" s="18" t="s">
        <v>26</v>
      </c>
      <c r="I109" s="23"/>
      <c r="J109" s="24"/>
    </row>
    <row r="110" spans="1:10" ht="12.75" customHeight="1">
      <c r="A110" s="17" t="s">
        <v>77</v>
      </c>
      <c r="B110" s="209" t="s">
        <v>172</v>
      </c>
      <c r="C110" s="209"/>
      <c r="D110" s="2">
        <v>4444</v>
      </c>
      <c r="E110" s="17" t="s">
        <v>28</v>
      </c>
      <c r="F110" s="1"/>
      <c r="G110" s="2">
        <v>50000</v>
      </c>
      <c r="H110" s="18" t="s">
        <v>29</v>
      </c>
      <c r="I110" s="23"/>
      <c r="J110" s="24"/>
    </row>
    <row r="111" spans="1:10" ht="12.75" customHeight="1">
      <c r="A111" s="17" t="s">
        <v>30</v>
      </c>
      <c r="B111" s="1"/>
      <c r="C111" s="1"/>
      <c r="D111" s="2" t="s">
        <v>25</v>
      </c>
      <c r="E111" s="17" t="s">
        <v>40</v>
      </c>
      <c r="F111" s="1"/>
      <c r="G111" s="2" t="s">
        <v>25</v>
      </c>
      <c r="H111" s="18" t="s">
        <v>32</v>
      </c>
      <c r="I111" s="23"/>
      <c r="J111" s="24"/>
    </row>
    <row r="112" spans="1:10" ht="12.75" customHeight="1">
      <c r="A112" s="17" t="s">
        <v>27</v>
      </c>
      <c r="B112" s="1"/>
      <c r="C112" s="1"/>
      <c r="D112" s="2" t="s">
        <v>25</v>
      </c>
      <c r="E112" s="17" t="s">
        <v>35</v>
      </c>
      <c r="F112" s="1"/>
      <c r="G112" s="2">
        <v>3333</v>
      </c>
      <c r="H112" s="18"/>
      <c r="I112" s="6"/>
      <c r="J112" s="19"/>
    </row>
    <row r="113" spans="1:10" ht="12.75" customHeight="1">
      <c r="A113" s="17" t="s">
        <v>147</v>
      </c>
      <c r="B113" s="1"/>
      <c r="C113" s="1"/>
      <c r="D113" s="2" t="s">
        <v>25</v>
      </c>
      <c r="E113" s="17" t="s">
        <v>61</v>
      </c>
      <c r="F113" s="1"/>
      <c r="G113" s="2" t="s">
        <v>25</v>
      </c>
      <c r="H113" s="18"/>
      <c r="I113" s="6"/>
      <c r="J113" s="19"/>
    </row>
    <row r="114" spans="1:10" ht="12.75" customHeight="1">
      <c r="A114" s="17" t="s">
        <v>136</v>
      </c>
      <c r="B114" s="1"/>
      <c r="C114" s="1"/>
      <c r="D114" s="2" t="s">
        <v>25</v>
      </c>
      <c r="E114" s="17" t="s">
        <v>39</v>
      </c>
      <c r="F114" s="1"/>
      <c r="G114" s="2">
        <v>100</v>
      </c>
      <c r="H114" s="18"/>
      <c r="I114" s="6"/>
      <c r="J114" s="19"/>
    </row>
    <row r="115" spans="1:10" ht="12.75" customHeight="1">
      <c r="A115" s="18" t="s">
        <v>40</v>
      </c>
      <c r="B115" s="6"/>
      <c r="C115" s="6"/>
      <c r="D115" s="2" t="s">
        <v>25</v>
      </c>
      <c r="E115" s="17" t="s">
        <v>161</v>
      </c>
      <c r="F115" s="2"/>
      <c r="G115" s="2" t="s">
        <v>25</v>
      </c>
      <c r="H115" s="18"/>
      <c r="I115" s="6"/>
      <c r="J115" s="19"/>
    </row>
    <row r="116" spans="1:10" ht="12.75" customHeight="1">
      <c r="A116" s="204" t="s">
        <v>63</v>
      </c>
      <c r="B116" s="205"/>
      <c r="C116" s="206"/>
      <c r="D116" s="229">
        <f>SUM(D109:D115)</f>
        <v>104444</v>
      </c>
      <c r="E116" s="1" t="s">
        <v>43</v>
      </c>
      <c r="F116" s="1"/>
      <c r="G116" s="2" t="s">
        <v>25</v>
      </c>
      <c r="H116" s="18"/>
      <c r="I116" s="6"/>
      <c r="J116" s="19"/>
    </row>
    <row r="117" spans="1:10" ht="12.75" customHeight="1">
      <c r="A117" s="207"/>
      <c r="B117" s="197"/>
      <c r="C117" s="208"/>
      <c r="D117" s="230"/>
      <c r="E117" s="21" t="s">
        <v>21</v>
      </c>
      <c r="F117" s="22"/>
      <c r="G117" s="13">
        <f>SUM(G109:G116)</f>
        <v>100000</v>
      </c>
      <c r="H117" s="21" t="s">
        <v>44</v>
      </c>
      <c r="I117" s="22"/>
      <c r="J117" s="13">
        <f>D116-G117</f>
        <v>4444</v>
      </c>
    </row>
    <row r="118" spans="1:10" ht="12.75" customHeight="1">
      <c r="A118" s="3" t="s">
        <v>45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2.75" customHeight="1">
      <c r="A120" s="3"/>
      <c r="B120" s="3" t="s">
        <v>47</v>
      </c>
      <c r="C120" s="3"/>
      <c r="D120" s="3"/>
      <c r="E120" s="3" t="s">
        <v>48</v>
      </c>
      <c r="F120" s="3"/>
      <c r="G120" s="3"/>
      <c r="H120" s="3" t="s">
        <v>49</v>
      </c>
      <c r="I120" s="3"/>
      <c r="J120" s="3"/>
    </row>
    <row r="121" spans="1:10" ht="12.75" customHeight="1">
      <c r="A121" s="184" t="s">
        <v>0</v>
      </c>
      <c r="B121" s="185"/>
      <c r="C121" s="185"/>
      <c r="D121" s="185"/>
      <c r="E121" s="185"/>
      <c r="F121" s="185"/>
      <c r="G121" s="185"/>
      <c r="H121" s="185"/>
      <c r="I121" s="185"/>
      <c r="J121" s="186"/>
    </row>
    <row r="122" spans="1:10" ht="12.75" customHeight="1">
      <c r="A122" s="187" t="s">
        <v>1103</v>
      </c>
      <c r="B122" s="188"/>
      <c r="C122" s="188"/>
      <c r="D122" s="188"/>
      <c r="E122" s="188"/>
      <c r="F122" s="188"/>
      <c r="G122" s="188"/>
      <c r="H122" s="188"/>
      <c r="I122" s="188"/>
      <c r="J122" s="189"/>
    </row>
    <row r="123" spans="1:10" ht="12.75" customHeight="1">
      <c r="A123" s="1" t="s">
        <v>2</v>
      </c>
      <c r="B123" s="1"/>
      <c r="C123" s="209" t="s">
        <v>311</v>
      </c>
      <c r="D123" s="209"/>
      <c r="E123" s="2"/>
      <c r="F123" s="3"/>
      <c r="G123" s="1" t="s">
        <v>4</v>
      </c>
      <c r="H123" s="191" t="s">
        <v>191</v>
      </c>
      <c r="I123" s="191"/>
      <c r="J123" s="191"/>
    </row>
    <row r="124" spans="1:10" ht="12.75" customHeight="1">
      <c r="A124" s="1" t="s">
        <v>6</v>
      </c>
      <c r="B124" s="1"/>
      <c r="C124" s="25" t="s">
        <v>312</v>
      </c>
      <c r="D124" s="25"/>
      <c r="E124" s="7"/>
      <c r="F124" s="3"/>
      <c r="G124" s="1" t="s">
        <v>8</v>
      </c>
      <c r="H124" s="193" t="s">
        <v>9</v>
      </c>
      <c r="I124" s="193"/>
      <c r="J124" s="193"/>
    </row>
    <row r="125" spans="1:10" ht="12.75" customHeight="1">
      <c r="A125" s="6" t="s">
        <v>10</v>
      </c>
      <c r="B125" s="6"/>
      <c r="C125" s="194" t="s">
        <v>261</v>
      </c>
      <c r="D125" s="194"/>
      <c r="E125" s="2"/>
      <c r="F125" s="3"/>
      <c r="G125" s="1" t="s">
        <v>12</v>
      </c>
      <c r="H125" s="195" t="s">
        <v>1105</v>
      </c>
      <c r="I125" s="195"/>
      <c r="J125" s="195"/>
    </row>
    <row r="126" spans="1:10" ht="12.75" customHeight="1">
      <c r="A126" s="6" t="s">
        <v>14</v>
      </c>
      <c r="B126" s="6"/>
      <c r="C126" s="2" t="s">
        <v>15</v>
      </c>
      <c r="D126" s="2"/>
      <c r="E126" s="2"/>
      <c r="F126" s="3"/>
      <c r="G126" s="1" t="s">
        <v>16</v>
      </c>
      <c r="H126" s="196" t="s">
        <v>313</v>
      </c>
      <c r="I126" s="196"/>
      <c r="J126" s="196"/>
    </row>
    <row r="127" spans="1:10" ht="12.75" customHeight="1">
      <c r="A127" s="6">
        <v>30</v>
      </c>
      <c r="B127" s="6"/>
      <c r="C127" s="2">
        <f>A127-I127</f>
        <v>0</v>
      </c>
      <c r="D127" s="2"/>
      <c r="E127" s="2"/>
      <c r="F127" s="3"/>
      <c r="G127" s="8" t="s">
        <v>18</v>
      </c>
      <c r="H127" s="8"/>
      <c r="I127" s="9">
        <v>30</v>
      </c>
      <c r="J127" s="9"/>
    </row>
    <row r="128" spans="1:10" ht="12.75" customHeight="1">
      <c r="A128" s="198" t="s">
        <v>19</v>
      </c>
      <c r="B128" s="199"/>
      <c r="C128" s="200"/>
      <c r="D128" s="13" t="s">
        <v>20</v>
      </c>
      <c r="E128" s="14" t="s">
        <v>21</v>
      </c>
      <c r="F128" s="15"/>
      <c r="G128" s="16" t="s">
        <v>20</v>
      </c>
      <c r="H128" s="201" t="s">
        <v>22</v>
      </c>
      <c r="I128" s="202"/>
      <c r="J128" s="203"/>
    </row>
    <row r="129" spans="1:10" ht="12.75" customHeight="1">
      <c r="A129" s="17" t="s">
        <v>23</v>
      </c>
      <c r="B129" s="1"/>
      <c r="C129" s="1"/>
      <c r="D129" s="2">
        <v>55000</v>
      </c>
      <c r="E129" s="17" t="s">
        <v>24</v>
      </c>
      <c r="F129" s="1"/>
      <c r="G129" s="2">
        <v>66433</v>
      </c>
      <c r="H129" s="18" t="s">
        <v>26</v>
      </c>
      <c r="I129" s="23"/>
      <c r="J129" s="24"/>
    </row>
    <row r="130" spans="1:10" ht="12.75" customHeight="1">
      <c r="A130" s="17" t="s">
        <v>77</v>
      </c>
      <c r="B130" s="196" t="s">
        <v>314</v>
      </c>
      <c r="C130" s="196"/>
      <c r="D130" s="2">
        <f>7333+9396</f>
        <v>16729</v>
      </c>
      <c r="E130" s="17" t="s">
        <v>58</v>
      </c>
      <c r="F130" s="1"/>
      <c r="G130" s="2" t="s">
        <v>25</v>
      </c>
      <c r="H130" s="18" t="s">
        <v>29</v>
      </c>
      <c r="I130" s="23"/>
      <c r="J130" s="24"/>
    </row>
    <row r="131" spans="1:10" ht="12.75" customHeight="1">
      <c r="A131" s="17" t="s">
        <v>30</v>
      </c>
      <c r="B131" s="1"/>
      <c r="C131" s="1"/>
      <c r="D131" s="2" t="s">
        <v>25</v>
      </c>
      <c r="E131" s="17" t="s">
        <v>315</v>
      </c>
      <c r="F131" s="1"/>
      <c r="G131" s="2">
        <v>800</v>
      </c>
      <c r="H131" s="18" t="s">
        <v>32</v>
      </c>
      <c r="I131" s="23"/>
      <c r="J131" s="24"/>
    </row>
    <row r="132" spans="1:10" ht="12.75" customHeight="1">
      <c r="A132" s="17" t="s">
        <v>316</v>
      </c>
      <c r="B132" s="1"/>
      <c r="C132" s="1"/>
      <c r="D132" s="2" t="s">
        <v>25</v>
      </c>
      <c r="E132" s="17" t="s">
        <v>71</v>
      </c>
      <c r="F132" s="1"/>
      <c r="G132" s="2" t="s">
        <v>25</v>
      </c>
      <c r="H132" s="18"/>
      <c r="I132" s="6"/>
      <c r="J132" s="26"/>
    </row>
    <row r="133" spans="1:10" ht="12.75" customHeight="1">
      <c r="A133" s="17" t="s">
        <v>147</v>
      </c>
      <c r="B133" s="1"/>
      <c r="C133" s="1"/>
      <c r="D133" s="2">
        <v>5000</v>
      </c>
      <c r="E133" s="17" t="s">
        <v>61</v>
      </c>
      <c r="F133" s="1"/>
      <c r="G133" s="2" t="s">
        <v>25</v>
      </c>
      <c r="H133" s="18" t="s">
        <v>197</v>
      </c>
      <c r="I133" s="6"/>
      <c r="J133" s="27"/>
    </row>
    <row r="134" spans="1:10" ht="12.75" customHeight="1">
      <c r="A134" s="17" t="s">
        <v>136</v>
      </c>
      <c r="B134" s="1"/>
      <c r="C134" s="1"/>
      <c r="D134" s="2" t="s">
        <v>25</v>
      </c>
      <c r="E134" s="17" t="s">
        <v>39</v>
      </c>
      <c r="F134" s="1"/>
      <c r="G134" s="2">
        <v>100</v>
      </c>
      <c r="H134" s="17" t="s">
        <v>317</v>
      </c>
      <c r="I134" s="6"/>
      <c r="J134" s="27"/>
    </row>
    <row r="135" spans="1:10" ht="12.75" customHeight="1">
      <c r="A135" s="18" t="s">
        <v>40</v>
      </c>
      <c r="B135" s="6"/>
      <c r="C135" s="6"/>
      <c r="D135" s="2" t="s">
        <v>25</v>
      </c>
      <c r="E135" s="17" t="s">
        <v>79</v>
      </c>
      <c r="F135" s="2"/>
      <c r="G135" s="2" t="s">
        <v>25</v>
      </c>
      <c r="H135" s="18"/>
      <c r="I135" s="6"/>
      <c r="J135" s="26"/>
    </row>
    <row r="136" spans="1:10" ht="12.75" customHeight="1">
      <c r="A136" s="204" t="s">
        <v>63</v>
      </c>
      <c r="B136" s="205"/>
      <c r="C136" s="206"/>
      <c r="D136" s="229">
        <f>SUM(D129:D135)</f>
        <v>76729</v>
      </c>
      <c r="E136" s="1" t="s">
        <v>43</v>
      </c>
      <c r="F136" s="1"/>
      <c r="G136" s="2" t="s">
        <v>25</v>
      </c>
      <c r="H136" s="18"/>
      <c r="I136" s="6"/>
      <c r="J136" s="19"/>
    </row>
    <row r="137" spans="1:10" ht="12.75" customHeight="1">
      <c r="A137" s="207"/>
      <c r="B137" s="197"/>
      <c r="C137" s="208"/>
      <c r="D137" s="230"/>
      <c r="E137" s="21" t="s">
        <v>21</v>
      </c>
      <c r="F137" s="22"/>
      <c r="G137" s="13">
        <f>SUM(G129:G136)</f>
        <v>67333</v>
      </c>
      <c r="H137" s="21" t="s">
        <v>44</v>
      </c>
      <c r="I137" s="22"/>
      <c r="J137" s="13">
        <f>D136-G137</f>
        <v>9396</v>
      </c>
    </row>
    <row r="138" spans="1:10" ht="12.75" customHeight="1">
      <c r="A138" s="3" t="s">
        <v>45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2.75" customHeight="1">
      <c r="A139" s="3"/>
      <c r="B139" s="3" t="s">
        <v>47</v>
      </c>
      <c r="C139" s="3"/>
      <c r="D139" s="3"/>
      <c r="E139" s="3" t="s">
        <v>48</v>
      </c>
      <c r="F139" s="3"/>
      <c r="G139" s="3"/>
      <c r="H139" s="3" t="s">
        <v>49</v>
      </c>
      <c r="I139" s="3"/>
      <c r="J139" s="3"/>
    </row>
    <row r="140" spans="1:10" ht="12.75" customHeight="1"/>
    <row r="141" spans="1:10" ht="13.5" customHeight="1">
      <c r="A141" s="184" t="s">
        <v>0</v>
      </c>
      <c r="B141" s="185"/>
      <c r="C141" s="185"/>
      <c r="D141" s="185"/>
      <c r="E141" s="185"/>
      <c r="F141" s="185"/>
      <c r="G141" s="185"/>
      <c r="H141" s="185"/>
      <c r="I141" s="185"/>
      <c r="J141" s="186"/>
    </row>
    <row r="142" spans="1:10" ht="13.5" customHeight="1">
      <c r="A142" s="187" t="s">
        <v>1103</v>
      </c>
      <c r="B142" s="188"/>
      <c r="C142" s="188"/>
      <c r="D142" s="188"/>
      <c r="E142" s="188"/>
      <c r="F142" s="188"/>
      <c r="G142" s="188"/>
      <c r="H142" s="188"/>
      <c r="I142" s="188"/>
      <c r="J142" s="189"/>
    </row>
    <row r="143" spans="1:10" ht="13.5" customHeight="1">
      <c r="A143" s="1" t="s">
        <v>2</v>
      </c>
      <c r="B143" s="1"/>
      <c r="C143" s="190" t="s">
        <v>615</v>
      </c>
      <c r="D143" s="190"/>
      <c r="E143" s="2"/>
      <c r="F143" s="3"/>
      <c r="G143" s="1" t="s">
        <v>4</v>
      </c>
      <c r="H143" s="209" t="s">
        <v>143</v>
      </c>
      <c r="I143" s="209"/>
      <c r="J143" s="209"/>
    </row>
    <row r="144" spans="1:10" ht="13.5" customHeight="1">
      <c r="A144" s="1" t="s">
        <v>6</v>
      </c>
      <c r="B144" s="1"/>
      <c r="C144" s="25" t="s">
        <v>616</v>
      </c>
      <c r="D144" s="25"/>
      <c r="E144" s="2"/>
      <c r="F144" s="3"/>
      <c r="G144" s="1" t="s">
        <v>8</v>
      </c>
      <c r="H144" s="193" t="s">
        <v>9</v>
      </c>
      <c r="I144" s="193"/>
      <c r="J144" s="193"/>
    </row>
    <row r="145" spans="1:10" ht="13.5" customHeight="1">
      <c r="A145" s="6" t="s">
        <v>10</v>
      </c>
      <c r="B145" s="6"/>
      <c r="C145" s="6" t="s">
        <v>617</v>
      </c>
      <c r="D145" s="6"/>
      <c r="E145" s="2"/>
      <c r="F145" s="3"/>
      <c r="G145" s="1" t="s">
        <v>12</v>
      </c>
      <c r="H145" s="195" t="s">
        <v>1105</v>
      </c>
      <c r="I145" s="195"/>
      <c r="J145" s="195"/>
    </row>
    <row r="146" spans="1:10" ht="13.5" customHeight="1">
      <c r="A146" s="2" t="s">
        <v>14</v>
      </c>
      <c r="B146" s="2"/>
      <c r="C146" s="2" t="s">
        <v>15</v>
      </c>
      <c r="D146" s="2"/>
      <c r="E146" s="2"/>
      <c r="F146" s="3"/>
      <c r="G146" s="1" t="s">
        <v>16</v>
      </c>
      <c r="H146" s="196" t="s">
        <v>55</v>
      </c>
      <c r="I146" s="196"/>
      <c r="J146" s="196"/>
    </row>
    <row r="147" spans="1:10" ht="13.5" customHeight="1">
      <c r="A147" s="2">
        <v>30</v>
      </c>
      <c r="B147" s="2"/>
      <c r="C147" s="2">
        <f>A147-H147</f>
        <v>4</v>
      </c>
      <c r="D147" s="2"/>
      <c r="E147" s="2"/>
      <c r="F147" s="3"/>
      <c r="G147" s="8" t="s">
        <v>18</v>
      </c>
      <c r="H147" s="197">
        <v>26</v>
      </c>
      <c r="I147" s="197"/>
      <c r="J147" s="197"/>
    </row>
    <row r="148" spans="1:10" ht="13.5" customHeight="1">
      <c r="A148" s="198" t="s">
        <v>19</v>
      </c>
      <c r="B148" s="199"/>
      <c r="C148" s="200"/>
      <c r="D148" s="13" t="s">
        <v>20</v>
      </c>
      <c r="E148" s="14" t="s">
        <v>21</v>
      </c>
      <c r="F148" s="15"/>
      <c r="G148" s="16" t="s">
        <v>20</v>
      </c>
      <c r="H148" s="201" t="s">
        <v>22</v>
      </c>
      <c r="I148" s="202"/>
      <c r="J148" s="203"/>
    </row>
    <row r="149" spans="1:10" ht="13.5" customHeight="1">
      <c r="A149" s="17" t="s">
        <v>23</v>
      </c>
      <c r="B149" s="1"/>
      <c r="C149" s="1"/>
      <c r="D149" s="28">
        <v>28000</v>
      </c>
      <c r="E149" s="17" t="s">
        <v>58</v>
      </c>
      <c r="F149" s="1"/>
      <c r="G149" s="2">
        <v>24167</v>
      </c>
      <c r="H149" s="18" t="s">
        <v>26</v>
      </c>
      <c r="I149" s="23"/>
      <c r="J149" s="24"/>
    </row>
    <row r="150" spans="1:10" ht="13.5" customHeight="1">
      <c r="A150" s="17" t="s">
        <v>77</v>
      </c>
      <c r="B150" s="209" t="s">
        <v>196</v>
      </c>
      <c r="C150" s="209"/>
      <c r="D150" s="2">
        <v>2800</v>
      </c>
      <c r="E150" s="17" t="s">
        <v>52</v>
      </c>
      <c r="F150" s="1"/>
      <c r="G150" s="2" t="s">
        <v>25</v>
      </c>
      <c r="H150" s="18" t="s">
        <v>29</v>
      </c>
      <c r="I150" s="23"/>
      <c r="J150" s="24"/>
    </row>
    <row r="151" spans="1:10" ht="13.5" customHeight="1">
      <c r="A151" s="17" t="s">
        <v>30</v>
      </c>
      <c r="B151" s="6"/>
      <c r="C151" s="6"/>
      <c r="D151" s="2" t="s">
        <v>25</v>
      </c>
      <c r="E151" s="17" t="s">
        <v>146</v>
      </c>
      <c r="F151" s="1"/>
      <c r="G151" s="2" t="s">
        <v>25</v>
      </c>
      <c r="H151" s="18" t="s">
        <v>32</v>
      </c>
      <c r="I151" s="23"/>
      <c r="J151" s="24"/>
    </row>
    <row r="152" spans="1:10" ht="13.5" customHeight="1">
      <c r="A152" s="17" t="s">
        <v>147</v>
      </c>
      <c r="B152" s="1"/>
      <c r="C152" s="1"/>
      <c r="D152" s="2" t="s">
        <v>25</v>
      </c>
      <c r="E152" s="17" t="s">
        <v>35</v>
      </c>
      <c r="F152" s="1"/>
      <c r="G152" s="2">
        <v>3733</v>
      </c>
      <c r="H152" s="18"/>
      <c r="I152" s="6"/>
      <c r="J152" s="19"/>
    </row>
    <row r="153" spans="1:10" ht="13.5" customHeight="1">
      <c r="A153" s="17" t="s">
        <v>27</v>
      </c>
      <c r="B153" s="1"/>
      <c r="C153" s="1"/>
      <c r="D153" s="2" t="s">
        <v>25</v>
      </c>
      <c r="E153" s="17" t="s">
        <v>61</v>
      </c>
      <c r="F153" s="1"/>
      <c r="G153" s="2" t="s">
        <v>25</v>
      </c>
      <c r="H153" s="18"/>
      <c r="I153" s="6"/>
      <c r="J153" s="19"/>
    </row>
    <row r="154" spans="1:10" ht="13.5" customHeight="1">
      <c r="A154" s="17" t="s">
        <v>147</v>
      </c>
      <c r="B154" s="1"/>
      <c r="C154" s="1"/>
      <c r="D154" s="2" t="s">
        <v>25</v>
      </c>
      <c r="E154" s="17" t="s">
        <v>39</v>
      </c>
      <c r="F154" s="1"/>
      <c r="G154" s="2">
        <v>100</v>
      </c>
      <c r="H154" s="18"/>
      <c r="I154" s="6"/>
      <c r="J154" s="19"/>
    </row>
    <row r="155" spans="1:10" ht="13.5" customHeight="1">
      <c r="A155" s="18" t="s">
        <v>40</v>
      </c>
      <c r="B155" s="6"/>
      <c r="C155" s="6"/>
      <c r="D155" s="2" t="s">
        <v>25</v>
      </c>
      <c r="E155" s="17" t="s">
        <v>78</v>
      </c>
      <c r="F155" s="1"/>
      <c r="G155" s="2" t="s">
        <v>25</v>
      </c>
      <c r="H155" s="18"/>
      <c r="I155" s="6"/>
      <c r="J155" s="19"/>
    </row>
    <row r="156" spans="1:10" ht="13.5" customHeight="1">
      <c r="A156" s="204" t="s">
        <v>63</v>
      </c>
      <c r="B156" s="205"/>
      <c r="C156" s="206"/>
      <c r="D156" s="229">
        <f>SUM(D149:D155)</f>
        <v>30800</v>
      </c>
      <c r="E156" s="1" t="s">
        <v>283</v>
      </c>
      <c r="F156" s="1"/>
      <c r="G156" s="2" t="s">
        <v>25</v>
      </c>
      <c r="H156" s="18"/>
      <c r="I156" s="6"/>
      <c r="J156" s="19"/>
    </row>
    <row r="157" spans="1:10" ht="13.5" customHeight="1">
      <c r="A157" s="207"/>
      <c r="B157" s="197"/>
      <c r="C157" s="208"/>
      <c r="D157" s="230"/>
      <c r="E157" s="21" t="s">
        <v>21</v>
      </c>
      <c r="F157" s="22"/>
      <c r="G157" s="13">
        <f>SUM(G149:G156)</f>
        <v>28000</v>
      </c>
      <c r="H157" s="21" t="s">
        <v>44</v>
      </c>
      <c r="I157" s="22"/>
      <c r="J157" s="13">
        <f>D156-G157</f>
        <v>2800</v>
      </c>
    </row>
    <row r="158" spans="1:10" ht="13.5" customHeight="1">
      <c r="A158" s="3" t="s">
        <v>45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3.5" customHeight="1">
      <c r="A160" s="3"/>
      <c r="B160" s="3" t="s">
        <v>47</v>
      </c>
      <c r="C160" s="3"/>
      <c r="D160" s="3"/>
      <c r="E160" s="3" t="s">
        <v>48</v>
      </c>
      <c r="F160" s="3"/>
      <c r="G160" s="3"/>
      <c r="H160" s="3" t="s">
        <v>49</v>
      </c>
      <c r="I160" s="3"/>
      <c r="J160" s="3"/>
    </row>
    <row r="161" spans="1:10" ht="28.5" customHeight="1">
      <c r="A161" s="345" t="s">
        <v>1074</v>
      </c>
      <c r="B161" s="345"/>
      <c r="C161" s="345"/>
      <c r="D161" s="345"/>
      <c r="E161" s="345"/>
      <c r="F161" s="354">
        <f>J157+J137+J117+J97+J77+J57+J37+J17</f>
        <v>83131</v>
      </c>
      <c r="G161" s="355"/>
      <c r="H161" s="355"/>
      <c r="I161" s="355"/>
      <c r="J161" s="356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</row>
    <row r="164" spans="1:10">
      <c r="A164" s="29"/>
      <c r="B164" s="29"/>
      <c r="C164" s="29"/>
      <c r="D164" s="29"/>
      <c r="E164" s="29"/>
      <c r="F164" s="30"/>
      <c r="G164" s="30"/>
      <c r="H164" s="30"/>
      <c r="I164" s="30"/>
    </row>
    <row r="165" spans="1:10">
      <c r="A165" s="31"/>
      <c r="B165" s="252" t="s">
        <v>265</v>
      </c>
      <c r="C165" s="252"/>
      <c r="D165" s="252"/>
      <c r="E165" s="33"/>
      <c r="F165" s="253" t="s">
        <v>266</v>
      </c>
      <c r="G165" s="253"/>
      <c r="H165" s="253"/>
      <c r="I165" s="253"/>
    </row>
    <row r="166" spans="1:10">
      <c r="A166" s="31"/>
      <c r="B166" s="34"/>
      <c r="C166" s="34"/>
      <c r="D166" s="34"/>
      <c r="E166" s="33"/>
      <c r="F166" s="35"/>
      <c r="G166" s="35"/>
      <c r="H166" s="35"/>
      <c r="I166" s="35"/>
    </row>
    <row r="167" spans="1:10">
      <c r="A167" s="31"/>
      <c r="B167" s="34"/>
      <c r="C167" s="34"/>
      <c r="D167" s="34"/>
      <c r="E167" s="33"/>
      <c r="F167" s="35"/>
      <c r="G167" s="35"/>
      <c r="H167" s="35"/>
      <c r="I167" s="35"/>
    </row>
    <row r="168" spans="1:10">
      <c r="A168" s="31"/>
      <c r="B168" s="34"/>
      <c r="C168" s="34"/>
      <c r="D168" s="34"/>
      <c r="E168" s="33"/>
      <c r="F168" s="35"/>
      <c r="G168" s="35"/>
      <c r="H168" s="35"/>
      <c r="I168" s="35"/>
    </row>
    <row r="169" spans="1:10">
      <c r="A169" s="31"/>
      <c r="B169" s="31"/>
      <c r="C169" s="31"/>
      <c r="D169" s="31"/>
      <c r="E169" s="31"/>
      <c r="F169" s="36"/>
      <c r="G169" s="36"/>
      <c r="H169" s="36"/>
      <c r="I169" s="36"/>
    </row>
    <row r="170" spans="1:10">
      <c r="A170" s="31"/>
      <c r="B170" s="37"/>
      <c r="C170" s="32" t="s">
        <v>267</v>
      </c>
      <c r="D170" s="32"/>
      <c r="E170" s="31"/>
      <c r="F170" s="253" t="s">
        <v>268</v>
      </c>
      <c r="G170" s="253"/>
      <c r="H170" s="253"/>
      <c r="I170" s="253"/>
    </row>
  </sheetData>
  <mergeCells count="116">
    <mergeCell ref="A148:C148"/>
    <mergeCell ref="H148:J148"/>
    <mergeCell ref="B150:C150"/>
    <mergeCell ref="A161:E161"/>
    <mergeCell ref="F161:J161"/>
    <mergeCell ref="B165:D165"/>
    <mergeCell ref="F165:I165"/>
    <mergeCell ref="F170:I170"/>
    <mergeCell ref="D16:D17"/>
    <mergeCell ref="D36:D37"/>
    <mergeCell ref="D56:D57"/>
    <mergeCell ref="D76:D77"/>
    <mergeCell ref="D96:D97"/>
    <mergeCell ref="D116:D117"/>
    <mergeCell ref="D136:D137"/>
    <mergeCell ref="D156:D157"/>
    <mergeCell ref="A136:C137"/>
    <mergeCell ref="A156:C157"/>
    <mergeCell ref="A56:C57"/>
    <mergeCell ref="A36:C37"/>
    <mergeCell ref="A76:C77"/>
    <mergeCell ref="A116:C117"/>
    <mergeCell ref="A96:C97"/>
    <mergeCell ref="A16:C17"/>
    <mergeCell ref="B130:C130"/>
    <mergeCell ref="A141:J141"/>
    <mergeCell ref="A142:J142"/>
    <mergeCell ref="C143:D143"/>
    <mergeCell ref="H143:J143"/>
    <mergeCell ref="H144:J144"/>
    <mergeCell ref="H145:J145"/>
    <mergeCell ref="H146:J146"/>
    <mergeCell ref="H147:J147"/>
    <mergeCell ref="A121:J121"/>
    <mergeCell ref="A122:J122"/>
    <mergeCell ref="C123:D123"/>
    <mergeCell ref="H123:J123"/>
    <mergeCell ref="H124:J124"/>
    <mergeCell ref="C125:D125"/>
    <mergeCell ref="H125:J125"/>
    <mergeCell ref="H126:J126"/>
    <mergeCell ref="A128:C128"/>
    <mergeCell ref="H128:J128"/>
    <mergeCell ref="C104:D104"/>
    <mergeCell ref="H104:J104"/>
    <mergeCell ref="C105:D105"/>
    <mergeCell ref="H105:J105"/>
    <mergeCell ref="H106:J106"/>
    <mergeCell ref="H107:J107"/>
    <mergeCell ref="A108:C108"/>
    <mergeCell ref="H108:J108"/>
    <mergeCell ref="B110:C110"/>
    <mergeCell ref="H86:J86"/>
    <mergeCell ref="A88:C88"/>
    <mergeCell ref="H88:J88"/>
    <mergeCell ref="B90:C90"/>
    <mergeCell ref="H93:J93"/>
    <mergeCell ref="A101:J101"/>
    <mergeCell ref="A102:J102"/>
    <mergeCell ref="C103:D103"/>
    <mergeCell ref="H103:J103"/>
    <mergeCell ref="B70:C70"/>
    <mergeCell ref="H73:J73"/>
    <mergeCell ref="A81:J81"/>
    <mergeCell ref="A82:J82"/>
    <mergeCell ref="C83:D83"/>
    <mergeCell ref="H83:J83"/>
    <mergeCell ref="H84:J84"/>
    <mergeCell ref="C85:D85"/>
    <mergeCell ref="H85:J85"/>
    <mergeCell ref="A62:J62"/>
    <mergeCell ref="C63:D63"/>
    <mergeCell ref="H63:J63"/>
    <mergeCell ref="H64:J64"/>
    <mergeCell ref="C65:D65"/>
    <mergeCell ref="H65:J65"/>
    <mergeCell ref="H66:J66"/>
    <mergeCell ref="A68:C68"/>
    <mergeCell ref="H68:J68"/>
    <mergeCell ref="H44:J44"/>
    <mergeCell ref="C45:D45"/>
    <mergeCell ref="H45:J45"/>
    <mergeCell ref="H46:J46"/>
    <mergeCell ref="A48:C48"/>
    <mergeCell ref="H48:J48"/>
    <mergeCell ref="B50:C50"/>
    <mergeCell ref="H53:J53"/>
    <mergeCell ref="A61:J61"/>
    <mergeCell ref="H26:J26"/>
    <mergeCell ref="A28:C28"/>
    <mergeCell ref="H28:J28"/>
    <mergeCell ref="B30:C30"/>
    <mergeCell ref="H33:J33"/>
    <mergeCell ref="A41:J41"/>
    <mergeCell ref="A42:J42"/>
    <mergeCell ref="C43:D43"/>
    <mergeCell ref="H43:J43"/>
    <mergeCell ref="B10:C10"/>
    <mergeCell ref="H13:J13"/>
    <mergeCell ref="A21:J21"/>
    <mergeCell ref="A22:J22"/>
    <mergeCell ref="C23:D23"/>
    <mergeCell ref="H23:J23"/>
    <mergeCell ref="H24:J24"/>
    <mergeCell ref="C25:D25"/>
    <mergeCell ref="H25:J25"/>
    <mergeCell ref="A1:J1"/>
    <mergeCell ref="A2:J2"/>
    <mergeCell ref="C3:D3"/>
    <mergeCell ref="H3:J3"/>
    <mergeCell ref="H4:J4"/>
    <mergeCell ref="C5:D5"/>
    <mergeCell ref="H5:J5"/>
    <mergeCell ref="H6:J6"/>
    <mergeCell ref="A8:C8"/>
    <mergeCell ref="H8:J8"/>
  </mergeCells>
  <pageMargins left="0.7" right="0.7" top="0.44" bottom="0.25" header="0.3" footer="0.3"/>
  <pageSetup scale="90" orientation="portrait"/>
  <rowBreaks count="2" manualBreakCount="2">
    <brk id="60" max="16383" man="1"/>
    <brk id="1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M.Os</vt:lpstr>
      <vt:lpstr>WMO</vt:lpstr>
      <vt:lpstr>Admins</vt:lpstr>
      <vt:lpstr>Lab</vt:lpstr>
      <vt:lpstr>Indoor Emergancy</vt:lpstr>
      <vt:lpstr>Pharmacy Recpinst</vt:lpstr>
      <vt:lpstr>Sweeper</vt:lpstr>
      <vt:lpstr>Drug Hospital</vt:lpstr>
      <vt:lpstr>Executive DRH</vt:lpstr>
      <vt:lpstr>Organization</vt:lpstr>
      <vt:lpstr>Social Media</vt:lpstr>
      <vt:lpstr>Kitchen</vt:lpstr>
      <vt:lpstr>VTI</vt:lpstr>
      <vt:lpstr>Suspended</vt:lpstr>
      <vt:lpstr>Remaining Salary May 2026</vt:lpstr>
      <vt:lpstr>'Indoor Emergancy'!Print_Area</vt:lpstr>
      <vt:lpstr>M.Os!Print_Area</vt:lpstr>
      <vt:lpstr>Sweeper!Print_Area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AccountsMS</cp:lastModifiedBy>
  <cp:lastPrinted>2026-07-15T11:30:37Z</cp:lastPrinted>
  <dcterms:created xsi:type="dcterms:W3CDTF">2026-06-02T14:50:00Z</dcterms:created>
  <dcterms:modified xsi:type="dcterms:W3CDTF">2026-07-20T04:09:39Z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9E64D5B135A84802A335D95F34C111E6_12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